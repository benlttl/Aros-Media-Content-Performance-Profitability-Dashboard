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ms-office.chartex+xml" PartName="/xl/charts/chartEx1.xml"/>
  <Override ContentType="application/vnd.ms-office.chartcolorstyle+xml" PartName="/xl/charts/colors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office.chartstyle+xml" PartName="/xl/charts/style1.xml"/>
  <Override ContentType="application/vnd.ms-excel.person+xml" PartName="/xl/persons/person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Management P&amp;L" sheetId="2" r:id="rId6"/>
    <sheet state="visible" name="Unit Economics" sheetId="3" r:id="rId7"/>
    <sheet state="visible" name="Cost Structure" sheetId="4" r:id="rId8"/>
    <sheet state="visible" name="Business Findings" sheetId="5" r:id="rId9"/>
    <sheet state="visible" name="Video Database" sheetId="6" r:id="rId10"/>
    <sheet state="visible" name="Performance Data" sheetId="7" r:id="rId11"/>
    <sheet state="visible" name="Pivot Tables" sheetId="8" r:id="rId12"/>
  </sheets>
  <definedNames/>
  <calcPr/>
  <pivotCaches>
    <pivotCache cacheId="0" r:id="rId13"/>
    <pivotCache cacheId="1" r:id="rId14"/>
  </pivotCaches>
</workbook>
</file>

<file path=xl/sharedStrings.xml><?xml version="1.0" encoding="utf-8"?>
<sst xmlns="http://schemas.openxmlformats.org/spreadsheetml/2006/main" count="7244" uniqueCount="271">
  <si>
    <t>Metric</t>
  </si>
  <si>
    <t>Calculation</t>
  </si>
  <si>
    <t>Result</t>
  </si>
  <si>
    <t>Interpretation</t>
  </si>
  <si>
    <t>Total Expenses</t>
  </si>
  <si>
    <t>Aros Media</t>
  </si>
  <si>
    <t>Commission per Video</t>
  </si>
  <si>
    <t>Total Commission ÷ Videos</t>
  </si>
  <si>
    <t>Management P&amp;L Statement</t>
  </si>
  <si>
    <t>Revenue</t>
  </si>
  <si>
    <t>Average video generates $0.14 in commission revenue</t>
  </si>
  <si>
    <t>Production Cost per Video</t>
  </si>
  <si>
    <t>Production Costs ÷ Videos</t>
  </si>
  <si>
    <t>Direct Commissions</t>
  </si>
  <si>
    <t>Average video costs $0.46 to produce</t>
  </si>
  <si>
    <t>Profit per Video</t>
  </si>
  <si>
    <t>Profit ÷ Videos</t>
  </si>
  <si>
    <t>Expense Category</t>
  </si>
  <si>
    <t>Expense</t>
  </si>
  <si>
    <t>Amount</t>
  </si>
  <si>
    <t>Average video has a loss of $0.31</t>
  </si>
  <si>
    <t>% of Total Expenses</t>
  </si>
  <si>
    <t>Commission per Order</t>
  </si>
  <si>
    <t>Commission ÷ Orders</t>
  </si>
  <si>
    <t>Production</t>
  </si>
  <si>
    <t>Creator Costs</t>
  </si>
  <si>
    <t>Average order generates $2.95 in commission revenue</t>
  </si>
  <si>
    <t>Total Revenue</t>
  </si>
  <si>
    <t>Production Cost per Order</t>
  </si>
  <si>
    <t>Production Costs ÷ Orders</t>
  </si>
  <si>
    <t>Average order has a $9.35 video production cost</t>
  </si>
  <si>
    <t>Profit per Order</t>
  </si>
  <si>
    <t>Profit ÷ Orders</t>
  </si>
  <si>
    <t>Average order has a loss of $6.40</t>
  </si>
  <si>
    <t>Overall ROI</t>
  </si>
  <si>
    <t>Total Profit ÷ Total Production Investment</t>
  </si>
  <si>
    <t>Editor Costs</t>
  </si>
  <si>
    <t>Aros Media lost $0.68 for every $1.00 invested into production costs</t>
  </si>
  <si>
    <t>Operating Margin</t>
  </si>
  <si>
    <t>Operating Profit (Loss) / Revenue</t>
  </si>
  <si>
    <t>Expenses</t>
  </si>
  <si>
    <t>Platform Fees</t>
  </si>
  <si>
    <t>Direct Production Expenses</t>
  </si>
  <si>
    <t>Aros Media lost approximately $8.80 for every $1.00 of revenue after accounting for both production and operating expenses</t>
  </si>
  <si>
    <t>Total</t>
  </si>
  <si>
    <t>Operating</t>
  </si>
  <si>
    <t>Total Production Expenses</t>
  </si>
  <si>
    <t>Account Costs</t>
  </si>
  <si>
    <t>Gross Profit (Loss)</t>
  </si>
  <si>
    <t>Failed Videos</t>
  </si>
  <si>
    <t>Product Shipment</t>
  </si>
  <si>
    <t>Operating Expenses</t>
  </si>
  <si>
    <t>Subscriptions</t>
  </si>
  <si>
    <t>Product Samples</t>
  </si>
  <si>
    <t>Total Administrative Costs</t>
  </si>
  <si>
    <t>SUM</t>
  </si>
  <si>
    <t>Creator Hiring Platform Subscription</t>
  </si>
  <si>
    <t>Editor Hiring Platform Subscription</t>
  </si>
  <si>
    <t>Google Workspace Subscription</t>
  </si>
  <si>
    <t>Domain Registration</t>
  </si>
  <si>
    <t>Total Subscription Costs</t>
  </si>
  <si>
    <t>Product Sample Costs</t>
  </si>
  <si>
    <t>Goli Women's Complete Multi Gummy</t>
  </si>
  <si>
    <t>Medicube S.O.S Invisible Patch &amp; Medicube No Cast Just Dew PDRN Sunscreen</t>
  </si>
  <si>
    <t>Jergens Natural Glow Hydra Gel Moisturizer</t>
  </si>
  <si>
    <t>Gruns Immun 13-in1 Immunity Gummies</t>
  </si>
  <si>
    <t>DR.DENT Purple Mouthwash</t>
  </si>
  <si>
    <t>Medicube Deoxyribose Scalp Serum</t>
  </si>
  <si>
    <t>Neuro Gum Watermlon Energy &amp; Focus</t>
  </si>
  <si>
    <t>Taste Salud 2-in1 Skin &amp; Beauty Drink Mix</t>
  </si>
  <si>
    <t>COSRX US AIRY LIGHT CLEAR SUNSCREEN STICK</t>
  </si>
  <si>
    <t>Bloom Nutrition Daily Hydration Sticks</t>
  </si>
  <si>
    <t>COSRX US Vitamin E Vitalizing Sunscreen</t>
  </si>
  <si>
    <t>COSRX US The Peptide Collagen Lifting Mask</t>
  </si>
  <si>
    <t>Physician's Choice Probiotic Gummies</t>
  </si>
  <si>
    <t>Gruns Greens Popsicle Firecracker Gummies</t>
  </si>
  <si>
    <t>SKIN1004 Hyla Cica Sun Serum</t>
  </si>
  <si>
    <t>TIRTIR Hydro UV Shield Sunscreen</t>
  </si>
  <si>
    <t>Total Product Sample Costs</t>
  </si>
  <si>
    <t>Total Operating Expenses</t>
  </si>
  <si>
    <t>Total Operating Profit (Loss)</t>
  </si>
  <si>
    <t>Aros Media Dashboard</t>
  </si>
  <si>
    <t>Videos Produced</t>
  </si>
  <si>
    <t>Total Production Cost</t>
  </si>
  <si>
    <t>Total GMV</t>
  </si>
  <si>
    <t>Total Commission</t>
  </si>
  <si>
    <t>Total Profit</t>
  </si>
  <si>
    <t>ROI</t>
  </si>
  <si>
    <t>Total Orders</t>
  </si>
  <si>
    <t>Cost Per Order</t>
  </si>
  <si>
    <t>Aros Media Business Findings</t>
  </si>
  <si>
    <t>EXECUTIVE SUMMARY</t>
  </si>
  <si>
    <t>- Aros Media generated $200.64 in commission revenue against $1,965.97 in total expenses</t>
  </si>
  <si>
    <t>- Recorded an operating loss of $1,765.33</t>
  </si>
  <si>
    <t>- Subscriptions were the largest expense category, accounting for approximately 30.7% of total expenses</t>
  </si>
  <si>
    <t>- Profitability analysis identifies specifc products, creators, and content styles to investigate for future production decisions</t>
  </si>
  <si>
    <t>Prioritize high-performing products</t>
  </si>
  <si>
    <t>- Products such as JOYMODE Ignite Libido Support, IRIS Hormone Health Drink Mix, BetterAlt Shilajit Honey Sticks, tarte CC Color-Correct Tinted Serum, and Beast Bites Creatine Gummies generated the strongest profits and highest ROI.</t>
  </si>
  <si>
    <t>- Increase content production for these products based on their strong profit and ROI performance.</t>
  </si>
  <si>
    <t>Increase production for high-performing creators</t>
  </si>
  <si>
    <t>- Creators with consistently positive ROI should recieve a greater share of production resources.</t>
  </si>
  <si>
    <t>- Blakely was the only creator with positive ROI; prioritize additional production with this creator while monitoring performance.</t>
  </si>
  <si>
    <t>Reduce spending on underperforming content styles</t>
  </si>
  <si>
    <t>- Negative-ROI content styles represent an opportunity to reduce production waste.</t>
  </si>
  <si>
    <t>- Product Overlay was the only profitable content style; prioritize this format while reducing investment in consistently negative-ROI styles.</t>
  </si>
  <si>
    <t>Improve posting consistency</t>
  </si>
  <si>
    <t>- The daily production analysis indicates daily video production was trending upwards and was reduced to 40 videos a day.</t>
  </si>
  <si>
    <t>- Daily profit was, on average, higher through the periods of upward trending posting volume (6/12 - 6/25) suggesting a potential relationship.</t>
  </si>
  <si>
    <t>- Consider gradually increasing production volume while monitoring whether additional output continues to improve profitability.</t>
  </si>
  <si>
    <t>Replicate top performing videos</t>
  </si>
  <si>
    <t>- The top 10 performing videos by profit generated more than $4 of profit per video, contributing $84.43 in total profit.</t>
  </si>
  <si>
    <t>- Replicate the characteristics and content styles of these videos in future production.</t>
  </si>
  <si>
    <t>Evaluate Subscription costs</t>
  </si>
  <si>
    <t>- Subscriptions account for approximately 31% of total expenses</t>
  </si>
  <si>
    <t>- Reevaluating these subscriptions to reduce a major expense should be a top priority</t>
  </si>
  <si>
    <t>- Adjusting subscription tiers, switching to different platforms, etc.</t>
  </si>
  <si>
    <t>Date Posted</t>
  </si>
  <si>
    <t>Month</t>
  </si>
  <si>
    <t>Week</t>
  </si>
  <si>
    <t>Creator</t>
  </si>
  <si>
    <t>Account</t>
  </si>
  <si>
    <t>Brand</t>
  </si>
  <si>
    <t>Product</t>
  </si>
  <si>
    <t>Total Cost:</t>
  </si>
  <si>
    <t>Creator Cost</t>
  </si>
  <si>
    <t>Editor Cost</t>
  </si>
  <si>
    <t>Platform Fee</t>
  </si>
  <si>
    <t>Video #</t>
  </si>
  <si>
    <t>Content Type</t>
  </si>
  <si>
    <t>Erin</t>
  </si>
  <si>
    <t>Account 4</t>
  </si>
  <si>
    <t>Color Wow Hair</t>
  </si>
  <si>
    <t>Color Wow Quick Refresh and Styling Bundle</t>
  </si>
  <si>
    <t>Bottom of Funnel</t>
  </si>
  <si>
    <t>Kitsch</t>
  </si>
  <si>
    <t>Stainless Steel Gua Sha</t>
  </si>
  <si>
    <t>Total Cost</t>
  </si>
  <si>
    <t>GMV</t>
  </si>
  <si>
    <t>Orders</t>
  </si>
  <si>
    <t>Date Updated</t>
  </si>
  <si>
    <t>Commission</t>
  </si>
  <si>
    <t>Clicks</t>
  </si>
  <si>
    <t>Impressions</t>
  </si>
  <si>
    <t>Views</t>
  </si>
  <si>
    <t>Avg Watch Time</t>
  </si>
  <si>
    <t>CTR</t>
  </si>
  <si>
    <t>CTOR</t>
  </si>
  <si>
    <t>Comimission per Order</t>
  </si>
  <si>
    <t>GMV per Order</t>
  </si>
  <si>
    <t>Profit</t>
  </si>
  <si>
    <t>Profit Margin</t>
  </si>
  <si>
    <t>Cost per Order</t>
  </si>
  <si>
    <t>Cost per Click</t>
  </si>
  <si>
    <t>Cost Per $100 GMV</t>
  </si>
  <si>
    <t>Content Style</t>
  </si>
  <si>
    <t>Videos</t>
  </si>
  <si>
    <t>Cost</t>
  </si>
  <si>
    <t>Commission Per Video</t>
  </si>
  <si>
    <t>Profit Per Video</t>
  </si>
  <si>
    <t>Blakely</t>
  </si>
  <si>
    <t>Sierra</t>
  </si>
  <si>
    <t>Brittney</t>
  </si>
  <si>
    <t>Charley</t>
  </si>
  <si>
    <t>Addison</t>
  </si>
  <si>
    <t>Account 1</t>
  </si>
  <si>
    <t>Account 2</t>
  </si>
  <si>
    <t>Videos per Order</t>
  </si>
  <si>
    <t>Account 3</t>
  </si>
  <si>
    <t>JOYMODE Ignite Libido Support</t>
  </si>
  <si>
    <t>IRIS Hormone Health Drink Mix</t>
  </si>
  <si>
    <t>BetterAlt Shilajit Honey Sticks</t>
  </si>
  <si>
    <t>DR DENT</t>
  </si>
  <si>
    <t>Goli Nutrition</t>
  </si>
  <si>
    <t>Beast Bites Nutrition</t>
  </si>
  <si>
    <t>Beast Bites Creatine Gummies</t>
  </si>
  <si>
    <t>Middle of Funnel</t>
  </si>
  <si>
    <t>Lulla</t>
  </si>
  <si>
    <t>LullaBites Natural Sleep Gummies</t>
  </si>
  <si>
    <t>Physician's Choice</t>
  </si>
  <si>
    <t>tarte CC Color-Correct Tinted Serum</t>
  </si>
  <si>
    <t>Swanson Full Spectrum Spearmint Leaf</t>
  </si>
  <si>
    <t>Product Overlay</t>
  </si>
  <si>
    <t>Cutler Nutrition Liquid Carnitine 3000</t>
  </si>
  <si>
    <t>Portable Magnetic Phone Mount</t>
  </si>
  <si>
    <t>tarte dab &amp; gab hair concealer</t>
  </si>
  <si>
    <t>Shirts - Can't Wait to Gamble Today</t>
  </si>
  <si>
    <t>Ekkovision Lifting Straps (D-ring)</t>
  </si>
  <si>
    <t>Olov Electric Shaver</t>
  </si>
  <si>
    <t>Hats - A Baseball Cap</t>
  </si>
  <si>
    <t>Clip Light</t>
  </si>
  <si>
    <t>Bracelet - Silver Bracelet Bundle</t>
  </si>
  <si>
    <t>AmpDaddy Charger Bundle</t>
  </si>
  <si>
    <t>BetterAlt All-in-one supplement</t>
  </si>
  <si>
    <t>MEDITHERAPY Retinal Skin Booster Serum</t>
  </si>
  <si>
    <t>ForestLeaf Grassfed Beef Liver</t>
  </si>
  <si>
    <t>BrainMD L-Theanine Gummies</t>
  </si>
  <si>
    <t>Vimergy Organic Lemon Balm</t>
  </si>
  <si>
    <t>tarte smoldereyes shadow liner duo</t>
  </si>
  <si>
    <t>RAW Nutrition Bum Essential Preworkout</t>
  </si>
  <si>
    <t>Nutricost Caffine Capsules</t>
  </si>
  <si>
    <t>Nooni korean apple lip oil trio</t>
  </si>
  <si>
    <t>Gorilla Mode Base Preworkout</t>
  </si>
  <si>
    <t>Fillo's Walking Tamales Variety Pack</t>
  </si>
  <si>
    <t>BIGVITA Hair +</t>
  </si>
  <si>
    <t>BrainMD Peak Energy</t>
  </si>
  <si>
    <t>NeilMed Piercing Aftercare Spray XL</t>
  </si>
  <si>
    <t>COSRX US The Copper Peptide Serum</t>
  </si>
  <si>
    <t>BioEmblem Magnesium</t>
  </si>
  <si>
    <t>Old Navy Men's Utility Shacket</t>
  </si>
  <si>
    <t>Holafish Unisex Fleece Hoodie</t>
  </si>
  <si>
    <t>Nutricost Creatine Monohydrate</t>
  </si>
  <si>
    <t>Mushroom Coffee</t>
  </si>
  <si>
    <t>Squish Energy Preworkout Jello Shots</t>
  </si>
  <si>
    <t>Neurogum Watermelon</t>
  </si>
  <si>
    <t>Nello Supercalm Drink Mix</t>
  </si>
  <si>
    <t>COSRX US Lifting Hydrogel Mask</t>
  </si>
  <si>
    <t>COSRX US Vitamin E Sunscreen</t>
  </si>
  <si>
    <t>Faux Pearl Decorated Link Bracelet</t>
  </si>
  <si>
    <t>Taste Salud Skin + Beauty Drink Mix</t>
  </si>
  <si>
    <t>Kaja Beauty 3-in-1 Eyeshadow Stack</t>
  </si>
  <si>
    <t>Elegant Faux Pearl Set</t>
  </si>
  <si>
    <t>Medicube Kojic Accid Tumeric Power Duo</t>
  </si>
  <si>
    <t>Carovo Hoop Earrings Set</t>
  </si>
  <si>
    <t>Medicube Kojic Accid Tumeric Pads</t>
  </si>
  <si>
    <t>XL Microfiber Towel</t>
  </si>
  <si>
    <t>Camellia Deep Collagen Lifting Gel Mask</t>
  </si>
  <si>
    <t>Peta Jane Self-Tan Starter Kit Medium</t>
  </si>
  <si>
    <t>SKIN1004 Hyla-Cica Water Fit Sunscreen</t>
  </si>
  <si>
    <t>SNOW Diamond Tetth Whitening Strips</t>
  </si>
  <si>
    <t>Neurogum</t>
  </si>
  <si>
    <t>Holafish</t>
  </si>
  <si>
    <t>Old Navy</t>
  </si>
  <si>
    <t xml:space="preserve">Gruns </t>
  </si>
  <si>
    <t>Nutricost</t>
  </si>
  <si>
    <t>RYZE</t>
  </si>
  <si>
    <t>Nello</t>
  </si>
  <si>
    <t>BetterAlt</t>
  </si>
  <si>
    <t>Squish Energy</t>
  </si>
  <si>
    <t>Peta Jane</t>
  </si>
  <si>
    <t>BioEmblem</t>
  </si>
  <si>
    <t>Olov</t>
  </si>
  <si>
    <t>Hats</t>
  </si>
  <si>
    <t>AmpDaddy</t>
  </si>
  <si>
    <t>Cutler Nutrition</t>
  </si>
  <si>
    <t>COSRX US</t>
  </si>
  <si>
    <t>SNOW</t>
  </si>
  <si>
    <t>Shirts</t>
  </si>
  <si>
    <t>Phone Mount</t>
  </si>
  <si>
    <t>SKIN1004</t>
  </si>
  <si>
    <t>Bracelet</t>
  </si>
  <si>
    <t>ForestLeaf</t>
  </si>
  <si>
    <t>Taste Salud</t>
  </si>
  <si>
    <t>BrainMD</t>
  </si>
  <si>
    <t>JOYMODE</t>
  </si>
  <si>
    <t>tarte</t>
  </si>
  <si>
    <t>Nooni</t>
  </si>
  <si>
    <t>Swanson</t>
  </si>
  <si>
    <t>Fillo's</t>
  </si>
  <si>
    <t>IRIS</t>
  </si>
  <si>
    <t>Vimergy</t>
  </si>
  <si>
    <t>BIGVITA</t>
  </si>
  <si>
    <t>MEDITHERAPY</t>
  </si>
  <si>
    <t>Medicube</t>
  </si>
  <si>
    <t>NeilMed</t>
  </si>
  <si>
    <t>Ekkovision</t>
  </si>
  <si>
    <t>Gorilla</t>
  </si>
  <si>
    <t>RAW Nutrition</t>
  </si>
  <si>
    <t>Round Lab</t>
  </si>
  <si>
    <t>Carovo</t>
  </si>
  <si>
    <t>TIRTIR</t>
  </si>
  <si>
    <t>Kaja Beauty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</si>
</sst>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M/d/yyyy"/>
    <numFmt numFmtId="166" formatCode="m/d"/>
    <numFmt numFmtId="167" formatCode="_(&quot;$&quot;* #,##0.00_);_(&quot;$&quot;* \(#,##0.00\);_(&quot;$&quot;* &quot;-&quot;??_);_(@_)"/>
    <numFmt numFmtId="168" formatCode="&quot;$&quot;#,##0"/>
  </numFmts>
  <fonts count="28">
    <font>
      <sz val="10.0"/>
      <color rgb="FF000000"/>
      <name val="Arial"/>
      <scheme val="minor"/>
    </font>
    <font>
      <color theme="1"/>
      <name val="Calibri"/>
    </font>
    <font>
      <b/>
      <u/>
      <color theme="1"/>
      <name val="Calibri"/>
    </font>
    <font>
      <b/>
      <u/>
      <color theme="1"/>
      <name val="Calibri"/>
    </font>
    <font>
      <b/>
      <u/>
      <color theme="1"/>
      <name val="Calibri"/>
    </font>
    <font>
      <b/>
      <color theme="1"/>
      <name val="Calibri"/>
    </font>
    <font>
      <b/>
      <u/>
      <color theme="1"/>
      <name val="Calibri"/>
    </font>
    <font>
      <color rgb="FF274E13"/>
      <name val="Calibri"/>
    </font>
    <font>
      <b/>
      <u/>
      <color theme="1"/>
      <name val="Calibri"/>
    </font>
    <font>
      <i/>
      <color theme="1"/>
      <name val="Calibri"/>
    </font>
    <font/>
    <font>
      <b/>
      <sz val="76.0"/>
      <color theme="6"/>
      <name val="Calibri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u/>
      <color theme="1"/>
      <name val="Arial"/>
      <scheme val="minor"/>
    </font>
    <font>
      <b/>
      <color rgb="FF274E13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40.0"/>
      <color rgb="FFFBBC04"/>
      <name val="Calibri"/>
    </font>
    <font>
      <b/>
      <sz val="50.0"/>
      <color rgb="FFFBBC04"/>
      <name val="Calibri"/>
    </font>
    <font>
      <b/>
      <u/>
      <sz val="12.0"/>
      <color theme="1"/>
      <name val="Calibri"/>
    </font>
    <font>
      <color theme="1"/>
      <name val="Arial"/>
    </font>
    <font>
      <sz val="8.0"/>
      <color theme="1"/>
      <name val="Calibri"/>
    </font>
    <font>
      <b/>
      <sz val="12.0"/>
      <color theme="1"/>
      <name val="Calibri"/>
    </font>
    <font>
      <color rgb="FF000000"/>
      <name val="Arial"/>
      <scheme val="minor"/>
    </font>
    <font>
      <color rgb="FF274E13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2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1" numFmtId="0" xfId="0" applyFill="1" applyFont="1"/>
    <xf borderId="0" fillId="2" fontId="1" numFmtId="167" xfId="0" applyFill="1" applyFont="1" applyNumberForma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right"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5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2" fillId="2" fontId="6" numFmtId="0" xfId="0" applyAlignment="1" applyBorder="1" applyFill="1" applyFont="1">
      <alignment readingOrder="0"/>
    </xf>
    <xf borderId="3" fillId="2" fontId="1" numFmtId="167" xfId="0" applyBorder="1" applyFill="1" applyFont="1" applyNumberFormat="1"/>
    <xf borderId="4" fillId="2" fontId="1" numFmtId="167" xfId="0" applyBorder="1" applyFill="1" applyFont="1" applyNumberFormat="1"/>
    <xf borderId="0" fillId="0" fontId="1" numFmtId="164" xfId="0" applyAlignment="1" applyFont="1" applyNumberFormat="1">
      <alignment horizontal="right" readingOrder="0"/>
    </xf>
    <xf borderId="5" fillId="0" fontId="5" numFmtId="167" xfId="0" applyAlignment="1" applyBorder="1" applyFont="1" applyNumberFormat="1">
      <alignment horizontal="center"/>
    </xf>
    <xf borderId="6" fillId="2" fontId="1" numFmtId="0" xfId="0" applyAlignment="1" applyBorder="1" applyFill="1" applyFont="1">
      <alignment readingOrder="0"/>
    </xf>
    <xf borderId="0" fillId="2" fontId="7" numFmtId="167" xfId="0" applyFill="1" applyFont="1" applyNumberFormat="1"/>
    <xf borderId="7" fillId="0" fontId="1" numFmtId="0" xfId="0" applyBorder="1" applyFont="1"/>
    <xf borderId="6" fillId="2" fontId="5" numFmtId="0" xfId="0" applyAlignment="1" applyBorder="1" applyFill="1" applyFont="1">
      <alignment horizontal="left" readingOrder="0"/>
    </xf>
    <xf borderId="0" fillId="0" fontId="7" numFmtId="164" xfId="0" applyAlignment="1" applyFont="1" applyNumberFormat="1">
      <alignment horizontal="right" readingOrder="0"/>
    </xf>
    <xf borderId="6" fillId="2" fontId="1" numFmtId="0" xfId="0" applyBorder="1" applyFill="1" applyFont="1"/>
    <xf borderId="0" fillId="0" fontId="1" numFmtId="10" xfId="0" applyAlignment="1" applyFont="1" applyNumberFormat="1">
      <alignment horizontal="right" readingOrder="0"/>
    </xf>
    <xf borderId="7" fillId="2" fontId="1" numFmtId="167" xfId="0" applyBorder="1" applyFill="1" applyFont="1" applyNumberFormat="1"/>
    <xf borderId="0" fillId="0" fontId="7" numFmtId="168" xfId="0" applyAlignment="1" applyFont="1" applyNumberFormat="1">
      <alignment horizontal="right" readingOrder="0"/>
    </xf>
    <xf borderId="8" fillId="0" fontId="1" numFmtId="0" xfId="0" applyAlignment="1" applyBorder="1" applyFont="1">
      <alignment readingOrder="0"/>
    </xf>
    <xf borderId="6" fillId="2" fontId="8" numFmtId="0" xfId="0" applyAlignment="1" applyBorder="1" applyFill="1" applyFont="1">
      <alignment readingOrder="0"/>
    </xf>
    <xf borderId="8" fillId="0" fontId="1" numFmtId="10" xfId="0" applyAlignment="1" applyBorder="1" applyFont="1" applyNumberFormat="1">
      <alignment horizontal="right" readingOrder="0"/>
    </xf>
    <xf borderId="6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9" fillId="0" fontId="1" numFmtId="0" xfId="0" applyBorder="1" applyFont="1"/>
    <xf borderId="0" fillId="2" fontId="1" numFmtId="167" xfId="0" applyAlignment="1" applyFill="1" applyFont="1" applyNumberFormat="1">
      <alignment readingOrder="0"/>
    </xf>
    <xf borderId="9" fillId="0" fontId="1" numFmtId="164" xfId="0" applyBorder="1" applyFont="1" applyNumberFormat="1"/>
    <xf borderId="5" fillId="0" fontId="1" numFmtId="10" xfId="0" applyBorder="1" applyFont="1" applyNumberFormat="1"/>
    <xf borderId="6" fillId="2" fontId="5" numFmtId="0" xfId="0" applyAlignment="1" applyBorder="1" applyFill="1" applyFont="1">
      <alignment readingOrder="0"/>
    </xf>
    <xf borderId="0" fillId="0" fontId="1" numFmtId="167" xfId="0" applyFont="1" applyNumberFormat="1"/>
    <xf borderId="6" fillId="0" fontId="5" numFmtId="0" xfId="0" applyAlignment="1" applyBorder="1" applyFont="1">
      <alignment horizontal="center" readingOrder="0"/>
    </xf>
    <xf borderId="10" fillId="0" fontId="5" numFmtId="167" xfId="0" applyBorder="1" applyFont="1" applyNumberFormat="1"/>
    <xf borderId="6" fillId="0" fontId="9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1" numFmtId="164" xfId="0" applyFont="1" applyNumberFormat="1"/>
    <xf borderId="0" fillId="0" fontId="1" numFmtId="10" xfId="0" applyFont="1" applyNumberFormat="1"/>
    <xf borderId="6" fillId="2" fontId="9" numFmtId="0" xfId="0" applyAlignment="1" applyBorder="1" applyFill="1" applyFont="1">
      <alignment horizontal="center" readingOrder="0"/>
    </xf>
    <xf borderId="6" fillId="0" fontId="9" numFmtId="0" xfId="0" applyAlignment="1" applyBorder="1" applyFont="1">
      <alignment horizontal="left" readingOrder="0"/>
    </xf>
    <xf borderId="6" fillId="2" fontId="1" numFmtId="0" xfId="0" applyAlignment="1" applyBorder="1" applyFill="1" applyFont="1">
      <alignment horizontal="right" readingOrder="0"/>
    </xf>
    <xf borderId="0" fillId="2" fontId="1" numFmtId="167" xfId="0" applyAlignment="1" applyFill="1" applyFont="1" applyNumberFormat="1">
      <alignment horizontal="center" readingOrder="0"/>
    </xf>
    <xf borderId="6" fillId="2" fontId="9" numFmtId="0" xfId="0" applyAlignment="1" applyBorder="1" applyFill="1" applyFont="1">
      <alignment readingOrder="0"/>
    </xf>
    <xf borderId="1" fillId="2" fontId="5" numFmtId="0" xfId="0" applyAlignment="1" applyBorder="1" applyFill="1" applyFont="1">
      <alignment horizontal="center" readingOrder="0"/>
    </xf>
    <xf borderId="9" fillId="0" fontId="10" numFmtId="0" xfId="0" applyBorder="1" applyFont="1"/>
    <xf borderId="5" fillId="0" fontId="10" numFmtId="0" xfId="0" applyBorder="1" applyFont="1"/>
    <xf borderId="11" fillId="2" fontId="5" numFmtId="167" xfId="0" applyBorder="1" applyFill="1" applyFont="1" applyNumberFormat="1"/>
    <xf borderId="0" fillId="3" fontId="11" numFmtId="0" xfId="0" applyAlignment="1" applyFill="1" applyFont="1">
      <alignment horizontal="center" readingOrder="0"/>
    </xf>
    <xf borderId="2" fillId="0" fontId="12" numFmtId="0" xfId="0" applyAlignment="1" applyBorder="1" applyFont="1">
      <alignment horizontal="center" readingOrder="0"/>
    </xf>
    <xf borderId="3" fillId="0" fontId="13" numFmtId="0" xfId="0" applyAlignment="1" applyBorder="1" applyFont="1">
      <alignment horizontal="center" readingOrder="0"/>
    </xf>
    <xf borderId="4" fillId="0" fontId="14" numFmtId="0" xfId="0" applyAlignment="1" applyBorder="1" applyFont="1">
      <alignment horizontal="center" readingOrder="0"/>
    </xf>
    <xf borderId="12" fillId="0" fontId="15" numFmtId="3" xfId="0" applyAlignment="1" applyBorder="1" applyFont="1" applyNumberFormat="1">
      <alignment horizontal="center"/>
    </xf>
    <xf borderId="8" fillId="0" fontId="15" numFmtId="164" xfId="0" applyAlignment="1" applyBorder="1" applyFont="1" applyNumberFormat="1">
      <alignment horizontal="center"/>
    </xf>
    <xf borderId="8" fillId="0" fontId="16" numFmtId="10" xfId="0" applyAlignment="1" applyBorder="1" applyFont="1" applyNumberFormat="1">
      <alignment horizontal="center"/>
    </xf>
    <xf borderId="8" fillId="0" fontId="15" numFmtId="3" xfId="0" applyAlignment="1" applyBorder="1" applyFont="1" applyNumberFormat="1">
      <alignment horizontal="center"/>
    </xf>
    <xf borderId="13" fillId="0" fontId="16" numFmtId="164" xfId="0" applyAlignment="1" applyBorder="1" applyFont="1" applyNumberFormat="1">
      <alignment horizontal="center"/>
    </xf>
    <xf borderId="0" fillId="0" fontId="17" numFmtId="0" xfId="0" applyAlignment="1" applyFont="1">
      <alignment readingOrder="0"/>
    </xf>
    <xf borderId="0" fillId="0" fontId="17" numFmtId="164" xfId="0" applyFont="1" applyNumberFormat="1"/>
    <xf borderId="0" fillId="0" fontId="17" numFmtId="164" xfId="0" applyFont="1" applyNumberFormat="1"/>
    <xf borderId="0" fillId="0" fontId="17" numFmtId="10" xfId="0" applyFont="1" applyNumberFormat="1"/>
    <xf borderId="0" fillId="0" fontId="16" numFmtId="0" xfId="0" applyAlignment="1" applyFont="1">
      <alignment readingOrder="0"/>
    </xf>
    <xf borderId="0" fillId="3" fontId="18" numFmtId="0" xfId="0" applyAlignment="1" applyFill="1" applyFont="1">
      <alignment horizontal="center" readingOrder="0"/>
    </xf>
    <xf borderId="0" fillId="0" fontId="19" numFmtId="0" xfId="0" applyAlignment="1" applyFont="1">
      <alignment horizontal="center" readingOrder="0"/>
    </xf>
    <xf borderId="14" fillId="0" fontId="20" numFmtId="0" xfId="0" applyAlignment="1" applyBorder="1" applyFont="1">
      <alignment readingOrder="0" vertical="bottom"/>
    </xf>
    <xf borderId="15" fillId="0" fontId="21" numFmtId="0" xfId="0" applyAlignment="1" applyBorder="1" applyFont="1">
      <alignment vertical="bottom"/>
    </xf>
    <xf borderId="15" fillId="0" fontId="17" numFmtId="0" xfId="0" applyBorder="1" applyFont="1"/>
    <xf borderId="16" fillId="0" fontId="17" numFmtId="0" xfId="0" applyBorder="1" applyFont="1"/>
    <xf borderId="17" fillId="0" fontId="1" numFmtId="0" xfId="0" applyAlignment="1" applyBorder="1" applyFont="1">
      <alignment readingOrder="0" vertical="bottom"/>
    </xf>
    <xf borderId="0" fillId="0" fontId="21" numFmtId="0" xfId="0" applyAlignment="1" applyFont="1">
      <alignment vertical="bottom"/>
    </xf>
    <xf borderId="18" fillId="0" fontId="17" numFmtId="0" xfId="0" applyBorder="1" applyFont="1"/>
    <xf borderId="0" fillId="0" fontId="22" numFmtId="0" xfId="0" applyAlignment="1" applyFont="1">
      <alignment horizontal="right" readingOrder="0"/>
    </xf>
    <xf borderId="19" fillId="0" fontId="1" numFmtId="0" xfId="0" applyAlignment="1" applyBorder="1" applyFont="1">
      <alignment readingOrder="0" vertical="bottom"/>
    </xf>
    <xf borderId="20" fillId="0" fontId="21" numFmtId="0" xfId="0" applyAlignment="1" applyBorder="1" applyFont="1">
      <alignment vertical="bottom"/>
    </xf>
    <xf borderId="20" fillId="0" fontId="17" numFmtId="0" xfId="0" applyBorder="1" applyFont="1"/>
    <xf borderId="21" fillId="0" fontId="17" numFmtId="0" xfId="0" applyBorder="1" applyFont="1"/>
    <xf borderId="0" fillId="0" fontId="23" numFmtId="0" xfId="0" applyAlignment="1" applyFont="1">
      <alignment readingOrder="0"/>
    </xf>
    <xf borderId="0" fillId="0" fontId="17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4" fontId="24" numFmtId="49" xfId="0" applyAlignment="1" applyFill="1" applyFont="1" applyNumberFormat="1">
      <alignment horizontal="left" readingOrder="0" shrinkToFit="0" vertical="center" wrapText="1"/>
    </xf>
    <xf borderId="0" fillId="0" fontId="17" numFmtId="0" xfId="0" applyAlignment="1" applyFont="1">
      <alignment horizontal="left" readingOrder="0" shrinkToFit="0" vertical="center" wrapText="1"/>
    </xf>
    <xf borderId="0" fillId="0" fontId="17" numFmtId="165" xfId="0" applyAlignment="1" applyFont="1" applyNumberFormat="1">
      <alignment readingOrder="0" shrinkToFit="0" vertical="center" wrapText="0"/>
    </xf>
    <xf borderId="0" fillId="0" fontId="17" numFmtId="0" xfId="0" applyAlignment="1" applyFont="1">
      <alignment shrinkToFit="0" vertical="center" wrapText="0"/>
    </xf>
    <xf borderId="0" fillId="0" fontId="24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7" numFmtId="164" xfId="0" applyAlignment="1" applyFont="1" applyNumberFormat="1">
      <alignment shrinkToFit="0" vertical="center" wrapText="0"/>
    </xf>
    <xf borderId="0" fillId="0" fontId="24" numFmtId="164" xfId="0" applyAlignment="1" applyFont="1" applyNumberFormat="1">
      <alignment readingOrder="0" shrinkToFit="0" vertical="center" wrapText="0"/>
    </xf>
    <xf borderId="0" fillId="0" fontId="17" numFmtId="0" xfId="0" applyAlignment="1" applyFont="1">
      <alignment horizontal="left" readingOrder="0" shrinkToFit="0" wrapText="1"/>
    </xf>
    <xf borderId="0" fillId="0" fontId="17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0" fontId="17" numFmtId="0" xfId="0" applyAlignment="1" applyFont="1">
      <alignment horizontal="left" readingOrder="0" shrinkToFit="0" vertical="center" wrapText="0"/>
    </xf>
    <xf borderId="0" fillId="0" fontId="16" numFmtId="0" xfId="0" applyAlignment="1" applyFont="1">
      <alignment horizontal="left" readingOrder="0" shrinkToFit="0" vertical="center" wrapText="0"/>
    </xf>
    <xf borderId="0" fillId="0" fontId="17" numFmtId="49" xfId="0" applyAlignment="1" applyFont="1" applyNumberFormat="1">
      <alignment horizontal="left" readingOrder="0" shrinkToFit="0" vertical="center" wrapText="0"/>
    </xf>
    <xf borderId="0" fillId="5" fontId="17" numFmtId="0" xfId="0" applyAlignment="1" applyFill="1" applyFont="1">
      <alignment horizontal="left" readingOrder="0" shrinkToFit="0" vertical="center" wrapText="0"/>
    </xf>
    <xf borderId="0" fillId="0" fontId="25" numFmtId="0" xfId="0" applyAlignment="1" applyFont="1">
      <alignment readingOrder="0" shrinkToFit="0" vertical="center" wrapText="0"/>
    </xf>
    <xf borderId="0" fillId="0" fontId="25" numFmtId="0" xfId="0" applyAlignment="1" applyFont="1">
      <alignment shrinkToFit="0" vertical="center" wrapText="0"/>
    </xf>
    <xf borderId="0" fillId="0" fontId="25" numFmtId="0" xfId="0" applyAlignment="1" applyFont="1">
      <alignment shrinkToFit="0" vertical="center" wrapText="0"/>
    </xf>
    <xf borderId="0" fillId="0" fontId="25" numFmtId="164" xfId="0" applyAlignment="1" applyFont="1" applyNumberFormat="1">
      <alignment readingOrder="0" shrinkToFit="0" vertical="center" wrapText="0"/>
    </xf>
    <xf borderId="0" fillId="0" fontId="17" numFmtId="164" xfId="0" applyAlignment="1" applyFont="1" applyNumberFormat="1">
      <alignment readingOrder="0" shrinkToFit="0" vertical="center" wrapText="0"/>
    </xf>
    <xf borderId="0" fillId="0" fontId="25" numFmtId="165" xfId="0" applyAlignment="1" applyFont="1" applyNumberFormat="1">
      <alignment shrinkToFit="0" vertical="center" wrapText="0"/>
    </xf>
    <xf borderId="0" fillId="0" fontId="17" numFmtId="166" xfId="0" applyAlignment="1" applyFont="1" applyNumberFormat="1">
      <alignment readingOrder="0" shrinkToFit="0" vertical="center" wrapText="0"/>
    </xf>
    <xf borderId="0" fillId="0" fontId="17" numFmtId="0" xfId="0" applyAlignment="1" applyFont="1">
      <alignment readingOrder="0" shrinkToFit="0" vertical="center" wrapText="0"/>
    </xf>
    <xf borderId="0" fillId="0" fontId="17" numFmtId="0" xfId="0" applyAlignment="1" applyFont="1">
      <alignment shrinkToFit="0" vertical="center" wrapText="0"/>
    </xf>
    <xf borderId="0" fillId="0" fontId="17" numFmtId="10" xfId="0" applyAlignment="1" applyFont="1" applyNumberFormat="1">
      <alignment shrinkToFit="0" vertical="center" wrapText="0"/>
    </xf>
    <xf borderId="0" fillId="0" fontId="16" numFmtId="0" xfId="0" applyAlignment="1" applyFont="1">
      <alignment shrinkToFit="0" vertical="center" wrapText="0"/>
    </xf>
    <xf borderId="0" fillId="0" fontId="17" numFmtId="9" xfId="0" applyAlignment="1" applyFont="1" applyNumberFormat="1">
      <alignment shrinkToFit="0" vertical="center" wrapText="0"/>
    </xf>
    <xf borderId="0" fillId="0" fontId="17" numFmtId="0" xfId="0" applyAlignment="1" applyFont="1">
      <alignment shrinkToFit="0" vertical="center" wrapText="0"/>
    </xf>
    <xf borderId="0" fillId="5" fontId="25" numFmtId="0" xfId="0" applyAlignment="1" applyFill="1" applyFont="1">
      <alignment shrinkToFit="0" vertical="center" wrapText="0"/>
    </xf>
    <xf borderId="0" fillId="0" fontId="17" numFmtId="0" xfId="0" applyFont="1"/>
    <xf borderId="0" fillId="0" fontId="17" numFmtId="168" xfId="0" applyFont="1" applyNumberFormat="1"/>
    <xf borderId="0" fillId="0" fontId="25" numFmtId="0" xfId="0" applyAlignment="1" applyFont="1">
      <alignment shrinkToFit="0" vertical="center" wrapText="0"/>
    </xf>
    <xf borderId="0" fillId="0" fontId="25" numFmtId="165" xfId="0" applyAlignment="1" applyFont="1" applyNumberFormat="1">
      <alignment shrinkToFit="0" vertical="center" wrapText="0"/>
    </xf>
    <xf borderId="0" fillId="0" fontId="26" numFmtId="0" xfId="0" applyAlignment="1" applyFont="1">
      <alignment horizontal="center" readingOrder="0"/>
    </xf>
    <xf borderId="0" fillId="0" fontId="27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0" fontId="17" numFmtId="49" xfId="0" applyAlignment="1" applyFont="1" applyNumberFormat="1">
      <alignment readingOrder="0"/>
    </xf>
    <xf borderId="0" fillId="0" fontId="17" numFmtId="0" xfId="0" applyAlignment="1" applyFont="1">
      <alignment readingOrder="0"/>
    </xf>
    <xf borderId="0" fillId="0" fontId="17" numFmtId="165" xfId="0" applyFont="1" applyNumberFormat="1"/>
    <xf borderId="0" fillId="0" fontId="17" numFmtId="0" xfId="0" applyFont="1"/>
    <xf borderId="0" fillId="0" fontId="17" numFmtId="9" xfId="0" applyFont="1" applyNumberFormat="1"/>
    <xf borderId="0" fillId="0" fontId="17" numFmtId="0" xfId="0" applyAlignment="1" applyFont="1">
      <alignment horizontal="center" readingOrder="0"/>
    </xf>
    <xf borderId="0" fillId="0" fontId="17" numFmtId="9" xfId="0" applyAlignment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164" xfId="0" applyAlignment="1" applyFont="1" applyNumberFormat="1">
      <alignment horizontal="center"/>
    </xf>
    <xf borderId="0" fillId="0" fontId="17" numFmtId="1" xfId="0" applyAlignment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164" xfId="0" applyAlignment="1" applyFont="1" applyNumberFormat="1">
      <alignment shrinkToFit="0" vertical="center" wrapText="0"/>
    </xf>
    <xf borderId="0" fillId="0" fontId="24" numFmtId="164" xfId="0" applyAlignment="1" applyFont="1" applyNumberFormat="1">
      <alignment shrinkToFit="0" vertical="center" wrapText="0"/>
    </xf>
    <xf borderId="0" fillId="0" fontId="17" numFmtId="165" xfId="0" applyAlignment="1" applyFont="1" applyNumberFormat="1">
      <alignment readingOrder="0" shrinkToFit="0" vertical="center" wrapText="0"/>
    </xf>
    <xf borderId="0" fillId="4" fontId="24" numFmtId="164" xfId="0" applyAlignment="1" applyFill="1" applyFont="1" applyNumberFormat="1">
      <alignment readingOrder="0" shrinkToFit="0" vertical="center" wrapText="0"/>
    </xf>
    <xf borderId="0" fillId="4" fontId="24" numFmtId="164" xfId="0" applyAlignment="1" applyFill="1" applyFont="1" applyNumberFormat="1">
      <alignment shrinkToFit="0" vertical="center" wrapText="0"/>
    </xf>
    <xf borderId="0" fillId="0" fontId="24" numFmtId="164" xfId="0" applyAlignment="1" applyFont="1" applyNumberFormat="1">
      <alignment readingOrder="0" shrinkToFit="0" vertical="center" wrapText="0"/>
    </xf>
    <xf borderId="0" fillId="0" fontId="17" numFmtId="0" xfId="0" applyAlignment="1" applyFont="1">
      <alignment shrinkToFit="0" vertical="center" wrapText="0"/>
    </xf>
    <xf borderId="0" fillId="0" fontId="25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FFFFFF"/>
      </font>
      <fill>
        <patternFill patternType="none"/>
      </fill>
      <border/>
    </dxf>
    <dxf>
      <font/>
      <fill>
        <patternFill patternType="solid">
          <fgColor rgb="FFFF0000"/>
          <bgColor rgb="FFFF0000"/>
        </patternFill>
      </fill>
      <border/>
    </dxf>
  </dxfs>
  <tableStyles count="2">
    <tableStyle count="4" pivot="0" name="Video Databa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erformance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_rels/chartEx1.xml.rels><?xml version="1.0" encoding="UTF-8" standalone="yes"?>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Daily Profit / Loss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Tables'!$B$1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'Pivot Tables'!$A$2:$A$31</c:f>
            </c:strRef>
          </c:cat>
          <c:val>
            <c:numRef>
              <c:f>'Pivot Tables'!$B$2:$B$31</c:f>
              <c:numCache/>
            </c:numRef>
          </c:val>
          <c:smooth val="0"/>
        </c:ser>
        <c:axId val="1566155890"/>
        <c:axId val="1498244970"/>
      </c:lineChart>
      <c:catAx>
        <c:axId val="15661558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8244970"/>
      </c:catAx>
      <c:valAx>
        <c:axId val="1498244970"/>
        <c:scaling>
          <c:orientation val="minMax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615589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Daily Videos Production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Tables'!$E$1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7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cat>
            <c:strRef>
              <c:f>'Pivot Tables'!$D$2:$D$31</c:f>
            </c:strRef>
          </c:cat>
          <c:val>
            <c:numRef>
              <c:f>'Pivot Tables'!$E$2:$E$31</c:f>
              <c:numCache/>
            </c:numRef>
          </c:val>
          <c:smooth val="0"/>
        </c:ser>
        <c:axId val="283007844"/>
        <c:axId val="338111128"/>
      </c:lineChart>
      <c:catAx>
        <c:axId val="2830078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38111128"/>
      </c:catAx>
      <c:valAx>
        <c:axId val="338111128"/>
        <c:scaling>
          <c:orientation val="minMax"/>
          <c:max val="150.0"/>
        </c:scaling>
        <c:delete val="0"/>
        <c:axPos val="l"/>
        <c:majorGridlines>
          <c:spPr>
            <a:ln>
              <a:solidFill>
                <a:srgbClr val="EFEFE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30078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Profit by Account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'Pivot Tables'!$X$10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&quot;$&quot;#,##0.00" sourceLinked="0"/>
            <c:txPr>
              <a:bodyPr/>
              <a:lstStyle/>
              <a:p>
                <a:pPr lvl="0">
                  <a:defRPr b="0"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Tables'!$T$11:$T$14</c:f>
            </c:strRef>
          </c:cat>
          <c:val>
            <c:numRef>
              <c:f>'Pivot Tables'!$X$11:$X$14</c:f>
              <c:numCache/>
            </c:numRef>
          </c:val>
        </c:ser>
        <c:axId val="85435378"/>
        <c:axId val="85570496"/>
      </c:barChart>
      <c:catAx>
        <c:axId val="854353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570496"/>
      </c:catAx>
      <c:valAx>
        <c:axId val="85570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4353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Top 10 Products by Profit</a:t>
            </a:r>
          </a:p>
        </c:rich>
      </c:tx>
      <c:overlay val="0"/>
    </c:title>
    <c:plotArea>
      <c:layout/>
      <c:barChart>
        <c:barDir val="bar"/>
        <c:varyColors val="0"/>
        <c:ser>
          <c:idx val="0"/>
          <c:order val="0"/>
          <c:tx>
            <c:strRef>
              <c:f>'Pivot Tables'!$M$14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&quot;$&quot;#,##0.00" sourceLinked="0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Tables'!$G$15:$G$24</c:f>
            </c:strRef>
          </c:cat>
          <c:val>
            <c:numRef>
              <c:f>'Pivot Tables'!$M$15:$M$24</c:f>
              <c:numCache/>
            </c:numRef>
          </c:val>
        </c:ser>
        <c:axId val="1305660252"/>
        <c:axId val="956803071"/>
      </c:barChart>
      <c:catAx>
        <c:axId val="130566025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6803071"/>
      </c:catAx>
      <c:valAx>
        <c:axId val="956803071"/>
        <c:scaling>
          <c:orientation val="minMax"/>
        </c:scaling>
        <c:delete val="0"/>
        <c:axPos val="b"/>
        <c:majorGridlines>
          <c:spPr>
            <a:ln>
              <a:solidFill>
                <a:srgbClr val="999999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&quot;$&quot;#,##0.0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566025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Creators by ROI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'Pivot Tables'!$V$1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Lbls>
            <c:numFmt formatCode="0.00%" sourceLinked="0"/>
            <c:txPr>
              <a:bodyPr/>
              <a:lstStyle/>
              <a:p>
                <a:pPr lvl="0">
                  <a:defRPr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Tables'!$P$2:$P$7</c:f>
            </c:strRef>
          </c:cat>
          <c:val>
            <c:numRef>
              <c:f>'Pivot Tables'!$V$2:$V$7</c:f>
              <c:numCache/>
            </c:numRef>
          </c:val>
        </c:ser>
        <c:axId val="777061339"/>
        <c:axId val="1227412780"/>
      </c:barChart>
      <c:catAx>
        <c:axId val="777061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7412780"/>
      </c:catAx>
      <c:valAx>
        <c:axId val="12274127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706133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Content Style ROI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'Pivot Tables'!$Z$17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dPt>
            <c:idx val="0"/>
          </c:dPt>
          <c:dLbls>
            <c:numFmt formatCode="0.00%" sourceLinked="0"/>
            <c:txPr>
              <a:bodyPr/>
              <a:lstStyle/>
              <a:p>
                <a:pPr lvl="0">
                  <a:defRPr sz="1400">
                    <a:solidFill>
                      <a:srgbClr val="FFFFFF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Tables'!$T$18:$T$20</c:f>
            </c:strRef>
          </c:cat>
          <c:val>
            <c:numRef>
              <c:f>'Pivot Tables'!$Z$18:$Z$20</c:f>
              <c:numCache/>
            </c:numRef>
          </c:val>
        </c:ser>
        <c:axId val="1238886664"/>
        <c:axId val="1694375721"/>
      </c:barChart>
      <c:catAx>
        <c:axId val="12388866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94375721"/>
      </c:catAx>
      <c:valAx>
        <c:axId val="16943757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88866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Ex1.xml><?xml version="1.0" encoding="utf-8"?>
<cx:chartSpace xmlns:a="http://schemas.openxmlformats.org/drawingml/2006/main" xmlns:cx="http://schemas.microsoft.com/office/drawing/2014/chartex" xmlns:r="http://schemas.openxmlformats.org/officeDocument/2006/relationships" xmlns:mc="http://schemas.openxmlformats.org/markup-compatibility/2006" xmlns:mv="urn:schemas-microsoft-com:mac:vml" xmlns:c14="http://schemas.microsoft.com/office/drawing/2007/8/2/chart">
  <cx:chartData>
    <cx:data id="0">
      <cx:numDim type="val">
        <cx:f>'Pivot Tables'!$M$2:$M$11</cx:f>
      </cx:numDim>
      <cx:strDim type="cat">
        <cx:f>'Pivot Tables'!$G$2:$G$11</cx:f>
      </cx:strDim>
    </cx:data>
  </cx:chartData>
  <cx:chart>
    <cx:title overlay="0">
      <cx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  <a:r>
            <a:rPr b="1">
              <a:solidFill>
                <a:srgbClr val="000000"/>
              </a:solidFill>
              <a:latin typeface="+mn-lt"/>
            </a:rPr>
            <a:t>Profit of Top Videos</a:t>
          </a:r>
        </a:p>
      </cx:txPr>
    </cx:title>
    <cx:plotArea>
      <cx:plotAreaRegion>
        <cx:series layoutId="waterfall" uniqueId="{329CBB1D-1771-4A55-81FB-49B6560A6AA2}">
          <cx:tx>
            <cx:txData>
              <cx:f>'Pivot Tables'!$M$1</cx:f>
            </cx:txData>
          </cx:tx>
          <cx:dataLabels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>Video #</a:t>
              </a:r>
            </a:p>
          </cx:txPr>
        </cx:title>
        <cx:majorTickMarks type="none"/>
        <cx:minorTickMarks type="none"/>
        <cx:tickLabels/>
        <cx:spPr>
          <a:ln>
            <a:solidFill>
              <a:srgbClr val="B7B7B7"/>
            </a:solidFill>
          </a:ln>
        </cx:spPr>
      </cx:axis>
      <cx:axis id="1">
        <cx:valScaling max="auto" min="auto"/>
        <cx:title>
          <cx:txPr>
            <a:bodyPr/>
            <a:lstStyle/>
            <a:p>
              <a:pPr lvl="0">
                <a:defRPr b="0">
                  <a:solidFill>
                    <a:srgbClr val="000000"/>
                  </a:solidFill>
                  <a:latin typeface="+mn-lt"/>
                </a:defRPr>
              </a:pPr>
              <a:r>
                <a:rPr b="0">
                  <a:solidFill>
                    <a:srgbClr val="000000"/>
                  </a:solidFill>
                  <a:latin typeface="+mn-lt"/>
                </a:rPr>
                <a:t/>
              </a:r>
            </a:p>
          </cx:txPr>
        </cx:title>
        <cx:majorGridlines>
          <cx:spPr>
            <a:ln>
              <a:solidFill>
                <a:srgbClr val="B7B7B7"/>
              </a:solidFill>
            </a:ln>
          </cx:spPr>
        </cx:majorGridlines>
        <cx:minorGridlines>
          <cx:spPr>
            <a:ln>
              <a:solidFill>
                <a:srgbClr val="CCCCCC">
                  <a:alpha val="0"/>
                </a:srgbClr>
              </a:solidFill>
            </a:ln>
          </cx:spPr>
        </cx:minorGridlines>
        <cx:majorTickMarks type="none"/>
        <cx:minorTickMarks type="none"/>
        <cx:tickLabels/>
      </cx:axis>
    </cx:plotArea>
  </cx:chart>
</cx:chartSpace>
</file>

<file path=xl/charts/colors1.xml><?xml version="1.0" encoding="utf-8"?>
<cs:colorStyle xmlns:a="http://schemas.openxmlformats.org/drawingml/2006/main" xmlns:cs="http://schemas.microsoft.com/office/drawing/2012/chartStyle" meth="cycle" id="10">
  <a:srgbClr val="4285F4"/>
  <a:srgbClr val="DB4437"/>
  <a:srgbClr val="000000"/>
</cs:colorStyle>
</file>

<file path=xl/charts/style1.xml><?xml version="1.0" encoding="utf-8"?>
<cs:chartStyle xmlns:a="http://schemas.openxmlformats.org/drawingml/2006/main" xmlns:cs="http://schemas.microsoft.com/office/drawing/2012/chartStyle" id="395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>
    <cs:lnRef idx="0"/>
    <cs:fillRef idx="0"/>
    <cs:effectRef idx="0"/>
    <cs:fontRef idx="minor"/>
    <cs:spPr>
      <a:solidFill>
        <a:srgbClr val="FFFFFF"/>
      </a:solidFill>
      <a:ln cap="flat" cmpd="sng" w="9525" algn="ctr">
        <a:solidFill>
          <a:srgbClr val="000000"/>
        </a:solidFill>
      </a:ln>
    </cs:spPr>
  </cs:chartArea>
  <cs:dataLabel>
    <cs:lnRef idx="0"/>
    <cs:fillRef idx="0"/>
    <cs:effectRef idx="0"/>
    <cs:fontRef idx="minor"/>
  </cs:dataLabel>
  <cs:dataLabelCallout>
    <cs:lnRef idx="0"/>
    <cs:fillRef idx="0"/>
    <cs:effectRef idx="0"/>
    <cs:fontRef idx="minor"/>
  </cs:dataLabelCallout>
  <cs:dataPoint>
    <cs:lnRef idx="0"/>
    <cs:fillRef idx="0">
      <cs:styleClr val="isAuto"/>
    </cs:fillRef>
    <cs:effectRef idx="0"/>
    <cs:fontRef idx="minor"/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32</xdr:row>
      <xdr:rowOff>133350</xdr:rowOff>
    </xdr:from>
    <xdr:ext cx="8877300" cy="20288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42</xdr:row>
      <xdr:rowOff>171450</xdr:rowOff>
    </xdr:from>
    <xdr:ext cx="8877300" cy="18288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219075</xdr:colOff>
      <xdr:row>41</xdr:row>
      <xdr:rowOff>95250</xdr:rowOff>
    </xdr:from>
    <xdr:ext cx="4705350" cy="21050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10</xdr:row>
      <xdr:rowOff>9525</xdr:rowOff>
    </xdr:from>
    <xdr:ext cx="8877300" cy="45529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9</xdr:col>
      <xdr:colOff>219075</xdr:colOff>
      <xdr:row>10</xdr:row>
      <xdr:rowOff>9525</xdr:rowOff>
    </xdr:from>
    <xdr:ext cx="4695825" cy="21050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219075</xdr:colOff>
      <xdr:row>30</xdr:row>
      <xdr:rowOff>190500</xdr:rowOff>
    </xdr:from>
    <xdr:ext cx="4705350" cy="21050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9</xdr:col>
      <xdr:colOff>219075</xdr:colOff>
      <xdr:row>20</xdr:row>
      <xdr:rowOff>85725</xdr:rowOff>
    </xdr:from>
    <xdr:ext cx="4695825" cy="2105025"/>
    <mc:AlternateContent>
      <mc:Choice Requires="cx1">
        <xdr:graphicFrame>
          <xdr:nvGraphicFramePr>
            <xdr:cNvPr id="7" name="Chart 7" title="Char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r:id="rId7"/>
            </a:graphicData>
          </a:graphic>
        </xdr:graphicFrame>
      </mc:Choice>
      <mc:Fallback>
        <xdr:sp>
          <xdr:nvSpPr>
            <xdr:cNvPr id="8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horzOverflow="clip" vertOverflow="clip"/>
            <a:lstStyle/>
            <a:p>
              <a:r>
                <a:rPr lang="en-US" sz="1100"/>
                <a:t>This chart isn't available in your version of Excel. Editing this shape or saving this workbook into a different file format will permanently break the chart.
</a:t>
              </a:r>
            </a:p>
          </xdr:txBody>
        </xdr:sp>
      </mc:Fallback>
    </mc:AlternateContent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X1393" sheet="Performance Data"/>
  </cacheSource>
  <cacheFields>
    <cacheField name="Video #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</sharedItems>
    </cacheField>
    <cacheField name="Creator" numFmtId="0">
      <sharedItems>
        <s v="Erin"/>
        <s v="Blakely"/>
        <s v="Brittney"/>
        <s v="Sierra"/>
        <s v="Charley"/>
        <s v="Addison"/>
      </sharedItems>
    </cacheField>
    <cacheField name="Account" numFmtId="0">
      <sharedItems>
        <s v="Account 4"/>
        <s v="Account 1"/>
        <s v="Account 2"/>
        <s v="Account 3"/>
      </sharedItems>
    </cacheField>
    <cacheField name="Product" numFmtId="0">
      <sharedItems>
        <s v="Color Wow Quick Refresh and Styling Bundle"/>
        <s v="Stainless Steel Gua Sha"/>
        <s v="DR.DENT Purple Mouthwash"/>
        <s v="Goli Women's Complete Multi Gummy"/>
        <s v="Beast Bites Creatine Gummies"/>
        <s v="LullaBites Natural Sleep Gummies"/>
        <s v="Physician's Choice Probiotic Gummies"/>
        <s v="Neurogum Watermelon"/>
        <s v="Holafish Unisex Fleece Hoodie"/>
        <s v="Old Navy Men's Utility Shacket"/>
        <s v="Gruns Greens Popsicle Firecracker Gummies"/>
        <s v="Nutricost Creatine Monohydrate"/>
        <s v="Mushroom Coffee"/>
        <s v="Nello Supercalm Drink Mix"/>
        <s v="BetterAlt Shilajit Honey Sticks"/>
        <s v="Squish Energy Preworkout Jello Shots"/>
        <s v="Peta Jane Self-Tan Starter Kit Medium"/>
        <s v="BioEmblem Magnesium"/>
        <s v="Olov Electric Shaver"/>
        <s v="Hats - A Baseball Cap"/>
        <s v="AmpDaddy Charger Bundle"/>
        <s v="Cutler Nutrition Liquid Carnitine 3000"/>
        <s v="Clip Light"/>
        <s v="COSRX US The Copper Peptide Serum"/>
        <s v="SNOW Diamond Tetth Whitening Strips"/>
        <s v="Shirts - Can't Wait to Gamble Today"/>
        <s v="BetterAlt All-in-one supplement"/>
        <s v="Portable Magnetic Phone Mount"/>
        <s v="SKIN1004 Hyla-Cica Water Fit Sunscreen"/>
        <s v="Bracelet - Silver Bracelet Bundle"/>
        <s v="ForestLeaf Grassfed Beef Liver"/>
        <s v="Taste Salud Skin + Beauty Drink Mix"/>
        <s v="BrainMD L-Theanine Gummies"/>
        <s v="JOYMODE Ignite Libido Support"/>
        <s v="tarte dab &amp; gab hair concealer"/>
        <s v="Nooni korean apple lip oil trio"/>
        <s v="tarte CC Color-Correct Tinted Serum"/>
        <s v="Swanson Full Spectrum Spearmint Leaf"/>
        <s v="Fillo's Walking Tamales Variety Pack"/>
        <s v="IRIS Hormone Health Drink Mix"/>
        <s v="Vimergy Organic Lemon Balm"/>
        <s v="BIGVITA Hair +"/>
        <s v="tarte smoldereyes shadow liner duo"/>
        <s v="BrainMD Peak Energy"/>
        <s v="MEDITHERAPY Retinal Skin Booster Serum"/>
        <s v="Medicube Kojic Accid Tumeric Power Duo"/>
        <s v="Nutricost Caffine Capsules"/>
        <s v="NeilMed Piercing Aftercare Spray XL"/>
        <s v="Ekkovision Lifting Straps (D-ring)"/>
        <s v="Gorilla Mode Base Preworkout"/>
        <s v="RAW Nutrition Bum Essential Preworkout"/>
        <s v="Camellia Deep Collagen Lifting Gel Mask"/>
        <s v="XL Microfiber Towel"/>
        <s v="Elegant Faux Pearl Set"/>
        <s v="Medicube Kojic Accid Tumeric Pads"/>
        <s v="COSRX US Lifting Hydrogel Mask"/>
        <s v="Carovo Hoop Earrings Set"/>
        <s v="TIRTIR Hydro UV Shield Sunscreen"/>
        <s v="COSRX US Vitamin E Sunscreen"/>
        <s v="Kaja Beauty 3-in-1 Eyeshadow Stack"/>
        <s v="Faux Pearl Decorated Link Bracelet"/>
      </sharedItems>
    </cacheField>
    <cacheField name="Total Cost" numFmtId="164">
      <sharedItems containsSemiMixedTypes="0" containsString="0" containsNumber="1">
        <n v="1.1"/>
        <n v="0.11"/>
        <n v="0.7337"/>
        <n v="0.7370000000000001"/>
      </sharedItems>
    </cacheField>
    <cacheField name="GMV" numFmtId="164">
      <sharedItems containsString="0" containsBlank="1" containsNumber="1">
        <n v="0.0"/>
        <n v="17.16"/>
        <n v="16.06"/>
        <n v="19.99"/>
        <n v="18.04"/>
        <n v="17.49"/>
        <n v="18.42"/>
        <n v="14.21"/>
        <n v="11.49"/>
        <n v="7.99"/>
        <n v="20.21"/>
        <n v="11.97"/>
        <n v="17.71"/>
        <n v="11.54"/>
        <n v="22.74"/>
        <n v="11.86"/>
        <n v="14.17"/>
        <n v="34.82"/>
        <n v="65.94"/>
        <n v="20.84"/>
        <n v="17.4"/>
        <n v="60.72"/>
        <n v="34.98"/>
        <n v="20.97"/>
        <n v="22.32"/>
        <n v="157.61"/>
        <n v="35.52"/>
        <n v="26.39"/>
        <n v="15.55"/>
        <n v="7.2"/>
        <n v="13.39"/>
        <n v="29.0"/>
        <n v="137.92"/>
        <n v="25.07"/>
        <n v="20.79"/>
        <n v="26.78"/>
        <n v="18.85"/>
        <n v="23.51"/>
        <n v="35.82"/>
        <n v="19.89"/>
        <n v="27.03"/>
        <n v="35.13"/>
        <m/>
        <n v="55.69"/>
        <n v="18.4"/>
        <n v="21.39"/>
        <n v="69.96"/>
      </sharedItems>
    </cacheField>
    <cacheField name="Orders" numFmtId="0">
      <sharedItems containsString="0" containsBlank="1" containsNumber="1" containsInteger="1">
        <n v="0.0"/>
        <n v="1.0"/>
        <n v="5.0"/>
        <n v="2.0"/>
        <n v="4.0"/>
        <m/>
      </sharedItems>
    </cacheField>
    <cacheField name="Date Posted" numFmtId="165">
      <sharedItems containsSemiMixedTypes="0" containsDate="1" containsString="0">
        <d v="2026-06-06T00:00:00Z"/>
        <d v="2026-06-07T00:00:00Z"/>
        <d v="2026-06-08T00:00:00Z"/>
        <d v="2026-06-09T00:00:00Z"/>
        <d v="2026-06-10T00:00:00Z"/>
        <d v="2026-06-11T00:00:00Z"/>
        <d v="2026-06-12T00:00:00Z"/>
        <d v="2026-06-13T00:00:00Z"/>
        <d v="2026-06-14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3T00:00:00Z"/>
        <d v="2026-06-24T00:00:00Z"/>
        <d v="2026-06-25T00:00:00Z"/>
        <d v="2026-06-26T00:00:00Z"/>
        <d v="2026-06-27T00:00:00Z"/>
        <d v="2026-06-28T00:00:00Z"/>
        <d v="2026-06-29T00:00:00Z"/>
        <d v="2026-06-30T00:00:00Z"/>
        <d v="2026-07-01T00:00:00Z"/>
        <d v="2026-07-02T00:00:00Z"/>
        <d v="2026-07-03T00:00:00Z"/>
        <d v="2026-07-04T00:00:00Z"/>
        <d v="2026-07-05T00:00:00Z"/>
      </sharedItems>
    </cacheField>
    <cacheField name="Date Updated" numFmtId="166">
      <sharedItems containsDate="1" containsString="0" containsBlank="1">
        <d v="2026-06-28T00:00:00Z"/>
        <d v="2026-07-06T00:00:00Z"/>
        <m/>
      </sharedItems>
    </cacheField>
    <cacheField name="Commission" numFmtId="0">
      <sharedItems containsString="0" containsBlank="1" containsNumber="1">
        <n v="0.0"/>
        <n v="1.04"/>
        <n v="1.7"/>
        <n v="2.5"/>
        <n v="5.0"/>
        <n v="2.62"/>
        <n v="11.84"/>
        <n v="4.46"/>
        <n v="1.58"/>
        <n v="1.2"/>
        <n v="1.0"/>
        <n v="4.5"/>
        <n v="4.14"/>
        <n v="2.63"/>
        <n v="2.84"/>
        <n v="2.27"/>
        <n v="3.75"/>
        <n v="3.5"/>
        <n v="8.8"/>
        <n v="2.19"/>
        <n v="0.87"/>
        <n v="3.48"/>
        <n v="1.7489999999999999"/>
        <n v="3.6"/>
        <n v="7.12"/>
        <n v="8.59"/>
        <n v="1.89"/>
        <n v="3.96"/>
        <n v="4.35"/>
        <n v="1.8"/>
        <n v="13.2"/>
        <n v="2.93"/>
        <n v="7.2"/>
        <n v="4.09"/>
        <n v="2.0"/>
        <n v="5.93"/>
        <m/>
        <n v="14.57"/>
        <n v="1.4"/>
        <n v="5.76"/>
      </sharedItems>
    </cacheField>
    <cacheField name="Clicks" numFmtId="0">
      <sharedItems containsString="0" containsBlank="1" containsNumber="1" containsInteger="1">
        <m/>
        <n v="3.0"/>
        <n v="2.0"/>
        <n v="13.0"/>
        <n v="4.0"/>
        <n v="8.0"/>
        <n v="36.0"/>
        <n v="1.0"/>
        <n v="9.0"/>
        <n v="18.0"/>
        <n v="63.0"/>
        <n v="14.0"/>
        <n v="20.0"/>
        <n v="6.0"/>
        <n v="135.0"/>
        <n v="17.0"/>
        <n v="54.0"/>
        <n v="5.0"/>
        <n v="39.0"/>
      </sharedItems>
    </cacheField>
    <cacheField name="Impressions" numFmtId="0">
      <sharedItems containsString="0" containsBlank="1" containsNumber="1" containsInteger="1">
        <m/>
        <n v="100.0"/>
        <n v="498.0"/>
        <n v="1000.0"/>
        <n v="701.0"/>
        <n v="1200.0"/>
        <n v="88.0"/>
        <n v="590.0"/>
        <n v="1400.0"/>
        <n v="1600.0"/>
        <n v="943.0"/>
        <n v="215.0"/>
        <n v="800.0"/>
        <n v="431.0"/>
        <n v="354.0"/>
        <n v="3300.0"/>
        <n v="1100.0"/>
        <n v="4200.0"/>
        <n v="2600.0"/>
        <n v="1300.0"/>
        <n v="636.0"/>
        <n v="609.0"/>
        <n v="81.0"/>
        <n v="4700.0"/>
        <n v="916.0"/>
        <n v="0.0"/>
        <n v="84.0"/>
        <n v="533.0"/>
        <n v="902.0"/>
        <n v="3600.0"/>
        <n v="573.0"/>
        <n v="2000.0"/>
        <n v="113.0"/>
        <n v="832.0"/>
        <n v="15.0"/>
        <n v="255.0"/>
        <n v="410.0"/>
        <n v="426.0"/>
        <n v="350.0"/>
        <n v="2400.0"/>
        <n v="207.0"/>
        <n v="66.0"/>
        <n v="20.0"/>
        <n v="406.0"/>
      </sharedItems>
    </cacheField>
    <cacheField name="Views" numFmtId="0">
      <sharedItems containsString="0" containsBlank="1" containsNumber="1" containsInteger="1">
        <m/>
        <n v="100.0"/>
        <n v="498.0"/>
        <n v="1000.0"/>
        <n v="701.0"/>
        <n v="1200.0"/>
        <n v="88.0"/>
        <n v="590.0"/>
        <n v="1400.0"/>
        <n v="1600.0"/>
        <n v="943.0"/>
        <n v="215.0"/>
        <n v="800.0"/>
        <n v="431.0"/>
        <n v="354.0"/>
        <n v="3300.0"/>
        <n v="1100.0"/>
        <n v="4200.0"/>
        <n v="2600.0"/>
        <n v="1300.0"/>
        <n v="636.0"/>
        <n v="609.0"/>
        <n v="81.0"/>
        <n v="4700.0"/>
        <n v="916.0"/>
        <n v="0.0"/>
        <n v="84.0"/>
        <n v="533.0"/>
        <n v="902.0"/>
        <n v="3600.0"/>
        <n v="573.0"/>
        <n v="2000.0"/>
        <n v="113.0"/>
        <n v="832.0"/>
        <n v="15.0"/>
        <n v="255.0"/>
        <n v="410.0"/>
        <n v="426.0"/>
        <n v="350.0"/>
        <n v="2400.0"/>
        <n v="207.0"/>
        <n v="20.0"/>
        <n v="406.0"/>
      </sharedItems>
    </cacheField>
    <cacheField name="Avg Watch Time" numFmtId="0">
      <sharedItems containsString="0" containsBlank="1">
        <m/>
      </sharedItems>
    </cacheField>
    <cacheField name="CTR">
      <sharedItems containsMixedTypes="1" containsNumber="1">
        <e v="#N/A"/>
        <n v="0.03"/>
        <n v="0.006024096385542169"/>
        <n v="0.003"/>
        <n v="0.0028530670470756064"/>
        <n v="0.0016666666666666668"/>
        <n v="0.14772727272727273"/>
        <n v="0.006779661016949152"/>
        <n v="0.002142857142857143"/>
        <n v="0.005"/>
        <n v="0.008483563096500531"/>
        <n v="0.013953488372093023"/>
        <n v="0.002"/>
        <n v="0.0025"/>
        <n v="0.0225"/>
        <n v="0.004640371229698376"/>
        <n v="0.002824858757062147"/>
        <n v="0.0027272727272727275"/>
        <n v="0.016363636363636365"/>
        <n v="0.015"/>
        <n v="0.011666666666666667"/>
        <n v="0.02423076923076923"/>
        <n v="0.015384615384615385"/>
        <n v="0.009433962264150943"/>
        <n v="0.006568144499178982"/>
        <n v="0.012345679012345678"/>
        <n v="0.02872340425531915"/>
        <n v="0.009825327510917031"/>
        <n v="0.011904761904761904"/>
        <n v="0.001876172607879925"/>
        <n v="0.018847006651884702"/>
        <n v="0.04"/>
        <n v="0.0"/>
        <n v="0.004"/>
        <n v="0.008849557522123894"/>
        <n v="0.006009615384615385"/>
        <n v="0.06666666666666667"/>
        <n v="0.011764705882352941"/>
        <n v="0.004878048780487805"/>
        <n v="0.0035714285714285713"/>
        <n v="0.014084507042253521"/>
        <n v="0.002857142857142857"/>
        <n v="0.01625"/>
        <n v="0.004830917874396135"/>
        <n v="0.030303030303030304"/>
        <n v="0.01"/>
        <n v="0.05"/>
        <n v="0.019704433497536946"/>
      </sharedItems>
    </cacheField>
    <cacheField name="CTOR">
      <sharedItems containsMixedTypes="1" containsNumber="1">
        <e v="#N/A"/>
        <n v="0.3333333333333333"/>
        <n v="0.5"/>
        <n v="0.38461538461538464"/>
        <n v="0.25"/>
        <n v="0.125"/>
        <n v="0.05555555555555555"/>
        <n v="1.0"/>
        <n v="0.1111111111111111"/>
        <n v="0.015873015873015872"/>
        <n v="0.14285714285714285"/>
        <n v="0.05"/>
        <n v="0.02962962962962963"/>
        <n v="0.058823529411764705"/>
        <n v="0.07407407407407407"/>
        <n v="0.2"/>
        <n v="0.4"/>
        <n v="0.16666666666666666"/>
        <n v="0.05128205128205128"/>
        <n v="2.0"/>
      </sharedItems>
    </cacheField>
    <cacheField name="Comimission per Order">
      <sharedItems containsMixedTypes="1" containsNumber="1">
        <e v="#N/A"/>
        <n v="1.04"/>
        <n v="1.7"/>
        <n v="2.5"/>
        <n v="5.0"/>
        <n v="2.62"/>
        <n v="2.368"/>
        <n v="4.46"/>
        <n v="1.58"/>
        <n v="1.2"/>
        <n v="1.0"/>
        <n v="4.5"/>
        <n v="4.14"/>
        <n v="1.315"/>
        <n v="2.84"/>
        <n v="2.27"/>
        <n v="3.75"/>
        <n v="3.5"/>
        <n v="4.4"/>
        <n v="2.19"/>
        <n v="0.87"/>
        <n v="1.74"/>
        <n v="1.7489999999999999"/>
        <n v="3.6"/>
        <n v="7.12"/>
        <n v="2.1475"/>
        <n v="1.89"/>
        <n v="3.96"/>
        <n v="4.35"/>
        <n v="1.8"/>
        <n v="3.3"/>
        <n v="2.93"/>
        <n v="7.2"/>
        <n v="2.045"/>
        <n v="2.0"/>
        <n v="2.965"/>
        <n v="7.285"/>
        <n v="1.4"/>
        <n v="5.76"/>
        <n v="3.48"/>
      </sharedItems>
    </cacheField>
    <cacheField name="GMV per Order">
      <sharedItems containsMixedTypes="1" containsNumber="1">
        <e v="#N/A"/>
        <n v="17.16"/>
        <n v="16.06"/>
        <n v="19.99"/>
        <n v="18.04"/>
        <n v="17.49"/>
        <n v="0.0"/>
        <n v="18.42"/>
        <n v="14.21"/>
        <n v="11.49"/>
        <n v="7.99"/>
        <n v="20.21"/>
        <n v="11.97"/>
        <n v="17.71"/>
        <n v="5.77"/>
        <n v="22.74"/>
        <n v="11.86"/>
        <n v="14.17"/>
        <n v="34.82"/>
        <n v="32.97"/>
        <n v="20.84"/>
        <n v="17.4"/>
        <n v="30.36"/>
        <n v="34.98"/>
        <n v="20.97"/>
        <n v="22.32"/>
        <n v="39.4025"/>
        <n v="35.52"/>
        <n v="26.39"/>
        <n v="15.55"/>
        <n v="7.2"/>
        <n v="13.39"/>
        <n v="29.0"/>
        <n v="34.48"/>
        <n v="25.07"/>
        <n v="20.79"/>
        <n v="26.78"/>
        <n v="18.85"/>
        <n v="23.51"/>
        <n v="35.82"/>
        <n v="19.89"/>
        <n v="27.03"/>
        <n v="17.565"/>
        <n v="27.845"/>
        <n v="18.4"/>
        <n v="21.39"/>
        <n v="69.96"/>
      </sharedItems>
    </cacheField>
    <cacheField name="Profit" numFmtId="0">
      <sharedItems containsSemiMixedTypes="0" containsString="0" containsNumber="1">
        <n v="-1.1"/>
        <n v="-0.06000000000000005"/>
        <n v="-0.11"/>
        <n v="1.5899999999999999"/>
        <n v="1.4"/>
        <n v="3.9"/>
        <n v="1.52"/>
        <n v="11.73"/>
        <n v="4.35"/>
        <n v="1.47"/>
        <n v="1.0899999999999999"/>
        <n v="0.89"/>
        <n v="4.39"/>
        <n v="4.029999999999999"/>
        <n v="2.52"/>
        <n v="-0.7337"/>
        <n v="2.1063"/>
        <n v="1.5363"/>
        <n v="3.64"/>
        <n v="3.39"/>
        <n v="8.690000000000001"/>
        <n v="-0.7370000000000001"/>
        <n v="2.08"/>
        <n v="0.76"/>
        <n v="3.37"/>
        <n v="1.6389999999999998"/>
        <n v="3.49"/>
        <n v="7.01"/>
        <n v="8.48"/>
        <n v="1.7799999999999998"/>
        <n v="3.85"/>
        <n v="3.6163"/>
        <n v="1.69"/>
        <n v="3.6129999999999995"/>
        <n v="13.09"/>
        <n v="0.93"/>
        <n v="2.1963"/>
        <n v="7.09"/>
        <n v="3.98"/>
        <n v="1.89"/>
        <n v="5.819999999999999"/>
        <n v="13.47"/>
        <n v="0.2999999999999998"/>
        <n v="4.66"/>
      </sharedItems>
    </cacheField>
    <cacheField name="ROI" numFmtId="9">
      <sharedItems containsSemiMixedTypes="0" containsString="0" containsNumber="1">
        <n v="-1.0"/>
        <n v="-0.05454545454545459"/>
        <n v="14.454545454545453"/>
        <n v="1.2727272727272725"/>
        <n v="3.545454545454545"/>
        <n v="1.3818181818181816"/>
        <n v="106.63636363636364"/>
        <n v="39.54545454545454"/>
        <n v="13.363636363636363"/>
        <n v="9.909090909090908"/>
        <n v="8.090909090909092"/>
        <n v="39.90909090909091"/>
        <n v="36.63636363636363"/>
        <n v="22.90909090909091"/>
        <n v="2.8707918767888785"/>
        <n v="2.093907591658716"/>
        <n v="33.09090909090909"/>
        <n v="30.81818181818182"/>
        <n v="79.00000000000001"/>
        <n v="18.90909090909091"/>
        <n v="6.909090909090909"/>
        <n v="30.636363636363637"/>
        <n v="14.899999999999999"/>
        <n v="31.72727272727273"/>
        <n v="63.72727272727273"/>
        <n v="77.0909090909091"/>
        <n v="16.18181818181818"/>
        <n v="35.0"/>
        <n v="4.928853754940711"/>
        <n v="15.363636363636363"/>
        <n v="4.902306648575304"/>
        <n v="119.0"/>
        <n v="8.454545454545455"/>
        <n v="2.993457816546272"/>
        <n v="64.45454545454545"/>
        <n v="36.18181818181818"/>
        <n v="17.18181818181818"/>
        <n v="52.90909090909091"/>
        <n v="12.245454545454544"/>
        <n v="0.27272727272727254"/>
        <n v="4.236363636363636"/>
      </sharedItems>
    </cacheField>
    <cacheField name="Profit Margin">
      <sharedItems containsMixedTypes="1" containsNumber="1">
        <e v="#N/A"/>
        <n v="-0.057692307692307744"/>
        <n v="0.9352941176470587"/>
        <n v="0.5599999999999999"/>
        <n v="0.78"/>
        <n v="0.5801526717557252"/>
        <n v="0.9907094594594595"/>
        <n v="0.9753363228699551"/>
        <n v="0.930379746835443"/>
        <n v="0.9083333333333332"/>
        <n v="0.89"/>
        <n v="0.9755555555555555"/>
        <n v="0.9734299516908211"/>
        <n v="0.9581749049429659"/>
        <n v="0.7416549295774648"/>
        <n v="0.676784140969163"/>
        <n v="0.9706666666666667"/>
        <n v="0.9685714285714286"/>
        <n v="0.9875"/>
        <n v="0.949771689497717"/>
        <n v="0.8735632183908046"/>
        <n v="0.9683908045977012"/>
        <n v="0.9371069182389936"/>
        <n v="0.9694444444444444"/>
        <n v="0.9845505617977528"/>
        <n v="0.9871944121071013"/>
        <n v="0.9417989417989417"/>
        <n v="0.9722222222222222"/>
        <n v="0.8313333333333334"/>
        <n v="0.9388888888888889"/>
        <n v="0.8305747126436781"/>
        <n v="0.9916666666666667"/>
        <n v="0.8942307692307693"/>
        <n v="0.7495904436860068"/>
        <n v="0.9847222222222222"/>
        <n v="0.9731051344743277"/>
        <n v="0.945"/>
        <n v="0.9814502529510961"/>
        <n v="0.9245024021962938"/>
        <n v="0.21428571428571416"/>
        <n v="0.8090277777777778"/>
      </sharedItems>
    </cacheField>
    <cacheField name="Cost per Order">
      <sharedItems containsMixedTypes="1" containsNumber="1">
        <s v=""/>
        <n v="1.1"/>
        <n v="0.11"/>
        <n v="0.022"/>
        <n v="0.055"/>
        <n v="0.7337"/>
        <n v="0.0275"/>
        <n v="0.7370000000000001"/>
        <n v="0.55"/>
      </sharedItems>
    </cacheField>
    <cacheField name="Cost per Click">
      <sharedItems containsMixedTypes="1" containsNumber="1">
        <s v=""/>
        <n v="0.3666666666666667"/>
        <n v="0.03666666666666667"/>
        <n v="0.55"/>
        <n v="0.008461538461538461"/>
        <n v="0.0275"/>
        <n v="0.01375"/>
        <n v="0.055"/>
        <n v="0.0030555555555555557"/>
        <n v="0.36685"/>
        <n v="0.7337"/>
        <n v="0.012222222222222223"/>
        <n v="0.006111111111111111"/>
        <n v="0.001746031746031746"/>
        <n v="0.007857142857142858"/>
        <n v="0.0055"/>
        <n v="0.018333333333333333"/>
        <n v="0.11"/>
        <n v="8.148148148148149E-4"/>
        <n v="0.006470588235294118"/>
        <n v="0.18425000000000002"/>
        <n v="0.002037037037037037"/>
        <n v="0.14674"/>
        <n v="0.022"/>
        <n v="0.0028205128205128207"/>
        <n v="1.1"/>
      </sharedItems>
    </cacheField>
    <cacheField name="Cost Per $100 GMV">
      <sharedItems containsMixedTypes="1" containsNumber="1">
        <s v=""/>
        <n v="6.4102564102564115"/>
        <n v="0.6849315068493151"/>
        <n v="5.502751375687845"/>
        <n v="6.097560975609757"/>
        <n v="6.28930817610063"/>
        <n v="0.5971769815418023"/>
        <n v="0.7741027445460943"/>
        <n v="0.9573542210617928"/>
        <n v="1.3767209011264079"/>
        <n v="0.5442850074220682"/>
        <n v="0.9189640768588136"/>
        <n v="0.6211180124223602"/>
        <n v="0.953206239168111"/>
        <n v="3.2264731750219875"/>
        <n v="6.186340640809444"/>
        <n v="0.776287932251235"/>
        <n v="0.31591039632395174"/>
        <n v="0.16681831968456173"/>
        <n v="0.527831094049904"/>
        <n v="0.6321839080459771"/>
        <n v="0.18115942028985507"/>
        <n v="0.3144654088050315"/>
        <n v="0.5245588936576061"/>
        <n v="0.492831541218638"/>
        <n v="0.06979252585495843"/>
        <n v="0.30968468468468463"/>
        <n v="0.4168245547555892"/>
        <n v="4.718327974276527"/>
        <n v="1.5277777777777777"/>
        <n v="0.8215085884988798"/>
        <n v="2.5413793103448277"/>
        <n v="0.07975638051044084"/>
        <n v="0.4387714399680893"/>
        <n v="0.5291005291005292"/>
        <n v="0.4107542942494399"/>
        <n v="3.8923076923076922"/>
        <n v="3.1207996597192684"/>
        <n v="0.30709101060859856"/>
        <n v="0.5530417295123178"/>
        <n v="0.4069552349241583"/>
        <n v="0.31312268716196984"/>
        <n v="1.9752199676782192"/>
        <n v="2.53"/>
        <n v="5.978260869565219"/>
        <n v="5.142589995324919"/>
        <n v="0.1572327044025157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W1393" sheet="Performance Data"/>
  </cacheSource>
  <cacheFields>
    <cacheField name="Video #" numFmtId="0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n v="94.0"/>
        <n v="95.0"/>
        <n v="96.0"/>
        <n v="97.0"/>
        <n v="98.0"/>
        <n v="99.0"/>
        <n v="100.0"/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  <n v="469.0"/>
        <n v="470.0"/>
        <n v="471.0"/>
        <n v="472.0"/>
        <n v="473.0"/>
        <n v="474.0"/>
        <n v="475.0"/>
        <n v="476.0"/>
        <n v="477.0"/>
        <n v="478.0"/>
        <n v="479.0"/>
        <n v="480.0"/>
        <n v="481.0"/>
        <n v="482.0"/>
        <n v="483.0"/>
        <n v="484.0"/>
        <n v="485.0"/>
        <n v="486.0"/>
        <n v="487.0"/>
        <n v="488.0"/>
        <n v="489.0"/>
        <n v="490.0"/>
        <n v="491.0"/>
        <n v="492.0"/>
        <n v="493.0"/>
        <n v="494.0"/>
        <n v="495.0"/>
        <n v="496.0"/>
        <n v="497.0"/>
        <n v="498.0"/>
        <n v="499.0"/>
        <n v="500.0"/>
        <n v="501.0"/>
        <n v="502.0"/>
        <n v="503.0"/>
        <n v="504.0"/>
        <n v="505.0"/>
        <n v="506.0"/>
        <n v="507.0"/>
        <n v="508.0"/>
        <n v="509.0"/>
        <n v="510.0"/>
        <n v="511.0"/>
        <n v="512.0"/>
        <n v="513.0"/>
        <n v="514.0"/>
        <n v="515.0"/>
        <n v="516.0"/>
        <n v="517.0"/>
        <n v="518.0"/>
        <n v="519.0"/>
        <n v="520.0"/>
        <n v="521.0"/>
        <n v="522.0"/>
        <n v="523.0"/>
        <n v="524.0"/>
        <n v="525.0"/>
        <n v="526.0"/>
        <n v="527.0"/>
        <n v="528.0"/>
        <n v="529.0"/>
        <n v="530.0"/>
        <n v="531.0"/>
        <n v="532.0"/>
        <n v="533.0"/>
        <n v="534.0"/>
        <n v="535.0"/>
        <n v="536.0"/>
        <n v="537.0"/>
        <n v="538.0"/>
        <n v="539.0"/>
        <n v="540.0"/>
        <n v="541.0"/>
        <n v="542.0"/>
        <n v="543.0"/>
        <n v="544.0"/>
        <n v="545.0"/>
        <n v="546.0"/>
        <n v="547.0"/>
        <n v="548.0"/>
        <n v="549.0"/>
        <n v="550.0"/>
        <n v="551.0"/>
        <n v="552.0"/>
        <n v="553.0"/>
        <n v="554.0"/>
        <n v="555.0"/>
        <n v="556.0"/>
        <n v="557.0"/>
        <n v="558.0"/>
        <n v="559.0"/>
        <n v="560.0"/>
        <n v="561.0"/>
        <n v="562.0"/>
        <n v="563.0"/>
        <n v="564.0"/>
        <n v="565.0"/>
        <n v="566.0"/>
        <n v="567.0"/>
        <n v="568.0"/>
        <n v="569.0"/>
        <n v="570.0"/>
        <n v="571.0"/>
        <n v="572.0"/>
        <n v="573.0"/>
        <n v="574.0"/>
        <n v="575.0"/>
        <n v="576.0"/>
        <n v="577.0"/>
        <n v="578.0"/>
        <n v="579.0"/>
        <n v="580.0"/>
        <n v="581.0"/>
        <n v="582.0"/>
        <n v="583.0"/>
        <n v="584.0"/>
        <n v="585.0"/>
        <n v="586.0"/>
        <n v="587.0"/>
        <n v="588.0"/>
        <n v="589.0"/>
        <n v="590.0"/>
        <n v="591.0"/>
        <n v="592.0"/>
        <n v="593.0"/>
        <n v="594.0"/>
        <n v="595.0"/>
        <n v="596.0"/>
        <n v="597.0"/>
        <n v="598.0"/>
        <n v="599.0"/>
        <n v="600.0"/>
        <n v="601.0"/>
        <n v="602.0"/>
        <n v="603.0"/>
        <n v="604.0"/>
        <n v="605.0"/>
        <n v="606.0"/>
        <n v="607.0"/>
        <n v="608.0"/>
        <n v="609.0"/>
        <n v="610.0"/>
        <n v="611.0"/>
        <n v="612.0"/>
        <n v="613.0"/>
        <n v="614.0"/>
        <n v="615.0"/>
        <n v="616.0"/>
        <n v="617.0"/>
        <n v="618.0"/>
        <n v="619.0"/>
        <n v="620.0"/>
        <n v="621.0"/>
        <n v="622.0"/>
        <n v="623.0"/>
        <n v="624.0"/>
        <n v="625.0"/>
        <n v="626.0"/>
        <n v="627.0"/>
        <n v="628.0"/>
        <n v="629.0"/>
        <n v="630.0"/>
        <n v="631.0"/>
        <n v="632.0"/>
        <n v="633.0"/>
        <n v="634.0"/>
        <n v="635.0"/>
        <n v="636.0"/>
        <n v="637.0"/>
        <n v="638.0"/>
        <n v="639.0"/>
        <n v="640.0"/>
        <n v="641.0"/>
        <n v="642.0"/>
        <n v="643.0"/>
        <n v="644.0"/>
        <n v="645.0"/>
        <n v="646.0"/>
        <n v="647.0"/>
        <n v="648.0"/>
        <n v="649.0"/>
        <n v="650.0"/>
        <n v="651.0"/>
        <n v="652.0"/>
        <n v="653.0"/>
        <n v="654.0"/>
        <n v="655.0"/>
        <n v="656.0"/>
        <n v="657.0"/>
        <n v="658.0"/>
        <n v="659.0"/>
        <n v="660.0"/>
        <n v="661.0"/>
        <n v="662.0"/>
        <n v="663.0"/>
        <n v="664.0"/>
        <n v="665.0"/>
        <n v="666.0"/>
        <n v="667.0"/>
        <n v="668.0"/>
        <n v="669.0"/>
        <n v="670.0"/>
        <n v="671.0"/>
        <n v="672.0"/>
        <n v="673.0"/>
        <n v="674.0"/>
        <n v="675.0"/>
        <n v="676.0"/>
        <n v="677.0"/>
        <n v="678.0"/>
        <n v="679.0"/>
        <n v="680.0"/>
        <n v="681.0"/>
        <n v="682.0"/>
        <n v="683.0"/>
        <n v="684.0"/>
        <n v="685.0"/>
        <n v="686.0"/>
        <n v="687.0"/>
        <n v="688.0"/>
        <n v="689.0"/>
        <n v="690.0"/>
        <n v="691.0"/>
        <n v="692.0"/>
        <n v="693.0"/>
        <n v="694.0"/>
        <n v="695.0"/>
        <n v="696.0"/>
        <n v="697.0"/>
        <n v="698.0"/>
        <n v="699.0"/>
        <n v="700.0"/>
        <n v="701.0"/>
        <n v="702.0"/>
        <n v="703.0"/>
        <n v="704.0"/>
        <n v="705.0"/>
        <n v="706.0"/>
        <n v="707.0"/>
        <n v="708.0"/>
        <n v="709.0"/>
        <n v="710.0"/>
        <n v="711.0"/>
        <n v="712.0"/>
        <n v="713.0"/>
        <n v="714.0"/>
        <n v="715.0"/>
        <n v="716.0"/>
        <n v="717.0"/>
        <n v="718.0"/>
        <n v="719.0"/>
        <n v="720.0"/>
        <n v="721.0"/>
        <n v="722.0"/>
        <n v="723.0"/>
        <n v="724.0"/>
        <n v="725.0"/>
        <n v="726.0"/>
        <n v="727.0"/>
        <n v="728.0"/>
        <n v="729.0"/>
        <n v="730.0"/>
        <n v="731.0"/>
        <n v="732.0"/>
        <n v="733.0"/>
        <n v="734.0"/>
        <n v="735.0"/>
        <n v="736.0"/>
        <n v="737.0"/>
        <n v="738.0"/>
        <n v="739.0"/>
        <n v="740.0"/>
        <n v="741.0"/>
        <n v="742.0"/>
        <n v="743.0"/>
        <n v="744.0"/>
        <n v="745.0"/>
        <n v="746.0"/>
        <n v="747.0"/>
        <n v="748.0"/>
        <n v="749.0"/>
        <n v="750.0"/>
        <n v="751.0"/>
        <n v="752.0"/>
        <n v="753.0"/>
        <n v="754.0"/>
        <n v="755.0"/>
        <n v="756.0"/>
        <n v="757.0"/>
        <n v="758.0"/>
        <n v="759.0"/>
        <n v="760.0"/>
        <n v="761.0"/>
        <n v="762.0"/>
        <n v="763.0"/>
        <n v="764.0"/>
        <n v="765.0"/>
        <n v="766.0"/>
        <n v="767.0"/>
        <n v="768.0"/>
        <n v="769.0"/>
        <n v="770.0"/>
        <n v="771.0"/>
        <n v="772.0"/>
        <n v="773.0"/>
        <n v="774.0"/>
        <n v="775.0"/>
        <n v="776.0"/>
        <n v="777.0"/>
        <n v="778.0"/>
        <n v="779.0"/>
        <n v="780.0"/>
        <n v="781.0"/>
        <n v="782.0"/>
        <n v="783.0"/>
        <n v="784.0"/>
        <n v="785.0"/>
        <n v="786.0"/>
        <n v="787.0"/>
        <n v="788.0"/>
        <n v="789.0"/>
        <n v="790.0"/>
        <n v="791.0"/>
        <n v="792.0"/>
        <n v="793.0"/>
        <n v="794.0"/>
        <n v="795.0"/>
        <n v="796.0"/>
        <n v="797.0"/>
        <n v="798.0"/>
        <n v="799.0"/>
        <n v="800.0"/>
        <n v="801.0"/>
        <n v="802.0"/>
        <n v="803.0"/>
        <n v="804.0"/>
        <n v="805.0"/>
        <n v="806.0"/>
        <n v="807.0"/>
        <n v="808.0"/>
        <n v="809.0"/>
        <n v="810.0"/>
        <n v="811.0"/>
        <n v="812.0"/>
        <n v="813.0"/>
        <n v="814.0"/>
        <n v="815.0"/>
        <n v="816.0"/>
        <n v="817.0"/>
        <n v="818.0"/>
        <n v="819.0"/>
        <n v="820.0"/>
        <n v="821.0"/>
        <n v="822.0"/>
        <n v="823.0"/>
        <n v="824.0"/>
        <n v="825.0"/>
        <n v="826.0"/>
        <n v="827.0"/>
        <n v="828.0"/>
        <n v="829.0"/>
        <n v="830.0"/>
        <n v="831.0"/>
        <n v="832.0"/>
        <n v="833.0"/>
        <n v="834.0"/>
        <n v="835.0"/>
        <n v="836.0"/>
        <n v="837.0"/>
        <n v="838.0"/>
        <n v="839.0"/>
        <n v="840.0"/>
        <n v="841.0"/>
        <n v="842.0"/>
        <n v="843.0"/>
        <n v="844.0"/>
        <n v="845.0"/>
        <n v="846.0"/>
        <n v="847.0"/>
        <n v="848.0"/>
        <n v="849.0"/>
        <n v="850.0"/>
        <n v="851.0"/>
        <n v="852.0"/>
        <n v="853.0"/>
        <n v="854.0"/>
        <n v="855.0"/>
        <n v="856.0"/>
        <n v="857.0"/>
        <n v="858.0"/>
        <n v="859.0"/>
        <n v="860.0"/>
        <n v="861.0"/>
        <n v="862.0"/>
        <n v="863.0"/>
        <n v="864.0"/>
        <n v="865.0"/>
        <n v="866.0"/>
        <n v="867.0"/>
        <n v="868.0"/>
        <n v="869.0"/>
        <n v="870.0"/>
        <n v="871.0"/>
        <n v="872.0"/>
        <n v="873.0"/>
        <n v="874.0"/>
        <n v="875.0"/>
        <n v="876.0"/>
        <n v="877.0"/>
        <n v="878.0"/>
        <n v="879.0"/>
        <n v="880.0"/>
        <n v="881.0"/>
        <n v="882.0"/>
        <n v="883.0"/>
        <n v="884.0"/>
        <n v="885.0"/>
        <n v="886.0"/>
        <n v="887.0"/>
        <n v="888.0"/>
        <n v="889.0"/>
        <n v="890.0"/>
        <n v="891.0"/>
        <n v="892.0"/>
        <n v="893.0"/>
        <n v="894.0"/>
        <n v="895.0"/>
        <n v="896.0"/>
        <n v="897.0"/>
        <n v="898.0"/>
        <n v="899.0"/>
        <n v="900.0"/>
        <n v="901.0"/>
        <n v="902.0"/>
        <n v="903.0"/>
        <n v="904.0"/>
        <n v="905.0"/>
        <n v="906.0"/>
        <n v="907.0"/>
        <n v="908.0"/>
        <n v="909.0"/>
        <n v="910.0"/>
        <n v="911.0"/>
        <n v="912.0"/>
        <n v="913.0"/>
        <n v="914.0"/>
        <n v="915.0"/>
        <n v="916.0"/>
        <n v="917.0"/>
        <n v="918.0"/>
        <n v="919.0"/>
        <n v="920.0"/>
        <n v="921.0"/>
        <n v="922.0"/>
        <n v="923.0"/>
        <n v="924.0"/>
        <n v="925.0"/>
        <n v="926.0"/>
        <n v="927.0"/>
        <n v="928.0"/>
        <n v="929.0"/>
        <n v="930.0"/>
        <n v="931.0"/>
        <n v="932.0"/>
        <n v="933.0"/>
        <n v="934.0"/>
        <n v="935.0"/>
        <n v="936.0"/>
        <n v="937.0"/>
        <n v="938.0"/>
        <n v="939.0"/>
        <n v="940.0"/>
        <n v="941.0"/>
        <n v="942.0"/>
        <n v="943.0"/>
        <n v="944.0"/>
        <n v="945.0"/>
        <n v="946.0"/>
        <n v="947.0"/>
        <n v="948.0"/>
        <n v="949.0"/>
        <n v="950.0"/>
        <n v="951.0"/>
        <n v="952.0"/>
        <n v="953.0"/>
        <n v="954.0"/>
        <n v="955.0"/>
        <n v="956.0"/>
        <n v="957.0"/>
        <n v="958.0"/>
        <n v="959.0"/>
        <n v="960.0"/>
        <n v="961.0"/>
        <n v="962.0"/>
        <n v="963.0"/>
        <n v="964.0"/>
        <n v="965.0"/>
        <n v="966.0"/>
        <n v="967.0"/>
        <n v="968.0"/>
        <n v="969.0"/>
        <n v="970.0"/>
        <n v="971.0"/>
        <n v="972.0"/>
        <n v="973.0"/>
        <n v="974.0"/>
        <n v="975.0"/>
        <n v="976.0"/>
        <n v="977.0"/>
        <n v="978.0"/>
        <n v="979.0"/>
        <n v="980.0"/>
        <n v="981.0"/>
        <n v="982.0"/>
        <n v="983.0"/>
        <n v="984.0"/>
        <n v="985.0"/>
        <n v="986.0"/>
        <n v="987.0"/>
        <n v="988.0"/>
        <n v="989.0"/>
        <n v="990.0"/>
        <n v="991.0"/>
        <n v="992.0"/>
        <n v="993.0"/>
        <n v="994.0"/>
        <n v="995.0"/>
        <n v="996.0"/>
        <n v="997.0"/>
        <n v="998.0"/>
        <n v="999.0"/>
        <n v="1000.0"/>
        <n v="1001.0"/>
        <n v="1002.0"/>
        <n v="1003.0"/>
        <n v="1004.0"/>
        <n v="1005.0"/>
        <n v="1006.0"/>
        <n v="1007.0"/>
        <n v="1008.0"/>
        <n v="1009.0"/>
        <n v="1010.0"/>
        <n v="1011.0"/>
        <n v="1012.0"/>
        <n v="1013.0"/>
        <n v="1014.0"/>
        <n v="1015.0"/>
        <n v="1016.0"/>
        <n v="1017.0"/>
        <n v="1018.0"/>
        <n v="1019.0"/>
        <n v="1020.0"/>
        <n v="1021.0"/>
        <n v="1022.0"/>
        <n v="1023.0"/>
        <n v="1024.0"/>
        <n v="1025.0"/>
        <n v="1026.0"/>
        <n v="1027.0"/>
        <n v="1028.0"/>
        <n v="1029.0"/>
        <n v="1030.0"/>
        <n v="1031.0"/>
        <n v="1032.0"/>
        <n v="1033.0"/>
        <n v="1034.0"/>
        <n v="1035.0"/>
        <n v="1036.0"/>
        <n v="1037.0"/>
        <n v="1038.0"/>
        <n v="1039.0"/>
        <n v="1040.0"/>
        <n v="1041.0"/>
        <n v="1042.0"/>
        <n v="1043.0"/>
        <n v="1044.0"/>
        <n v="1045.0"/>
        <n v="1046.0"/>
        <n v="1047.0"/>
        <n v="1048.0"/>
        <n v="1049.0"/>
        <n v="1050.0"/>
        <n v="1051.0"/>
        <n v="1052.0"/>
        <n v="1053.0"/>
        <n v="1054.0"/>
        <n v="1055.0"/>
        <n v="1056.0"/>
        <n v="1057.0"/>
        <n v="1058.0"/>
        <n v="1059.0"/>
        <n v="1060.0"/>
        <n v="1061.0"/>
        <n v="1062.0"/>
        <n v="1063.0"/>
        <n v="1064.0"/>
        <n v="1065.0"/>
        <n v="1066.0"/>
        <n v="1067.0"/>
        <n v="1068.0"/>
        <n v="1069.0"/>
        <n v="1070.0"/>
        <n v="1071.0"/>
        <n v="1072.0"/>
        <n v="1073.0"/>
        <n v="1074.0"/>
        <n v="1075.0"/>
        <n v="1076.0"/>
        <n v="1077.0"/>
        <n v="1078.0"/>
        <n v="1079.0"/>
        <n v="1080.0"/>
        <n v="1081.0"/>
        <n v="1082.0"/>
        <n v="1083.0"/>
        <n v="1084.0"/>
        <n v="1085.0"/>
        <n v="1086.0"/>
        <n v="1087.0"/>
        <n v="1088.0"/>
        <n v="1089.0"/>
        <n v="1090.0"/>
        <n v="1091.0"/>
        <n v="1092.0"/>
        <n v="1093.0"/>
        <n v="1094.0"/>
        <n v="1095.0"/>
        <n v="1096.0"/>
        <n v="1097.0"/>
        <n v="1098.0"/>
        <n v="1099.0"/>
        <n v="1100.0"/>
        <n v="1101.0"/>
        <n v="1102.0"/>
        <n v="1103.0"/>
        <n v="1104.0"/>
        <n v="1105.0"/>
        <n v="1106.0"/>
        <n v="1107.0"/>
        <n v="1108.0"/>
        <n v="1109.0"/>
        <n v="1110.0"/>
        <n v="1111.0"/>
        <n v="1112.0"/>
        <n v="1113.0"/>
        <n v="1114.0"/>
        <n v="1115.0"/>
        <n v="1116.0"/>
        <n v="1117.0"/>
        <n v="1118.0"/>
        <n v="1119.0"/>
        <n v="1120.0"/>
        <n v="1121.0"/>
        <n v="1122.0"/>
        <n v="1123.0"/>
        <n v="1124.0"/>
        <n v="1125.0"/>
        <n v="1126.0"/>
        <n v="1127.0"/>
        <n v="1128.0"/>
        <n v="1129.0"/>
        <n v="1130.0"/>
        <n v="1131.0"/>
        <n v="1132.0"/>
        <n v="1133.0"/>
        <n v="1134.0"/>
        <n v="1135.0"/>
        <n v="1136.0"/>
        <n v="1137.0"/>
        <n v="1138.0"/>
        <n v="1139.0"/>
        <n v="1140.0"/>
        <n v="1141.0"/>
        <n v="1142.0"/>
        <n v="1143.0"/>
        <n v="1144.0"/>
        <n v="1145.0"/>
        <n v="1146.0"/>
        <n v="1147.0"/>
        <n v="1148.0"/>
        <n v="1149.0"/>
        <n v="1150.0"/>
        <n v="1151.0"/>
        <n v="1152.0"/>
        <n v="1153.0"/>
        <n v="1154.0"/>
        <n v="1155.0"/>
        <n v="1156.0"/>
        <n v="1157.0"/>
        <n v="1158.0"/>
        <n v="1159.0"/>
        <n v="1160.0"/>
        <n v="1161.0"/>
        <n v="1162.0"/>
        <n v="1163.0"/>
        <n v="1164.0"/>
        <n v="1165.0"/>
        <n v="1166.0"/>
        <n v="1167.0"/>
        <n v="1168.0"/>
        <n v="1169.0"/>
        <n v="1170.0"/>
        <n v="1171.0"/>
        <n v="1172.0"/>
        <n v="1173.0"/>
        <n v="1174.0"/>
        <n v="1175.0"/>
        <n v="1176.0"/>
        <n v="1177.0"/>
        <n v="1178.0"/>
        <n v="1179.0"/>
        <n v="1180.0"/>
        <n v="1181.0"/>
        <n v="1182.0"/>
        <n v="1183.0"/>
        <n v="1184.0"/>
        <n v="1185.0"/>
        <n v="1186.0"/>
        <n v="1187.0"/>
        <n v="1188.0"/>
        <n v="1189.0"/>
        <n v="1190.0"/>
        <n v="1191.0"/>
        <n v="1192.0"/>
        <n v="1193.0"/>
        <n v="1194.0"/>
        <n v="1195.0"/>
        <n v="1196.0"/>
        <n v="1197.0"/>
        <n v="1198.0"/>
        <n v="1199.0"/>
        <n v="1200.0"/>
        <n v="1201.0"/>
        <n v="1202.0"/>
        <n v="1203.0"/>
        <n v="1204.0"/>
        <n v="1205.0"/>
        <n v="1206.0"/>
        <n v="1207.0"/>
        <n v="1208.0"/>
        <n v="1209.0"/>
        <n v="1210.0"/>
        <n v="1211.0"/>
        <n v="1212.0"/>
        <n v="1213.0"/>
        <n v="1214.0"/>
        <n v="1215.0"/>
        <n v="1216.0"/>
        <n v="1217.0"/>
        <n v="1218.0"/>
        <n v="1219.0"/>
        <n v="1220.0"/>
        <n v="1221.0"/>
        <n v="1222.0"/>
        <n v="1223.0"/>
        <n v="1224.0"/>
        <n v="1225.0"/>
        <n v="1226.0"/>
        <n v="1227.0"/>
        <n v="1228.0"/>
        <n v="1229.0"/>
        <n v="1230.0"/>
        <n v="1231.0"/>
        <n v="1232.0"/>
        <n v="1233.0"/>
        <n v="1234.0"/>
        <n v="1235.0"/>
        <n v="1236.0"/>
        <n v="1237.0"/>
        <n v="1238.0"/>
        <n v="1239.0"/>
        <n v="1240.0"/>
        <n v="1241.0"/>
        <n v="1242.0"/>
        <n v="1243.0"/>
        <n v="1244.0"/>
        <n v="1245.0"/>
        <n v="1246.0"/>
        <n v="1247.0"/>
        <n v="1248.0"/>
        <n v="1249.0"/>
        <n v="1250.0"/>
        <n v="1251.0"/>
        <n v="1252.0"/>
        <n v="1253.0"/>
        <n v="1254.0"/>
        <n v="1255.0"/>
        <n v="1256.0"/>
        <n v="1257.0"/>
        <n v="1258.0"/>
        <n v="1259.0"/>
        <n v="1260.0"/>
        <n v="1261.0"/>
        <n v="1262.0"/>
        <n v="1263.0"/>
        <n v="1264.0"/>
        <n v="1265.0"/>
        <n v="1266.0"/>
        <n v="1267.0"/>
        <n v="1268.0"/>
        <n v="1269.0"/>
        <n v="1270.0"/>
        <n v="1271.0"/>
        <n v="1272.0"/>
        <n v="1273.0"/>
        <n v="1274.0"/>
        <n v="1275.0"/>
        <n v="1276.0"/>
        <n v="1277.0"/>
        <n v="1278.0"/>
        <n v="1279.0"/>
        <n v="1280.0"/>
        <n v="1281.0"/>
        <n v="1282.0"/>
        <n v="1283.0"/>
        <n v="1284.0"/>
        <n v="1285.0"/>
        <n v="1286.0"/>
        <n v="1287.0"/>
        <n v="1288.0"/>
        <n v="1289.0"/>
        <n v="1290.0"/>
        <n v="1291.0"/>
        <n v="1292.0"/>
        <n v="1293.0"/>
        <n v="1294.0"/>
        <n v="1295.0"/>
        <n v="1296.0"/>
        <n v="1297.0"/>
        <n v="1298.0"/>
        <n v="1299.0"/>
        <n v="1300.0"/>
        <n v="1301.0"/>
        <n v="1302.0"/>
        <n v="1303.0"/>
        <n v="1304.0"/>
        <n v="1305.0"/>
        <n v="1306.0"/>
        <n v="1307.0"/>
        <n v="1308.0"/>
        <n v="1309.0"/>
        <n v="1310.0"/>
        <n v="1311.0"/>
        <n v="1312.0"/>
        <n v="1313.0"/>
        <n v="1314.0"/>
        <n v="1315.0"/>
        <n v="1316.0"/>
        <n v="1317.0"/>
        <n v="1318.0"/>
        <n v="1319.0"/>
        <n v="1320.0"/>
        <n v="1321.0"/>
        <n v="1322.0"/>
        <n v="1323.0"/>
        <n v="1324.0"/>
        <n v="1325.0"/>
        <n v="1326.0"/>
        <n v="1327.0"/>
        <n v="1328.0"/>
        <n v="1329.0"/>
        <n v="1330.0"/>
        <n v="1331.0"/>
        <n v="1332.0"/>
        <n v="1333.0"/>
        <n v="1334.0"/>
        <n v="1335.0"/>
        <n v="1336.0"/>
        <n v="1337.0"/>
        <n v="1338.0"/>
        <n v="1339.0"/>
        <n v="1340.0"/>
        <n v="1341.0"/>
        <n v="1342.0"/>
        <n v="1343.0"/>
        <n v="1344.0"/>
        <n v="1345.0"/>
        <n v="1346.0"/>
        <n v="1347.0"/>
        <n v="1348.0"/>
        <n v="1349.0"/>
        <n v="1350.0"/>
        <n v="1351.0"/>
        <n v="1352.0"/>
        <n v="1353.0"/>
        <n v="1354.0"/>
        <n v="1355.0"/>
        <n v="1356.0"/>
        <n v="1357.0"/>
        <n v="1358.0"/>
        <n v="1359.0"/>
        <n v="1360.0"/>
        <n v="1361.0"/>
        <n v="1362.0"/>
        <n v="1363.0"/>
        <n v="1364.0"/>
        <n v="1365.0"/>
        <n v="1366.0"/>
        <n v="1367.0"/>
        <n v="1368.0"/>
        <n v="1369.0"/>
        <n v="1370.0"/>
        <n v="1371.0"/>
        <n v="1372.0"/>
        <n v="1373.0"/>
        <n v="1374.0"/>
        <n v="1375.0"/>
        <n v="1376.0"/>
        <n v="1377.0"/>
        <n v="1378.0"/>
        <n v="1379.0"/>
        <n v="1380.0"/>
        <n v="1381.0"/>
        <n v="1382.0"/>
        <n v="1383.0"/>
        <n v="1384.0"/>
        <n v="1385.0"/>
        <n v="1386.0"/>
        <n v="1387.0"/>
        <n v="1388.0"/>
        <n v="1389.0"/>
        <n v="1390.0"/>
        <n v="1391.0"/>
        <n v="1392.0"/>
      </sharedItems>
    </cacheField>
    <cacheField name="Creator" numFmtId="0">
      <sharedItems>
        <s v="Erin"/>
        <s v="Blakely"/>
        <s v="Brittney"/>
        <s v="Sierra"/>
        <s v="Charley"/>
        <s v="Addison"/>
      </sharedItems>
    </cacheField>
    <cacheField name="Account" numFmtId="0">
      <sharedItems>
        <s v="Account 4"/>
        <s v="Account 1"/>
        <s v="Account 2"/>
        <s v="Account 3"/>
      </sharedItems>
    </cacheField>
    <cacheField name="Product" numFmtId="0">
      <sharedItems>
        <s v="Color Wow Quick Refresh and Styling Bundle"/>
        <s v="Stainless Steel Gua Sha"/>
        <s v="DR.DENT Purple Mouthwash"/>
        <s v="Goli Women's Complete Multi Gummy"/>
        <s v="Beast Bites Creatine Gummies"/>
        <s v="LullaBites Natural Sleep Gummies"/>
        <s v="Physician's Choice Probiotic Gummies"/>
        <s v="Neurogum Watermelon"/>
        <s v="Holafish Unisex Fleece Hoodie"/>
        <s v="Old Navy Men's Utility Shacket"/>
        <s v="Gruns Greens Popsicle Firecracker Gummies"/>
        <s v="Nutricost Creatine Monohydrate"/>
        <s v="Mushroom Coffee"/>
        <s v="Nello Supercalm Drink Mix"/>
        <s v="BetterAlt Shilajit Honey Sticks"/>
        <s v="Squish Energy Preworkout Jello Shots"/>
        <s v="Peta Jane Self-Tan Starter Kit Medium"/>
        <s v="BioEmblem Magnesium"/>
        <s v="Olov Electric Shaver"/>
        <s v="Hats - A Baseball Cap"/>
        <s v="AmpDaddy Charger Bundle"/>
        <s v="Cutler Nutrition Liquid Carnitine 3000"/>
        <s v="Clip Light"/>
        <s v="COSRX US The Copper Peptide Serum"/>
        <s v="SNOW Diamond Tetth Whitening Strips"/>
        <s v="Shirts - Can't Wait to Gamble Today"/>
        <s v="BetterAlt All-in-one supplement"/>
        <s v="Portable Magnetic Phone Mount"/>
        <s v="SKIN1004 Hyla-Cica Water Fit Sunscreen"/>
        <s v="Bracelet - Silver Bracelet Bundle"/>
        <s v="ForestLeaf Grassfed Beef Liver"/>
        <s v="Taste Salud Skin + Beauty Drink Mix"/>
        <s v="BrainMD L-Theanine Gummies"/>
        <s v="JOYMODE Ignite Libido Support"/>
        <s v="tarte dab &amp; gab hair concealer"/>
        <s v="Nooni korean apple lip oil trio"/>
        <s v="tarte CC Color-Correct Tinted Serum"/>
        <s v="Swanson Full Spectrum Spearmint Leaf"/>
        <s v="Fillo's Walking Tamales Variety Pack"/>
        <s v="IRIS Hormone Health Drink Mix"/>
        <s v="Vimergy Organic Lemon Balm"/>
        <s v="BIGVITA Hair +"/>
        <s v="tarte smoldereyes shadow liner duo"/>
        <s v="BrainMD Peak Energy"/>
        <s v="MEDITHERAPY Retinal Skin Booster Serum"/>
        <s v="Medicube Kojic Accid Tumeric Power Duo"/>
        <s v="Nutricost Caffine Capsules"/>
        <s v="NeilMed Piercing Aftercare Spray XL"/>
        <s v="Ekkovision Lifting Straps (D-ring)"/>
        <s v="Gorilla Mode Base Preworkout"/>
        <s v="RAW Nutrition Bum Essential Preworkout"/>
        <s v="Camellia Deep Collagen Lifting Gel Mask"/>
        <s v="XL Microfiber Towel"/>
        <s v="Elegant Faux Pearl Set"/>
        <s v="Medicube Kojic Accid Tumeric Pads"/>
        <s v="COSRX US Lifting Hydrogel Mask"/>
        <s v="Carovo Hoop Earrings Set"/>
        <s v="TIRTIR Hydro UV Shield Sunscreen"/>
        <s v="COSRX US Vitamin E Sunscreen"/>
        <s v="Kaja Beauty 3-in-1 Eyeshadow Stack"/>
        <s v="Faux Pearl Decorated Link Bracelet"/>
      </sharedItems>
    </cacheField>
    <cacheField name="Total Cost" numFmtId="164">
      <sharedItems containsSemiMixedTypes="0" containsString="0" containsNumber="1">
        <n v="1.1"/>
        <n v="0.11"/>
        <n v="0.7337"/>
        <n v="0.7370000000000001"/>
      </sharedItems>
    </cacheField>
    <cacheField name="GMV" numFmtId="164">
      <sharedItems containsString="0" containsBlank="1" containsNumber="1">
        <n v="0.0"/>
        <n v="17.16"/>
        <n v="16.06"/>
        <n v="19.99"/>
        <n v="18.04"/>
        <n v="17.49"/>
        <n v="18.42"/>
        <n v="14.21"/>
        <n v="11.49"/>
        <n v="7.99"/>
        <n v="20.21"/>
        <n v="11.97"/>
        <n v="17.71"/>
        <n v="11.54"/>
        <n v="22.74"/>
        <n v="11.86"/>
        <n v="14.17"/>
        <n v="34.82"/>
        <n v="65.94"/>
        <n v="20.84"/>
        <n v="17.4"/>
        <n v="60.72"/>
        <n v="34.98"/>
        <n v="20.97"/>
        <n v="22.32"/>
        <n v="157.61"/>
        <n v="35.52"/>
        <n v="26.39"/>
        <n v="15.55"/>
        <n v="7.2"/>
        <n v="13.39"/>
        <n v="29.0"/>
        <n v="137.92"/>
        <n v="25.07"/>
        <n v="20.79"/>
        <n v="26.78"/>
        <n v="18.85"/>
        <n v="23.51"/>
        <n v="35.82"/>
        <n v="19.89"/>
        <n v="27.03"/>
        <n v="35.13"/>
        <m/>
        <n v="55.69"/>
        <n v="18.4"/>
        <n v="21.39"/>
        <n v="69.96"/>
      </sharedItems>
    </cacheField>
    <cacheField name="Orders" numFmtId="0">
      <sharedItems containsString="0" containsBlank="1" containsNumber="1" containsInteger="1">
        <n v="0.0"/>
        <n v="1.0"/>
        <n v="5.0"/>
        <n v="2.0"/>
        <n v="4.0"/>
        <m/>
      </sharedItems>
    </cacheField>
    <cacheField name="Date Posted" numFmtId="165">
      <sharedItems containsSemiMixedTypes="0" containsDate="1" containsString="0">
        <d v="2026-06-06T00:00:00Z"/>
        <d v="2026-06-07T00:00:00Z"/>
        <d v="2026-06-08T00:00:00Z"/>
        <d v="2026-06-09T00:00:00Z"/>
        <d v="2026-06-10T00:00:00Z"/>
        <d v="2026-06-11T00:00:00Z"/>
        <d v="2026-06-12T00:00:00Z"/>
        <d v="2026-06-13T00:00:00Z"/>
        <d v="2026-06-14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3T00:00:00Z"/>
        <d v="2026-06-24T00:00:00Z"/>
        <d v="2026-06-25T00:00:00Z"/>
        <d v="2026-06-26T00:00:00Z"/>
        <d v="2026-06-27T00:00:00Z"/>
        <d v="2026-06-28T00:00:00Z"/>
        <d v="2026-06-29T00:00:00Z"/>
        <d v="2026-06-30T00:00:00Z"/>
        <d v="2026-07-01T00:00:00Z"/>
        <d v="2026-07-02T00:00:00Z"/>
        <d v="2026-07-03T00:00:00Z"/>
        <d v="2026-07-04T00:00:00Z"/>
        <d v="2026-07-05T00:00:00Z"/>
      </sharedItems>
    </cacheField>
    <cacheField name="Date Updated" numFmtId="166">
      <sharedItems containsDate="1" containsString="0" containsBlank="1">
        <d v="2026-06-28T00:00:00Z"/>
        <d v="2026-07-06T00:00:00Z"/>
        <m/>
      </sharedItems>
    </cacheField>
    <cacheField name="Commission" numFmtId="0">
      <sharedItems containsString="0" containsBlank="1" containsNumber="1">
        <n v="0.0"/>
        <n v="1.04"/>
        <n v="1.7"/>
        <n v="2.5"/>
        <n v="5.0"/>
        <n v="2.62"/>
        <n v="11.84"/>
        <n v="4.46"/>
        <n v="1.58"/>
        <n v="1.2"/>
        <n v="1.0"/>
        <n v="4.5"/>
        <n v="4.14"/>
        <n v="2.63"/>
        <n v="2.84"/>
        <n v="2.27"/>
        <n v="3.75"/>
        <n v="3.5"/>
        <n v="8.8"/>
        <n v="2.19"/>
        <n v="0.87"/>
        <n v="3.48"/>
        <n v="1.7489999999999999"/>
        <n v="3.6"/>
        <n v="7.12"/>
        <n v="8.59"/>
        <n v="1.89"/>
        <n v="3.96"/>
        <n v="4.35"/>
        <n v="1.8"/>
        <n v="13.2"/>
        <n v="2.93"/>
        <n v="7.2"/>
        <n v="4.09"/>
        <n v="2.0"/>
        <n v="5.93"/>
        <m/>
        <n v="14.57"/>
        <n v="1.4"/>
        <n v="5.76"/>
      </sharedItems>
    </cacheField>
    <cacheField name="Clicks" numFmtId="0">
      <sharedItems containsString="0" containsBlank="1" containsNumber="1" containsInteger="1">
        <m/>
        <n v="3.0"/>
        <n v="2.0"/>
        <n v="13.0"/>
        <n v="4.0"/>
        <n v="8.0"/>
        <n v="36.0"/>
        <n v="1.0"/>
        <n v="9.0"/>
        <n v="18.0"/>
        <n v="63.0"/>
        <n v="14.0"/>
        <n v="20.0"/>
        <n v="6.0"/>
        <n v="135.0"/>
        <n v="17.0"/>
        <n v="54.0"/>
        <n v="5.0"/>
        <n v="39.0"/>
      </sharedItems>
    </cacheField>
    <cacheField name="Impressions" numFmtId="0">
      <sharedItems containsString="0" containsBlank="1" containsNumber="1" containsInteger="1">
        <m/>
        <n v="100.0"/>
        <n v="498.0"/>
        <n v="1000.0"/>
        <n v="701.0"/>
        <n v="1200.0"/>
        <n v="88.0"/>
        <n v="590.0"/>
        <n v="1400.0"/>
        <n v="1600.0"/>
        <n v="943.0"/>
        <n v="215.0"/>
        <n v="800.0"/>
        <n v="431.0"/>
        <n v="354.0"/>
        <n v="3300.0"/>
        <n v="1100.0"/>
        <n v="4200.0"/>
        <n v="2600.0"/>
        <n v="1300.0"/>
        <n v="636.0"/>
        <n v="609.0"/>
        <n v="81.0"/>
        <n v="4700.0"/>
        <n v="916.0"/>
        <n v="0.0"/>
        <n v="84.0"/>
        <n v="533.0"/>
        <n v="902.0"/>
        <n v="3600.0"/>
        <n v="573.0"/>
        <n v="2000.0"/>
        <n v="113.0"/>
        <n v="832.0"/>
        <n v="15.0"/>
        <n v="255.0"/>
        <n v="410.0"/>
        <n v="426.0"/>
        <n v="350.0"/>
        <n v="2400.0"/>
        <n v="207.0"/>
        <n v="66.0"/>
        <n v="20.0"/>
        <n v="406.0"/>
      </sharedItems>
    </cacheField>
    <cacheField name="Views" numFmtId="0">
      <sharedItems containsString="0" containsBlank="1" containsNumber="1" containsInteger="1">
        <m/>
        <n v="100.0"/>
        <n v="498.0"/>
        <n v="1000.0"/>
        <n v="701.0"/>
        <n v="1200.0"/>
        <n v="88.0"/>
        <n v="590.0"/>
        <n v="1400.0"/>
        <n v="1600.0"/>
        <n v="943.0"/>
        <n v="215.0"/>
        <n v="800.0"/>
        <n v="431.0"/>
        <n v="354.0"/>
        <n v="3300.0"/>
        <n v="1100.0"/>
        <n v="4200.0"/>
        <n v="2600.0"/>
        <n v="1300.0"/>
        <n v="636.0"/>
        <n v="609.0"/>
        <n v="81.0"/>
        <n v="4700.0"/>
        <n v="916.0"/>
        <n v="0.0"/>
        <n v="84.0"/>
        <n v="533.0"/>
        <n v="902.0"/>
        <n v="3600.0"/>
        <n v="573.0"/>
        <n v="2000.0"/>
        <n v="113.0"/>
        <n v="832.0"/>
        <n v="15.0"/>
        <n v="255.0"/>
        <n v="410.0"/>
        <n v="426.0"/>
        <n v="350.0"/>
        <n v="2400.0"/>
        <n v="207.0"/>
        <n v="20.0"/>
        <n v="406.0"/>
      </sharedItems>
    </cacheField>
    <cacheField name="Avg Watch Time" numFmtId="0">
      <sharedItems containsString="0" containsBlank="1">
        <m/>
      </sharedItems>
    </cacheField>
    <cacheField name="CTR">
      <sharedItems containsMixedTypes="1" containsNumber="1">
        <e v="#N/A"/>
        <n v="0.03"/>
        <n v="0.006024096385542169"/>
        <n v="0.003"/>
        <n v="0.0028530670470756064"/>
        <n v="0.0016666666666666668"/>
        <n v="0.14772727272727273"/>
        <n v="0.006779661016949152"/>
        <n v="0.002142857142857143"/>
        <n v="0.005"/>
        <n v="0.008483563096500531"/>
        <n v="0.013953488372093023"/>
        <n v="0.002"/>
        <n v="0.0025"/>
        <n v="0.0225"/>
        <n v="0.004640371229698376"/>
        <n v="0.002824858757062147"/>
        <n v="0.0027272727272727275"/>
        <n v="0.016363636363636365"/>
        <n v="0.015"/>
        <n v="0.011666666666666667"/>
        <n v="0.02423076923076923"/>
        <n v="0.015384615384615385"/>
        <n v="0.009433962264150943"/>
        <n v="0.006568144499178982"/>
        <n v="0.012345679012345678"/>
        <n v="0.02872340425531915"/>
        <n v="0.009825327510917031"/>
        <n v="0.011904761904761904"/>
        <n v="0.001876172607879925"/>
        <n v="0.018847006651884702"/>
        <n v="0.04"/>
        <n v="0.0"/>
        <n v="0.004"/>
        <n v="0.008849557522123894"/>
        <n v="0.006009615384615385"/>
        <n v="0.06666666666666667"/>
        <n v="0.011764705882352941"/>
        <n v="0.004878048780487805"/>
        <n v="0.0035714285714285713"/>
        <n v="0.014084507042253521"/>
        <n v="0.002857142857142857"/>
        <n v="0.01625"/>
        <n v="0.004830917874396135"/>
        <n v="0.030303030303030304"/>
        <n v="0.01"/>
        <n v="0.05"/>
        <n v="0.019704433497536946"/>
      </sharedItems>
    </cacheField>
    <cacheField name="CTOR">
      <sharedItems containsMixedTypes="1" containsNumber="1">
        <e v="#N/A"/>
        <n v="0.3333333333333333"/>
        <n v="0.5"/>
        <n v="0.38461538461538464"/>
        <n v="0.25"/>
        <n v="0.125"/>
        <n v="0.05555555555555555"/>
        <n v="1.0"/>
        <n v="0.1111111111111111"/>
        <n v="0.015873015873015872"/>
        <n v="0.14285714285714285"/>
        <n v="0.05"/>
        <n v="0.02962962962962963"/>
        <n v="0.058823529411764705"/>
        <n v="0.07407407407407407"/>
        <n v="0.2"/>
        <n v="0.4"/>
        <n v="0.16666666666666666"/>
        <n v="0.05128205128205128"/>
        <n v="2.0"/>
      </sharedItems>
    </cacheField>
    <cacheField name="Comimission per Order">
      <sharedItems containsMixedTypes="1" containsNumber="1">
        <e v="#N/A"/>
        <n v="1.04"/>
        <n v="1.7"/>
        <n v="2.5"/>
        <n v="5.0"/>
        <n v="2.62"/>
        <n v="2.368"/>
        <n v="4.46"/>
        <n v="1.58"/>
        <n v="1.2"/>
        <n v="1.0"/>
        <n v="4.5"/>
        <n v="4.14"/>
        <n v="1.315"/>
        <n v="2.84"/>
        <n v="2.27"/>
        <n v="3.75"/>
        <n v="3.5"/>
        <n v="4.4"/>
        <n v="2.19"/>
        <n v="0.87"/>
        <n v="1.74"/>
        <n v="1.7489999999999999"/>
        <n v="3.6"/>
        <n v="7.12"/>
        <n v="2.1475"/>
        <n v="1.89"/>
        <n v="3.96"/>
        <n v="4.35"/>
        <n v="1.8"/>
        <n v="3.3"/>
        <n v="2.93"/>
        <n v="7.2"/>
        <n v="2.045"/>
        <n v="2.0"/>
        <n v="2.965"/>
        <n v="7.285"/>
        <n v="1.4"/>
        <n v="5.76"/>
        <n v="3.48"/>
      </sharedItems>
    </cacheField>
    <cacheField name="GMV per Order">
      <sharedItems containsMixedTypes="1" containsNumber="1">
        <e v="#N/A"/>
        <n v="17.16"/>
        <n v="16.06"/>
        <n v="19.99"/>
        <n v="18.04"/>
        <n v="17.49"/>
        <n v="0.0"/>
        <n v="18.42"/>
        <n v="14.21"/>
        <n v="11.49"/>
        <n v="7.99"/>
        <n v="20.21"/>
        <n v="11.97"/>
        <n v="17.71"/>
        <n v="5.77"/>
        <n v="22.74"/>
        <n v="11.86"/>
        <n v="14.17"/>
        <n v="34.82"/>
        <n v="32.97"/>
        <n v="20.84"/>
        <n v="17.4"/>
        <n v="30.36"/>
        <n v="34.98"/>
        <n v="20.97"/>
        <n v="22.32"/>
        <n v="39.4025"/>
        <n v="35.52"/>
        <n v="26.39"/>
        <n v="15.55"/>
        <n v="7.2"/>
        <n v="13.39"/>
        <n v="29.0"/>
        <n v="34.48"/>
        <n v="25.07"/>
        <n v="20.79"/>
        <n v="26.78"/>
        <n v="18.85"/>
        <n v="23.51"/>
        <n v="35.82"/>
        <n v="19.89"/>
        <n v="27.03"/>
        <n v="17.565"/>
        <n v="27.845"/>
        <n v="18.4"/>
        <n v="21.39"/>
        <n v="69.96"/>
      </sharedItems>
    </cacheField>
    <cacheField name="Profit" numFmtId="0">
      <sharedItems containsSemiMixedTypes="0" containsString="0" containsNumber="1">
        <n v="-1.1"/>
        <n v="-0.06000000000000005"/>
        <n v="-0.11"/>
        <n v="1.5899999999999999"/>
        <n v="1.4"/>
        <n v="3.9"/>
        <n v="1.52"/>
        <n v="11.73"/>
        <n v="4.35"/>
        <n v="1.47"/>
        <n v="1.0899999999999999"/>
        <n v="0.89"/>
        <n v="4.39"/>
        <n v="4.029999999999999"/>
        <n v="2.52"/>
        <n v="-0.7337"/>
        <n v="2.1063"/>
        <n v="1.5363"/>
        <n v="3.64"/>
        <n v="3.39"/>
        <n v="8.690000000000001"/>
        <n v="-0.7370000000000001"/>
        <n v="2.08"/>
        <n v="0.76"/>
        <n v="3.37"/>
        <n v="1.6389999999999998"/>
        <n v="3.49"/>
        <n v="7.01"/>
        <n v="8.48"/>
        <n v="1.7799999999999998"/>
        <n v="3.85"/>
        <n v="3.6163"/>
        <n v="1.69"/>
        <n v="3.6129999999999995"/>
        <n v="13.09"/>
        <n v="0.93"/>
        <n v="2.1963"/>
        <n v="7.09"/>
        <n v="3.98"/>
        <n v="1.89"/>
        <n v="5.819999999999999"/>
        <n v="13.47"/>
        <n v="0.2999999999999998"/>
        <n v="4.66"/>
      </sharedItems>
    </cacheField>
    <cacheField name="ROI" numFmtId="9">
      <sharedItems containsSemiMixedTypes="0" containsString="0" containsNumber="1">
        <n v="-1.0"/>
        <n v="-0.05454545454545459"/>
        <n v="14.454545454545453"/>
        <n v="1.2727272727272725"/>
        <n v="3.545454545454545"/>
        <n v="1.3818181818181816"/>
        <n v="106.63636363636364"/>
        <n v="39.54545454545454"/>
        <n v="13.363636363636363"/>
        <n v="9.909090909090908"/>
        <n v="8.090909090909092"/>
        <n v="39.90909090909091"/>
        <n v="36.63636363636363"/>
        <n v="22.90909090909091"/>
        <n v="2.8707918767888785"/>
        <n v="2.093907591658716"/>
        <n v="33.09090909090909"/>
        <n v="30.81818181818182"/>
        <n v="79.00000000000001"/>
        <n v="18.90909090909091"/>
        <n v="6.909090909090909"/>
        <n v="30.636363636363637"/>
        <n v="14.899999999999999"/>
        <n v="31.72727272727273"/>
        <n v="63.72727272727273"/>
        <n v="77.0909090909091"/>
        <n v="16.18181818181818"/>
        <n v="35.0"/>
        <n v="4.928853754940711"/>
        <n v="15.363636363636363"/>
        <n v="4.902306648575304"/>
        <n v="119.0"/>
        <n v="8.454545454545455"/>
        <n v="2.993457816546272"/>
        <n v="64.45454545454545"/>
        <n v="36.18181818181818"/>
        <n v="17.18181818181818"/>
        <n v="52.90909090909091"/>
        <n v="12.245454545454544"/>
        <n v="0.27272727272727254"/>
        <n v="4.236363636363636"/>
      </sharedItems>
    </cacheField>
    <cacheField name="Profit Margin">
      <sharedItems containsMixedTypes="1" containsNumber="1">
        <e v="#N/A"/>
        <n v="-0.057692307692307744"/>
        <n v="0.9352941176470587"/>
        <n v="0.5599999999999999"/>
        <n v="0.78"/>
        <n v="0.5801526717557252"/>
        <n v="0.9907094594594595"/>
        <n v="0.9753363228699551"/>
        <n v="0.930379746835443"/>
        <n v="0.9083333333333332"/>
        <n v="0.89"/>
        <n v="0.9755555555555555"/>
        <n v="0.9734299516908211"/>
        <n v="0.9581749049429659"/>
        <n v="0.7416549295774648"/>
        <n v="0.676784140969163"/>
        <n v="0.9706666666666667"/>
        <n v="0.9685714285714286"/>
        <n v="0.9875"/>
        <n v="0.949771689497717"/>
        <n v="0.8735632183908046"/>
        <n v="0.9683908045977012"/>
        <n v="0.9371069182389936"/>
        <n v="0.9694444444444444"/>
        <n v="0.9845505617977528"/>
        <n v="0.9871944121071013"/>
        <n v="0.9417989417989417"/>
        <n v="0.9722222222222222"/>
        <n v="0.8313333333333334"/>
        <n v="0.9388888888888889"/>
        <n v="0.8305747126436781"/>
        <n v="0.9916666666666667"/>
        <n v="0.8942307692307693"/>
        <n v="0.7495904436860068"/>
        <n v="0.9847222222222222"/>
        <n v="0.9731051344743277"/>
        <n v="0.945"/>
        <n v="0.9814502529510961"/>
        <n v="0.9245024021962938"/>
        <n v="0.21428571428571416"/>
        <n v="0.8090277777777778"/>
      </sharedItems>
    </cacheField>
    <cacheField name="Cost per Order">
      <sharedItems containsMixedTypes="1" containsNumber="1">
        <s v=""/>
        <n v="1.1"/>
        <n v="0.11"/>
        <n v="0.022"/>
        <n v="0.055"/>
        <n v="0.7337"/>
        <n v="0.0275"/>
        <n v="0.7370000000000001"/>
        <n v="0.55"/>
      </sharedItems>
    </cacheField>
    <cacheField name="Cost per Click">
      <sharedItems containsMixedTypes="1" containsNumber="1">
        <s v=""/>
        <n v="0.3666666666666667"/>
        <n v="0.03666666666666667"/>
        <n v="0.55"/>
        <n v="0.008461538461538461"/>
        <n v="0.0275"/>
        <n v="0.01375"/>
        <n v="0.055"/>
        <n v="0.0030555555555555557"/>
        <n v="0.36685"/>
        <n v="0.7337"/>
        <n v="0.012222222222222223"/>
        <n v="0.006111111111111111"/>
        <n v="0.001746031746031746"/>
        <n v="0.007857142857142858"/>
        <n v="0.0055"/>
        <n v="0.018333333333333333"/>
        <n v="0.11"/>
        <n v="8.148148148148149E-4"/>
        <n v="0.006470588235294118"/>
        <n v="0.18425000000000002"/>
        <n v="0.002037037037037037"/>
        <n v="0.14674"/>
        <n v="0.022"/>
        <n v="0.0028205128205128207"/>
        <n v="1.1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s" cacheId="0" dataCaption="" rowGrandTotals="0" compact="0" compactData="0">
  <location ref="A1:B31" firstHeaderRow="0" firstDataRow="1" firstDataCol="0"/>
  <pivotFields>
    <pivotField name="Video #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t="default"/>
      </items>
    </pivotField>
    <pivotField name="Creat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ccount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Total Cost" compact="0" numFmtId="164" outline="0" multipleItemSelectionAllowed="1" showAll="0">
      <items>
        <item x="0"/>
        <item x="1"/>
        <item x="2"/>
        <item x="3"/>
        <item t="default"/>
      </items>
    </pivotField>
    <pivotField name="GMV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Order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 Posted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ate Updated" compact="0" numFmtId="166" outline="0" multipleItemSelectionAllowed="1" showAll="0">
      <items>
        <item x="0"/>
        <item x="1"/>
        <item x="2"/>
        <item t="default"/>
      </items>
    </pivotField>
    <pivotField name="Commiss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vg Watch Time" compact="0" outline="0" multipleItemSelectionAllowed="1" showAll="0">
      <items>
        <item x="0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mimission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GMV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ROI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Profit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ost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st per Cli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st Per $100 GM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</pivotFields>
  <rowFields>
    <field x="7"/>
  </rowFields>
  <dataFields>
    <dataField name="Profit" fld="18" baseField="0"/>
  </dataFields>
</pivotTableDefinition>
</file>

<file path=xl/pivotTables/pivotTable2.xml><?xml version="1.0" encoding="utf-8"?>
<pivotTableDefinition xmlns="http://schemas.openxmlformats.org/spreadsheetml/2006/main" name="Pivot Tables 2" cacheId="1" dataCaption="" rowGrandTotals="0" compact="0" compactData="0">
  <location ref="D1:E31" firstHeaderRow="0" firstDataRow="1" firstDataCol="0"/>
  <pivotFields>
    <pivotField name="Video #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t="default"/>
      </items>
    </pivotField>
    <pivotField name="Creat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ccount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Total Cost" compact="0" numFmtId="164" outline="0" multipleItemSelectionAllowed="1" showAll="0">
      <items>
        <item x="0"/>
        <item x="1"/>
        <item x="2"/>
        <item x="3"/>
        <item t="default"/>
      </items>
    </pivotField>
    <pivotField name="GMV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Orders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 Posted" axis="axisRow" compact="0" numFmtId="165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ate Updated" compact="0" numFmtId="166" outline="0" multipleItemSelectionAllowed="1" showAll="0">
      <items>
        <item x="0"/>
        <item x="1"/>
        <item x="2"/>
        <item t="default"/>
      </items>
    </pivotField>
    <pivotField name="Commiss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vg Watch Time" compact="0" outline="0" multipleItemSelectionAllowed="1" showAll="0">
      <items>
        <item x="0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mimission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GMV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ROI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Profit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ost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st per Cli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</pivotFields>
  <rowFields>
    <field x="7"/>
  </rowFields>
  <dataFields>
    <dataField name="Videos" fld="0" subtotal="count" baseField="0"/>
  </dataFields>
</pivotTableDefinition>
</file>

<file path=xl/pivotTables/pivotTable3.xml><?xml version="1.0" encoding="utf-8"?>
<pivotTableDefinition xmlns="http://schemas.openxmlformats.org/spreadsheetml/2006/main" name="Pivot Tables 3" cacheId="0" dataCaption="" rowGrandTotals="0" compact="0" compactData="0">
  <location ref="P1:U7" firstHeaderRow="0" firstDataRow="2" firstDataCol="0"/>
  <pivotFields>
    <pivotField name="Video #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t="default"/>
      </items>
    </pivotField>
    <pivotField name="Creator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1"/>
            </reference>
          </references>
        </pivotArea>
      </autoSortScope>
    </pivotField>
    <pivotField name="Account" compact="0" outline="0" multipleItemSelectionAllowed="1" showAll="0">
      <items>
        <item x="0"/>
        <item x="1"/>
        <item x="2"/>
        <item x="3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Total Cost" dataField="1" compact="0" numFmtId="164" outline="0" multipleItemSelectionAllowed="1" showAll="0">
      <items>
        <item x="0"/>
        <item x="1"/>
        <item x="2"/>
        <item x="3"/>
        <item t="default"/>
      </items>
    </pivotField>
    <pivotField name="GMV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Order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 Poste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ate Updated" compact="0" numFmtId="166" outline="0" multipleItemSelectionAllowed="1" showAll="0">
      <items>
        <item x="0"/>
        <item x="1"/>
        <item x="2"/>
        <item t="default"/>
      </items>
    </pivotField>
    <pivotField name="Commiss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vg Watch Time" compact="0" outline="0" multipleItemSelectionAllowed="1" showAll="0">
      <items>
        <item x="0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mimission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GMV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ROI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Profit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ost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st per Cli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st Per $100 GM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</pivotFields>
  <rowFields>
    <field x="1"/>
  </rowFields>
  <colFields>
    <field x="-2"/>
  </colFields>
  <dataFields>
    <dataField name="Videos" fld="0" subtotal="count" baseField="0"/>
    <dataField name="Commission" fld="9" baseField="0"/>
    <dataField name="Cost" fld="4" baseField="0"/>
    <dataField name="Profit" fld="18" baseField="0"/>
    <dataField name="Orders" fld="6" baseField="0"/>
  </dataFields>
</pivotTableDefinition>
</file>

<file path=xl/pivotTables/pivotTable4.xml><?xml version="1.0" encoding="utf-8"?>
<pivotTableDefinition xmlns="http://schemas.openxmlformats.org/spreadsheetml/2006/main" name="Pivot Tables 4" cacheId="0" dataCaption="" rowGrandTotals="0" compact="0" compactData="0">
  <location ref="T10:Y14" firstHeaderRow="0" firstDataRow="2" firstDataCol="0"/>
  <pivotFields>
    <pivotField name="Video #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t="default"/>
      </items>
    </pivotField>
    <pivotField name="Creat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ccount" axis="axisRow" compact="0" outline="0" multipleItemSelectionAllowed="1" showAll="0" sortType="a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3"/>
            </reference>
          </references>
        </pivotArea>
      </autoSortScope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</pivotField>
    <pivotField name="Total Cost" dataField="1" compact="0" numFmtId="164" outline="0" multipleItemSelectionAllowed="1" showAll="0">
      <items>
        <item x="0"/>
        <item x="1"/>
        <item x="2"/>
        <item x="3"/>
        <item t="default"/>
      </items>
    </pivotField>
    <pivotField name="GMV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Order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 Poste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ate Updated" compact="0" numFmtId="166" outline="0" multipleItemSelectionAllowed="1" showAll="0">
      <items>
        <item x="0"/>
        <item x="1"/>
        <item x="2"/>
        <item t="default"/>
      </items>
    </pivotField>
    <pivotField name="Commiss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vg Watch Time" compact="0" outline="0" multipleItemSelectionAllowed="1" showAll="0">
      <items>
        <item x="0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mimission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GMV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ROI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Profit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ost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st per Cli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st Per $100 GM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</pivotFields>
  <rowFields>
    <field x="2"/>
  </rowFields>
  <colFields>
    <field x="-2"/>
  </colFields>
  <dataFields>
    <dataField name="Videos" fld="0" subtotal="count" baseField="0"/>
    <dataField name="Commission" fld="9" baseField="0"/>
    <dataField name="Cost" fld="4" baseField="0"/>
    <dataField name="Profit" fld="18" baseField="0"/>
    <dataField name="Orders" fld="6" baseField="0"/>
  </dataFields>
</pivotTableDefinition>
</file>

<file path=xl/pivotTables/pivotTable5.xml><?xml version="1.0" encoding="utf-8"?>
<pivotTableDefinition xmlns="http://schemas.openxmlformats.org/spreadsheetml/2006/main" name="Pivot Tables 5" cacheId="0" dataCaption="" rowGrandTotals="0" compact="0" compactData="0">
  <location ref="G14:M75" firstHeaderRow="0" firstDataRow="2" firstDataCol="0"/>
  <pivotFields>
    <pivotField name="Video #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t="default"/>
      </items>
    </pivotField>
    <pivotField name="Creator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Account" compact="0" outline="0" multipleItemSelectionAllowed="1" showAll="0">
      <items>
        <item x="0"/>
        <item x="1"/>
        <item x="2"/>
        <item x="3"/>
        <item t="default"/>
      </items>
    </pivotField>
    <pivotField name="Product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t="default"/>
      </items>
      <autoSortScope>
        <pivotArea>
          <references>
            <reference field="4294967294">
              <x v="5"/>
            </reference>
          </references>
        </pivotArea>
      </autoSortScope>
    </pivotField>
    <pivotField name="Total Cost" dataField="1" compact="0" numFmtId="164" outline="0" multipleItemSelectionAllowed="1" showAll="0">
      <items>
        <item x="0"/>
        <item x="1"/>
        <item x="2"/>
        <item x="3"/>
        <item t="default"/>
      </items>
    </pivotField>
    <pivotField name="GMV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Orders" dataField="1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Date Posted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name="Date Updated" compact="0" numFmtId="166" outline="0" multipleItemSelectionAllowed="1" showAll="0">
      <items>
        <item x="0"/>
        <item x="1"/>
        <item x="2"/>
        <item t="default"/>
      </items>
    </pivotField>
    <pivotField name="Commission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Cl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Impress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View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Avg Watch Time" compact="0" outline="0" multipleItemSelectionAllowed="1" showAll="0">
      <items>
        <item x="0"/>
        <item t="default"/>
      </items>
    </pivotField>
    <pivotField name="CT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name="CT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name="Comimission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t="default"/>
      </items>
    </pivotField>
    <pivotField name="GMV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t="default"/>
      </items>
    </pivotField>
    <pivotField name="ROI" compact="0" numFmtId="9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Profit Margi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name="Cost per Or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ost per Clic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Cost Per $100 GMV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</pivotField>
  </pivotFields>
  <rowFields>
    <field x="3"/>
  </rowFields>
  <colFields>
    <field x="-2"/>
  </colFields>
  <dataFields>
    <dataField name="Videos" fld="0" subtotal="count" baseField="0"/>
    <dataField name="Orders" fld="6" baseField="0"/>
    <dataField name="GMV" fld="5" baseField="0"/>
    <dataField name="Commission" fld="9" baseField="0"/>
    <dataField name="Cost" fld="4" baseField="0"/>
    <dataField name="Profit" fld="18" baseField="0"/>
  </dataFields>
</pivotTableDefinition>
</file>

<file path=xl/tables/table1.xml><?xml version="1.0" encoding="utf-8"?>
<table xmlns="http://schemas.openxmlformats.org/spreadsheetml/2006/main" ref="A1:M1393" displayName="Video_Information" name="Video_Information" id="1">
  <tableColumns count="13">
    <tableColumn name="Date Posted" id="1"/>
    <tableColumn name="Month" id="2"/>
    <tableColumn name="Week" id="3"/>
    <tableColumn name="Creator" id="4"/>
    <tableColumn name="Account" id="5"/>
    <tableColumn name="Brand" id="6"/>
    <tableColumn name="Product" id="7"/>
    <tableColumn name="Total Cost:" id="8"/>
    <tableColumn name="Creator Cost" id="9"/>
    <tableColumn name="Editor Cost" id="10"/>
    <tableColumn name="Platform Fee" id="11"/>
    <tableColumn name="Video #" id="12"/>
    <tableColumn name="Content Type" id="13"/>
  </tableColumns>
  <tableStyleInfo name="Video Database-style" showColumnStripes="0" showFirstColumn="1" showLastColumn="1" showRowStripes="1"/>
</table>
</file>

<file path=xl/tables/table2.xml><?xml version="1.0" encoding="utf-8"?>
<table xmlns="http://schemas.openxmlformats.org/spreadsheetml/2006/main" ref="A1:Y1393" displayName="Performance_Data" name="Performance_Data" id="2">
  <tableColumns count="25">
    <tableColumn name="Video #" id="1"/>
    <tableColumn name="Creator" id="2"/>
    <tableColumn name="Account" id="3"/>
    <tableColumn name="Product" id="4"/>
    <tableColumn name="Total Cost" id="5"/>
    <tableColumn name="GMV" id="6"/>
    <tableColumn name="Orders" id="7"/>
    <tableColumn name="Date Posted" id="8"/>
    <tableColumn name="Date Updated" id="9"/>
    <tableColumn name="Commission" id="10"/>
    <tableColumn name="Clicks" id="11"/>
    <tableColumn name="Impressions" id="12"/>
    <tableColumn name="Views" id="13"/>
    <tableColumn name="Avg Watch Time" id="14"/>
    <tableColumn name="CTR" id="15"/>
    <tableColumn name="CTOR" id="16"/>
    <tableColumn name="Comimission per Order" id="17"/>
    <tableColumn name="GMV per Order" id="18"/>
    <tableColumn name="Profit" id="19"/>
    <tableColumn name="ROI" id="20"/>
    <tableColumn name="Profit Margin" id="21"/>
    <tableColumn name="Cost per Order" id="22"/>
    <tableColumn name="Cost per Click" id="23"/>
    <tableColumn name="Cost Per $100 GMV" id="24"/>
    <tableColumn name="Content Style" id="25"/>
  </tableColumns>
  <tableStyleInfo name="Performance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2.25"/>
    <col customWidth="1" min="2" max="2" width="8.38"/>
    <col customWidth="1" min="4" max="4" width="14.5"/>
    <col customWidth="1" min="5" max="5" width="18.25"/>
    <col customWidth="1" min="6" max="6" width="11.0"/>
    <col customWidth="1" min="7" max="7" width="16.25"/>
    <col customWidth="1" min="8" max="8" width="9.38"/>
    <col customWidth="1" min="9" max="9" width="11.0"/>
    <col customWidth="1" min="15" max="15" width="2.0"/>
  </cols>
  <sheetData>
    <row r="1">
      <c r="A1" s="50" t="s">
        <v>81</v>
      </c>
    </row>
    <row r="8">
      <c r="D8" s="51" t="s">
        <v>82</v>
      </c>
      <c r="E8" s="52" t="s">
        <v>83</v>
      </c>
      <c r="F8" s="52" t="s">
        <v>84</v>
      </c>
      <c r="G8" s="52" t="s">
        <v>85</v>
      </c>
      <c r="H8" s="52" t="s">
        <v>86</v>
      </c>
      <c r="I8" s="52" t="s">
        <v>87</v>
      </c>
      <c r="J8" s="52" t="s">
        <v>88</v>
      </c>
      <c r="K8" s="53" t="s">
        <v>89</v>
      </c>
    </row>
    <row r="9">
      <c r="D9" s="54">
        <f>COUNT('Video Database'!A:A)</f>
        <v>1392</v>
      </c>
      <c r="E9" s="55">
        <f>sum('Video Database'!H:H)</f>
        <v>635.9793</v>
      </c>
      <c r="F9" s="55">
        <f>SUM('Performance Data'!F:F)</f>
        <v>1428.83</v>
      </c>
      <c r="G9" s="55">
        <f>SUM('Performance Data'!J:J)</f>
        <v>200.639</v>
      </c>
      <c r="H9" s="55">
        <f>SUM('Performance Data'!S:S)</f>
        <v>-435.3403</v>
      </c>
      <c r="I9" s="56">
        <f>Dashboard!H9/Dashboard!E9</f>
        <v>-0.6845196062</v>
      </c>
      <c r="J9" s="57">
        <f>SUM('Performance Data'!G:G)</f>
        <v>68</v>
      </c>
      <c r="K9" s="58">
        <f>E9/J9</f>
        <v>9.352636765</v>
      </c>
    </row>
    <row r="26">
      <c r="Q26" s="59"/>
    </row>
    <row r="27">
      <c r="Q27" s="59"/>
      <c r="R27" s="60"/>
    </row>
    <row r="28">
      <c r="Q28" s="59"/>
      <c r="R28" s="60"/>
    </row>
    <row r="29">
      <c r="Q29" s="59"/>
      <c r="R29" s="60"/>
    </row>
    <row r="30">
      <c r="Q30" s="59"/>
      <c r="R30" s="61"/>
    </row>
    <row r="31">
      <c r="Q31" s="59"/>
      <c r="R31" s="62"/>
    </row>
    <row r="32">
      <c r="Q32" s="59"/>
    </row>
    <row r="33">
      <c r="Q33" s="59"/>
      <c r="R33" s="61"/>
    </row>
    <row r="43">
      <c r="M43" s="63"/>
    </row>
    <row r="57">
      <c r="E57" s="59"/>
    </row>
    <row r="58">
      <c r="E58" s="59"/>
    </row>
  </sheetData>
  <mergeCells count="1">
    <mergeCell ref="A1:O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0.75"/>
    <col customWidth="1" min="3" max="4" width="8.0"/>
    <col customWidth="1" min="5" max="5" width="9.38"/>
    <col customWidth="1" min="6" max="6" width="9.25"/>
    <col customWidth="1" min="9" max="9" width="17.0"/>
  </cols>
  <sheetData>
    <row r="1">
      <c r="A1" s="2"/>
      <c r="F1" s="3"/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8" t="s">
        <v>5</v>
      </c>
      <c r="F2" s="1"/>
      <c r="G2" s="3"/>
      <c r="H2" s="3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8" t="s">
        <v>8</v>
      </c>
      <c r="F3" s="1"/>
      <c r="G3" s="3"/>
      <c r="H3" s="3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10" t="s">
        <v>9</v>
      </c>
      <c r="C4" s="11"/>
      <c r="D4" s="11"/>
      <c r="E4" s="12"/>
      <c r="F4" s="3"/>
      <c r="G4" s="3"/>
      <c r="H4" s="3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15" t="s">
        <v>13</v>
      </c>
      <c r="C5" s="3"/>
      <c r="D5" s="16">
        <f>Dashboard!G9</f>
        <v>200.639</v>
      </c>
      <c r="E5" s="17"/>
      <c r="F5" s="3"/>
      <c r="G5" s="3"/>
      <c r="H5" s="3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18" t="s">
        <v>27</v>
      </c>
      <c r="C6" s="3"/>
      <c r="D6" s="3"/>
      <c r="E6" s="12">
        <f>SUM(D5)</f>
        <v>200.639</v>
      </c>
      <c r="F6" s="3"/>
      <c r="G6" s="3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0"/>
      <c r="C7" s="3"/>
      <c r="D7" s="3"/>
      <c r="E7" s="22"/>
      <c r="F7" s="3"/>
      <c r="G7" s="3"/>
      <c r="H7" s="3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5" t="s">
        <v>40</v>
      </c>
      <c r="C8" s="3"/>
      <c r="D8" s="3"/>
      <c r="E8" s="22"/>
      <c r="F8" s="3"/>
      <c r="G8" s="3"/>
      <c r="H8" s="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7" t="s">
        <v>42</v>
      </c>
      <c r="C9" s="3"/>
      <c r="D9" s="3"/>
      <c r="E9" s="22"/>
      <c r="F9" s="3"/>
      <c r="G9" s="3"/>
      <c r="H9" s="3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15" t="s">
        <v>25</v>
      </c>
      <c r="C10" s="16">
        <f>-SUM('Video Database'!I2:I999)</f>
        <v>-578.163</v>
      </c>
      <c r="D10" s="30"/>
      <c r="E10" s="22"/>
      <c r="F10" s="3"/>
      <c r="G10" s="3"/>
      <c r="H10" s="3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15" t="s">
        <v>36</v>
      </c>
      <c r="C11" s="16">
        <f>-SUM('Video Database'!J2:J999)</f>
        <v>0</v>
      </c>
      <c r="D11" s="30"/>
      <c r="E11" s="22"/>
      <c r="G11" s="1"/>
      <c r="H11" s="3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15" t="s">
        <v>41</v>
      </c>
      <c r="C12" s="16">
        <f>-SUM('Video Database'!K2:K999)</f>
        <v>-57.8163</v>
      </c>
      <c r="D12" s="30"/>
      <c r="E12" s="22"/>
      <c r="F12" s="3"/>
      <c r="G12" s="3"/>
      <c r="H12" s="3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33" t="s">
        <v>46</v>
      </c>
      <c r="C13" s="3"/>
      <c r="D13" s="34"/>
      <c r="E13" s="12">
        <f>sum(C10:C12)</f>
        <v>-635.9793</v>
      </c>
      <c r="F13" s="3"/>
      <c r="G13" s="3"/>
      <c r="H13" s="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35" t="s">
        <v>48</v>
      </c>
      <c r="E14" s="36">
        <f>SUM(E6:E13)</f>
        <v>-435.3403</v>
      </c>
      <c r="F14" s="3"/>
      <c r="G14" s="3"/>
      <c r="H14" s="3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7" t="s">
        <v>51</v>
      </c>
      <c r="C15" s="3"/>
      <c r="D15" s="3"/>
      <c r="E15" s="22"/>
      <c r="F15" s="3"/>
      <c r="G15" s="3"/>
      <c r="H15" s="3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15" t="s">
        <v>47</v>
      </c>
      <c r="C16" s="3">
        <f>(-19.67-100-150-25-25-60)</f>
        <v>-379.67</v>
      </c>
      <c r="D16" s="3"/>
      <c r="E16" s="22"/>
      <c r="F16" s="1"/>
      <c r="G16" s="3"/>
      <c r="H16" s="3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15" t="s">
        <v>49</v>
      </c>
      <c r="C17" s="3">
        <f>-(66+16.5)</f>
        <v>-82.5</v>
      </c>
      <c r="D17" s="3"/>
      <c r="E17" s="22"/>
      <c r="F17" s="3"/>
      <c r="G17" s="3"/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15" t="s">
        <v>50</v>
      </c>
      <c r="C18" s="30">
        <v>-13.5</v>
      </c>
      <c r="D18" s="3"/>
      <c r="E18" s="22"/>
      <c r="F18" s="3"/>
      <c r="G18" s="3"/>
      <c r="H18" s="3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37" t="s">
        <v>54</v>
      </c>
      <c r="C19" s="1"/>
      <c r="D19" s="11">
        <f>SUM(C16:C18)</f>
        <v>-475.67</v>
      </c>
      <c r="E19" s="17"/>
      <c r="F19" s="3"/>
      <c r="G19" s="3"/>
      <c r="H19" s="3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41" t="s">
        <v>52</v>
      </c>
      <c r="C20" s="3"/>
      <c r="D20" s="1"/>
      <c r="E20" s="22"/>
      <c r="F20" s="3"/>
      <c r="G20" s="3"/>
      <c r="H20" s="3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15" t="s">
        <v>56</v>
      </c>
      <c r="C21" s="3">
        <f>-(359.1+159.1)</f>
        <v>-518.2</v>
      </c>
      <c r="D21" s="3"/>
      <c r="E21" s="22"/>
      <c r="F21" s="3"/>
      <c r="G21" s="3"/>
      <c r="H21" s="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15" t="s">
        <v>57</v>
      </c>
      <c r="C22" s="30">
        <v>-69.0</v>
      </c>
      <c r="D22" s="3"/>
      <c r="E22" s="22"/>
      <c r="F22" s="3"/>
      <c r="G22" s="3"/>
      <c r="H22" s="3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15" t="s">
        <v>58</v>
      </c>
      <c r="C23" s="30">
        <v>-4.01</v>
      </c>
      <c r="D23" s="3"/>
      <c r="E23" s="22"/>
      <c r="F23" s="3"/>
      <c r="G23" s="3"/>
      <c r="H23" s="3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15" t="s">
        <v>59</v>
      </c>
      <c r="C24" s="30">
        <v>-12.0</v>
      </c>
      <c r="D24" s="34"/>
      <c r="E24" s="22"/>
      <c r="F24" s="3"/>
      <c r="G24" s="3"/>
      <c r="H24" s="3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42" t="s">
        <v>60</v>
      </c>
      <c r="C25" s="1"/>
      <c r="D25" s="11">
        <f>SUM(C21:C24)</f>
        <v>-603.21</v>
      </c>
      <c r="E25" s="22"/>
      <c r="F25" s="3"/>
      <c r="G25" s="3"/>
      <c r="H25" s="3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41" t="s">
        <v>61</v>
      </c>
      <c r="C26" s="3"/>
      <c r="D26" s="3"/>
      <c r="E26" s="22"/>
      <c r="F26" s="3"/>
      <c r="G26" s="3"/>
      <c r="H26" s="3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43" t="s">
        <v>62</v>
      </c>
      <c r="C27" s="44">
        <v>-5.6</v>
      </c>
      <c r="D27" s="3"/>
      <c r="E27" s="22"/>
      <c r="F27" s="3"/>
      <c r="G27" s="3"/>
      <c r="H27" s="3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43" t="s">
        <v>63</v>
      </c>
      <c r="C28" s="44">
        <v>-32.16</v>
      </c>
      <c r="D28" s="3"/>
      <c r="E28" s="22"/>
      <c r="F28" s="3"/>
      <c r="G28" s="3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43" t="s">
        <v>64</v>
      </c>
      <c r="C29" s="44">
        <v>-14.97</v>
      </c>
      <c r="D29" s="3"/>
      <c r="E29" s="22"/>
      <c r="F29" s="3"/>
      <c r="G29" s="3"/>
      <c r="H29" s="3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43" t="s">
        <v>65</v>
      </c>
      <c r="C30" s="44">
        <v>-8.99</v>
      </c>
      <c r="D30" s="3"/>
      <c r="E30" s="22"/>
      <c r="F30" s="3"/>
      <c r="G30" s="3"/>
      <c r="H30" s="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43" t="s">
        <v>66</v>
      </c>
      <c r="C31" s="44">
        <v>-18.01</v>
      </c>
      <c r="D31" s="3"/>
      <c r="E31" s="22"/>
      <c r="F31" s="3"/>
      <c r="G31" s="3"/>
      <c r="H31" s="3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43" t="s">
        <v>67</v>
      </c>
      <c r="C32" s="44">
        <v>-22.49</v>
      </c>
      <c r="D32" s="3"/>
      <c r="E32" s="22"/>
      <c r="F32" s="3"/>
      <c r="G32" s="3"/>
      <c r="H32" s="3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43" t="s">
        <v>68</v>
      </c>
      <c r="C33" s="44">
        <v>-26.49</v>
      </c>
      <c r="D33" s="3"/>
      <c r="E33" s="22"/>
      <c r="F33" s="3"/>
      <c r="G33" s="3"/>
      <c r="H33" s="3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43" t="s">
        <v>69</v>
      </c>
      <c r="C34" s="44">
        <v>-21.99</v>
      </c>
      <c r="D34" s="3"/>
      <c r="E34" s="22"/>
      <c r="F34" s="3"/>
      <c r="G34" s="3"/>
      <c r="H34" s="3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43" t="s">
        <v>70</v>
      </c>
      <c r="C35" s="44">
        <v>-21.45</v>
      </c>
      <c r="D35" s="3"/>
      <c r="E35" s="22"/>
      <c r="F35" s="3"/>
      <c r="G35" s="3"/>
      <c r="H35" s="3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43" t="s">
        <v>71</v>
      </c>
      <c r="C36" s="44">
        <v>-9.99</v>
      </c>
      <c r="D36" s="3"/>
      <c r="E36" s="22"/>
      <c r="F36" s="3"/>
      <c r="G36" s="3"/>
      <c r="H36" s="3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43" t="s">
        <v>72</v>
      </c>
      <c r="C37" s="44">
        <v>-18.78</v>
      </c>
      <c r="D37" s="3"/>
      <c r="E37" s="22"/>
      <c r="F37" s="3"/>
      <c r="G37" s="3"/>
      <c r="H37" s="3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43" t="s">
        <v>73</v>
      </c>
      <c r="C38" s="44">
        <v>-11.69</v>
      </c>
      <c r="D38" s="3"/>
      <c r="E38" s="22"/>
      <c r="F38" s="3"/>
      <c r="G38" s="3"/>
      <c r="H38" s="3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43" t="s">
        <v>74</v>
      </c>
      <c r="C39" s="44">
        <v>-9.0</v>
      </c>
      <c r="D39" s="3"/>
      <c r="E39" s="22"/>
      <c r="F39" s="1"/>
      <c r="G39" s="3"/>
      <c r="H39" s="3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43" t="s">
        <v>75</v>
      </c>
      <c r="C40" s="44">
        <v>-5.68</v>
      </c>
      <c r="D40" s="3"/>
      <c r="E40" s="22"/>
      <c r="F40" s="3"/>
      <c r="G40" s="3"/>
      <c r="H40" s="3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43" t="s">
        <v>76</v>
      </c>
      <c r="C41" s="44">
        <v>-11.59</v>
      </c>
      <c r="D41" s="3"/>
      <c r="E41" s="22"/>
      <c r="G41" s="3"/>
      <c r="H41" s="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43" t="s">
        <v>77</v>
      </c>
      <c r="C42" s="44">
        <v>-12.23</v>
      </c>
      <c r="D42" s="1"/>
      <c r="E42" s="17"/>
      <c r="F42" s="3"/>
      <c r="G42" s="3"/>
      <c r="H42" s="3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45" t="s">
        <v>78</v>
      </c>
      <c r="C43" s="3"/>
      <c r="D43" s="11">
        <f>SUM(C27:C42)</f>
        <v>-251.11</v>
      </c>
      <c r="E43" s="22"/>
      <c r="F43" s="3"/>
      <c r="G43" s="3"/>
      <c r="H43" s="3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33" t="s">
        <v>79</v>
      </c>
      <c r="C44" s="3"/>
      <c r="D44" s="3"/>
      <c r="E44" s="12">
        <f>SUM(D19:D43)</f>
        <v>-1329.99</v>
      </c>
      <c r="F44" s="3"/>
      <c r="G44" s="3"/>
      <c r="H44" s="3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46" t="s">
        <v>80</v>
      </c>
      <c r="C45" s="47"/>
      <c r="D45" s="48"/>
      <c r="E45" s="49">
        <f>SUM(E14:E44)</f>
        <v>-1765.3303</v>
      </c>
      <c r="F45" s="3"/>
      <c r="G45" s="3"/>
      <c r="H45" s="3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3"/>
      <c r="D46" s="3"/>
      <c r="E46" s="3"/>
      <c r="F46" s="3"/>
      <c r="G46" s="3"/>
      <c r="H46" s="3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3"/>
      <c r="D47" s="3"/>
      <c r="E47" s="3"/>
      <c r="F47" s="3"/>
      <c r="G47" s="3"/>
      <c r="H47" s="3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3"/>
      <c r="D48" s="3"/>
      <c r="E48" s="3"/>
      <c r="F48" s="3"/>
      <c r="G48" s="3"/>
      <c r="H48" s="3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3"/>
      <c r="D49" s="3"/>
      <c r="E49" s="3"/>
      <c r="F49" s="3"/>
      <c r="G49" s="3"/>
      <c r="H49" s="3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3"/>
      <c r="D50" s="3"/>
      <c r="E50" s="3"/>
      <c r="F50" s="3"/>
      <c r="G50" s="3"/>
      <c r="H50" s="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3"/>
      <c r="D51" s="3"/>
      <c r="E51" s="3"/>
      <c r="F51" s="3"/>
      <c r="G51" s="3"/>
      <c r="H51" s="3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3"/>
      <c r="D52" s="3"/>
      <c r="E52" s="3"/>
      <c r="F52" s="3"/>
      <c r="G52" s="3"/>
      <c r="H52" s="3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3"/>
      <c r="D53" s="3"/>
      <c r="E53" s="3"/>
      <c r="F53" s="3"/>
      <c r="G53" s="3"/>
      <c r="H53" s="3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3"/>
      <c r="D54" s="3"/>
      <c r="E54" s="3"/>
      <c r="F54" s="3"/>
      <c r="G54" s="3"/>
      <c r="H54" s="3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3"/>
      <c r="D55" s="3"/>
      <c r="E55" s="3"/>
      <c r="F55" s="3"/>
      <c r="G55" s="3"/>
      <c r="H55" s="3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3"/>
      <c r="D56" s="3"/>
      <c r="E56" s="3"/>
      <c r="F56" s="3"/>
      <c r="G56" s="3"/>
      <c r="H56" s="3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3"/>
      <c r="D57" s="3"/>
      <c r="E57" s="3"/>
      <c r="F57" s="3"/>
      <c r="G57" s="3"/>
      <c r="H57" s="3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3"/>
      <c r="D58" s="3"/>
      <c r="E58" s="3"/>
      <c r="F58" s="3"/>
      <c r="G58" s="3"/>
      <c r="H58" s="3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3"/>
      <c r="D59" s="3"/>
      <c r="E59" s="3"/>
      <c r="F59" s="3"/>
      <c r="G59" s="3"/>
      <c r="H59" s="3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3"/>
      <c r="D60" s="3"/>
      <c r="E60" s="3"/>
      <c r="F60" s="3"/>
      <c r="G60" s="3"/>
      <c r="H60" s="3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3"/>
      <c r="D61" s="3"/>
      <c r="E61" s="3"/>
      <c r="F61" s="3"/>
      <c r="G61" s="3"/>
      <c r="H61" s="3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3"/>
      <c r="D62" s="3"/>
      <c r="E62" s="3"/>
      <c r="F62" s="3"/>
      <c r="G62" s="3"/>
      <c r="H62" s="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3"/>
      <c r="D63" s="3"/>
      <c r="E63" s="3"/>
      <c r="F63" s="3"/>
      <c r="G63" s="3"/>
      <c r="H63" s="3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3"/>
      <c r="D64" s="3"/>
      <c r="E64" s="3"/>
      <c r="F64" s="3"/>
      <c r="G64" s="3"/>
      <c r="H64" s="3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3"/>
      <c r="D65" s="3"/>
      <c r="E65" s="3"/>
      <c r="F65" s="3"/>
      <c r="G65" s="3"/>
      <c r="H65" s="3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3"/>
      <c r="D66" s="3"/>
      <c r="E66" s="3"/>
      <c r="F66" s="3"/>
      <c r="G66" s="3"/>
      <c r="H66" s="3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3"/>
      <c r="D67" s="3"/>
      <c r="E67" s="3"/>
      <c r="F67" s="3"/>
      <c r="G67" s="3"/>
      <c r="H67" s="3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3"/>
      <c r="D68" s="3"/>
      <c r="E68" s="3"/>
      <c r="F68" s="3"/>
      <c r="G68" s="3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3"/>
      <c r="D69" s="3"/>
      <c r="E69" s="3"/>
      <c r="F69" s="3"/>
      <c r="G69" s="3"/>
      <c r="H69" s="3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3"/>
      <c r="D70" s="3"/>
      <c r="E70" s="3"/>
      <c r="F70" s="3"/>
      <c r="G70" s="3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3"/>
      <c r="D71" s="3"/>
      <c r="E71" s="3"/>
      <c r="F71" s="3"/>
      <c r="G71" s="3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3"/>
      <c r="D72" s="3"/>
      <c r="E72" s="3"/>
      <c r="F72" s="3"/>
      <c r="G72" s="3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3"/>
      <c r="D73" s="3"/>
      <c r="E73" s="3"/>
      <c r="F73" s="3"/>
      <c r="G73" s="3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3"/>
      <c r="D74" s="3"/>
      <c r="E74" s="3"/>
      <c r="F74" s="3"/>
      <c r="G74" s="3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3"/>
      <c r="D75" s="3"/>
      <c r="E75" s="3"/>
      <c r="F75" s="3"/>
      <c r="G75" s="3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3"/>
      <c r="D76" s="3"/>
      <c r="E76" s="3"/>
      <c r="F76" s="3"/>
      <c r="G76" s="3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3"/>
      <c r="D77" s="3"/>
      <c r="E77" s="3"/>
      <c r="F77" s="3"/>
      <c r="G77" s="3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3"/>
      <c r="D78" s="3"/>
      <c r="E78" s="3"/>
      <c r="F78" s="3"/>
      <c r="G78" s="3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3"/>
      <c r="D79" s="3"/>
      <c r="E79" s="3"/>
      <c r="F79" s="3"/>
      <c r="G79" s="3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3"/>
      <c r="D80" s="3"/>
      <c r="E80" s="3"/>
      <c r="F80" s="3"/>
      <c r="G80" s="3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3"/>
      <c r="D81" s="3"/>
      <c r="E81" s="3"/>
      <c r="F81" s="3"/>
      <c r="G81" s="3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3"/>
      <c r="D82" s="3"/>
      <c r="E82" s="3"/>
      <c r="F82" s="3"/>
      <c r="G82" s="3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3"/>
      <c r="D83" s="3"/>
      <c r="E83" s="3"/>
      <c r="F83" s="3"/>
      <c r="G83" s="3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3"/>
      <c r="D84" s="3"/>
      <c r="E84" s="3"/>
      <c r="F84" s="3"/>
      <c r="G84" s="3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3"/>
      <c r="D85" s="3"/>
      <c r="E85" s="3"/>
      <c r="F85" s="3"/>
      <c r="G85" s="3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3"/>
      <c r="D86" s="3"/>
      <c r="E86" s="3"/>
      <c r="F86" s="3"/>
      <c r="G86" s="3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3"/>
      <c r="D87" s="3"/>
      <c r="E87" s="3"/>
      <c r="F87" s="3"/>
      <c r="G87" s="3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3"/>
      <c r="D88" s="3"/>
      <c r="E88" s="3"/>
      <c r="F88" s="3"/>
      <c r="G88" s="3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3"/>
      <c r="D89" s="3"/>
      <c r="E89" s="3"/>
      <c r="F89" s="3"/>
      <c r="G89" s="3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3"/>
      <c r="D90" s="3"/>
      <c r="E90" s="3"/>
      <c r="F90" s="3"/>
      <c r="G90" s="3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3"/>
      <c r="D91" s="3"/>
      <c r="E91" s="3"/>
      <c r="F91" s="3"/>
      <c r="G91" s="3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3"/>
      <c r="D92" s="3"/>
      <c r="E92" s="3"/>
      <c r="F92" s="3"/>
      <c r="G92" s="3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3"/>
      <c r="D93" s="3"/>
      <c r="E93" s="3"/>
      <c r="F93" s="3"/>
      <c r="G93" s="3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3"/>
      <c r="D94" s="3"/>
      <c r="E94" s="3"/>
      <c r="F94" s="3"/>
      <c r="G94" s="3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3"/>
      <c r="D95" s="3"/>
      <c r="E95" s="3"/>
      <c r="F95" s="3"/>
      <c r="G95" s="3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3"/>
      <c r="D96" s="3"/>
      <c r="E96" s="3"/>
      <c r="F96" s="3"/>
      <c r="G96" s="3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3"/>
      <c r="D97" s="3"/>
      <c r="E97" s="3"/>
      <c r="F97" s="3"/>
      <c r="G97" s="3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3"/>
      <c r="D98" s="3"/>
      <c r="E98" s="3"/>
      <c r="F98" s="3"/>
      <c r="G98" s="3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3"/>
      <c r="D99" s="3"/>
      <c r="E99" s="3"/>
      <c r="F99" s="3"/>
      <c r="G99" s="3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3"/>
      <c r="D100" s="3"/>
      <c r="E100" s="3"/>
      <c r="F100" s="3"/>
      <c r="G100" s="3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3"/>
      <c r="D101" s="3"/>
      <c r="E101" s="3"/>
      <c r="F101" s="3"/>
      <c r="G101" s="3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3"/>
      <c r="D102" s="3"/>
      <c r="E102" s="3"/>
      <c r="F102" s="3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3"/>
      <c r="D103" s="3"/>
      <c r="E103" s="3"/>
      <c r="F103" s="3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3"/>
      <c r="D104" s="3"/>
      <c r="E104" s="3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3"/>
      <c r="D105" s="3"/>
      <c r="E105" s="3"/>
      <c r="F105" s="3"/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3"/>
      <c r="D106" s="3"/>
      <c r="E106" s="3"/>
      <c r="F106" s="3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3"/>
      <c r="D107" s="3"/>
      <c r="E107" s="3"/>
      <c r="F107" s="3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3"/>
      <c r="D108" s="3"/>
      <c r="E108" s="3"/>
      <c r="F108" s="3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3"/>
      <c r="D109" s="3"/>
      <c r="E109" s="3"/>
      <c r="F109" s="3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3"/>
      <c r="D110" s="3"/>
      <c r="E110" s="3"/>
      <c r="F110" s="3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3"/>
      <c r="D111" s="3"/>
      <c r="E111" s="3"/>
      <c r="F111" s="3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3"/>
      <c r="D112" s="3"/>
      <c r="E112" s="3"/>
      <c r="F112" s="3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3"/>
      <c r="D113" s="3"/>
      <c r="E113" s="3"/>
      <c r="F113" s="3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3"/>
      <c r="D114" s="3"/>
      <c r="E114" s="3"/>
      <c r="F114" s="3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3"/>
      <c r="D115" s="3"/>
      <c r="E115" s="3"/>
      <c r="F115" s="3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3"/>
      <c r="D116" s="3"/>
      <c r="E116" s="3"/>
      <c r="F116" s="3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3"/>
      <c r="D117" s="3"/>
      <c r="E117" s="3"/>
      <c r="F117" s="3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3"/>
      <c r="D118" s="3"/>
      <c r="E118" s="3"/>
      <c r="F118" s="3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3"/>
      <c r="D119" s="3"/>
      <c r="E119" s="3"/>
      <c r="F119" s="3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3"/>
      <c r="D120" s="3"/>
      <c r="E120" s="3"/>
      <c r="F120" s="3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3"/>
      <c r="D121" s="3"/>
      <c r="E121" s="3"/>
      <c r="F121" s="3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3"/>
      <c r="D122" s="3"/>
      <c r="E122" s="3"/>
      <c r="F122" s="3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3"/>
      <c r="D123" s="3"/>
      <c r="E123" s="3"/>
      <c r="F123" s="3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3"/>
      <c r="D124" s="3"/>
      <c r="E124" s="3"/>
      <c r="F124" s="3"/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3"/>
      <c r="D125" s="3"/>
      <c r="E125" s="3"/>
      <c r="F125" s="3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3"/>
      <c r="D126" s="3"/>
      <c r="E126" s="3"/>
      <c r="F126" s="3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3"/>
      <c r="D127" s="3"/>
      <c r="E127" s="3"/>
      <c r="F127" s="3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3"/>
      <c r="D128" s="3"/>
      <c r="E128" s="3"/>
      <c r="F128" s="3"/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3"/>
      <c r="D129" s="3"/>
      <c r="E129" s="3"/>
      <c r="F129" s="3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3"/>
      <c r="D130" s="3"/>
      <c r="E130" s="3"/>
      <c r="F130" s="3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3"/>
      <c r="D131" s="3"/>
      <c r="E131" s="3"/>
      <c r="F131" s="3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3"/>
      <c r="D132" s="3"/>
      <c r="E132" s="3"/>
      <c r="F132" s="3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3"/>
      <c r="D133" s="3"/>
      <c r="E133" s="3"/>
      <c r="F133" s="3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3"/>
      <c r="D134" s="3"/>
      <c r="E134" s="3"/>
      <c r="F134" s="3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3"/>
      <c r="D135" s="3"/>
      <c r="E135" s="3"/>
      <c r="F135" s="3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3"/>
      <c r="D136" s="3"/>
      <c r="E136" s="3"/>
      <c r="F136" s="3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3"/>
      <c r="D137" s="3"/>
      <c r="E137" s="3"/>
      <c r="F137" s="3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3"/>
      <c r="D138" s="3"/>
      <c r="E138" s="3"/>
      <c r="F138" s="3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3"/>
      <c r="D139" s="3"/>
      <c r="E139" s="3"/>
      <c r="F139" s="3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3"/>
      <c r="D140" s="3"/>
      <c r="E140" s="3"/>
      <c r="F140" s="3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3"/>
      <c r="D141" s="3"/>
      <c r="E141" s="3"/>
      <c r="F141" s="3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3"/>
      <c r="D142" s="3"/>
      <c r="E142" s="3"/>
      <c r="F142" s="3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3"/>
      <c r="D143" s="3"/>
      <c r="E143" s="3"/>
      <c r="F143" s="3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3"/>
      <c r="D144" s="3"/>
      <c r="E144" s="3"/>
      <c r="F144" s="3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3"/>
      <c r="D145" s="3"/>
      <c r="E145" s="3"/>
      <c r="F145" s="3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3"/>
      <c r="D146" s="3"/>
      <c r="E146" s="3"/>
      <c r="F146" s="3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3"/>
      <c r="D147" s="3"/>
      <c r="E147" s="3"/>
      <c r="F147" s="3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3"/>
      <c r="D148" s="3"/>
      <c r="E148" s="3"/>
      <c r="F148" s="3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3"/>
      <c r="D149" s="3"/>
      <c r="E149" s="3"/>
      <c r="F149" s="3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3"/>
      <c r="D150" s="3"/>
      <c r="E150" s="3"/>
      <c r="F150" s="3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3"/>
      <c r="D151" s="3"/>
      <c r="E151" s="3"/>
      <c r="F151" s="3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3"/>
      <c r="D152" s="3"/>
      <c r="E152" s="3"/>
      <c r="F152" s="3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3"/>
      <c r="D153" s="3"/>
      <c r="E153" s="3"/>
      <c r="F153" s="3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3"/>
      <c r="D154" s="3"/>
      <c r="E154" s="3"/>
      <c r="F154" s="3"/>
      <c r="G154" s="3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3"/>
      <c r="D155" s="3"/>
      <c r="E155" s="3"/>
      <c r="F155" s="3"/>
      <c r="G155" s="3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3"/>
      <c r="D156" s="3"/>
      <c r="E156" s="3"/>
      <c r="F156" s="3"/>
      <c r="G156" s="3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3"/>
      <c r="D157" s="3"/>
      <c r="E157" s="3"/>
      <c r="F157" s="3"/>
      <c r="G157" s="3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3"/>
      <c r="D158" s="3"/>
      <c r="E158" s="3"/>
      <c r="F158" s="3"/>
      <c r="G158" s="3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3"/>
      <c r="D159" s="3"/>
      <c r="E159" s="3"/>
      <c r="F159" s="3"/>
      <c r="G159" s="3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3"/>
      <c r="D160" s="3"/>
      <c r="E160" s="3"/>
      <c r="F160" s="3"/>
      <c r="G160" s="3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3"/>
      <c r="D161" s="3"/>
      <c r="E161" s="3"/>
      <c r="F161" s="3"/>
      <c r="G161" s="3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3"/>
      <c r="D162" s="3"/>
      <c r="E162" s="3"/>
      <c r="F162" s="3"/>
      <c r="G162" s="3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3"/>
      <c r="D163" s="3"/>
      <c r="E163" s="3"/>
      <c r="F163" s="3"/>
      <c r="G163" s="3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3"/>
      <c r="D164" s="3"/>
      <c r="E164" s="3"/>
      <c r="F164" s="3"/>
      <c r="G164" s="3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3"/>
      <c r="D165" s="3"/>
      <c r="E165" s="3"/>
      <c r="F165" s="3"/>
      <c r="G165" s="3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3"/>
      <c r="D166" s="3"/>
      <c r="E166" s="3"/>
      <c r="F166" s="3"/>
      <c r="G166" s="3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3"/>
      <c r="D167" s="3"/>
      <c r="E167" s="3"/>
      <c r="F167" s="3"/>
      <c r="G167" s="3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3"/>
      <c r="D168" s="3"/>
      <c r="E168" s="3"/>
      <c r="F168" s="3"/>
      <c r="G168" s="3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3"/>
      <c r="D169" s="3"/>
      <c r="E169" s="3"/>
      <c r="F169" s="3"/>
      <c r="G169" s="3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3"/>
      <c r="D170" s="3"/>
      <c r="E170" s="3"/>
      <c r="F170" s="3"/>
      <c r="G170" s="3"/>
      <c r="H170" s="3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3"/>
      <c r="D171" s="3"/>
      <c r="E171" s="3"/>
      <c r="F171" s="3"/>
      <c r="G171" s="3"/>
      <c r="H171" s="3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3"/>
      <c r="D172" s="3"/>
      <c r="E172" s="3"/>
      <c r="F172" s="3"/>
      <c r="G172" s="3"/>
      <c r="H172" s="3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3"/>
      <c r="D173" s="3"/>
      <c r="E173" s="3"/>
      <c r="F173" s="3"/>
      <c r="G173" s="3"/>
      <c r="H173" s="3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3"/>
      <c r="D174" s="3"/>
      <c r="E174" s="3"/>
      <c r="F174" s="3"/>
      <c r="G174" s="3"/>
      <c r="H174" s="3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3"/>
      <c r="D175" s="3"/>
      <c r="E175" s="3"/>
      <c r="F175" s="3"/>
      <c r="G175" s="3"/>
      <c r="H175" s="3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3"/>
      <c r="D176" s="3"/>
      <c r="E176" s="3"/>
      <c r="F176" s="3"/>
      <c r="G176" s="3"/>
      <c r="H176" s="3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3"/>
      <c r="D177" s="3"/>
      <c r="E177" s="3"/>
      <c r="F177" s="3"/>
      <c r="G177" s="3"/>
      <c r="H177" s="3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3"/>
      <c r="D178" s="3"/>
      <c r="E178" s="3"/>
      <c r="F178" s="3"/>
      <c r="G178" s="3"/>
      <c r="H178" s="3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3"/>
      <c r="D179" s="3"/>
      <c r="E179" s="3"/>
      <c r="F179" s="3"/>
      <c r="G179" s="3"/>
      <c r="H179" s="3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3"/>
      <c r="D180" s="3"/>
      <c r="E180" s="3"/>
      <c r="F180" s="3"/>
      <c r="G180" s="3"/>
      <c r="H180" s="3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3"/>
      <c r="D181" s="3"/>
      <c r="E181" s="3"/>
      <c r="F181" s="3"/>
      <c r="G181" s="3"/>
      <c r="H181" s="3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3"/>
      <c r="D182" s="3"/>
      <c r="E182" s="3"/>
      <c r="F182" s="3"/>
      <c r="G182" s="3"/>
      <c r="H182" s="3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3"/>
      <c r="D183" s="3"/>
      <c r="E183" s="3"/>
      <c r="F183" s="3"/>
      <c r="G183" s="3"/>
      <c r="H183" s="3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3"/>
      <c r="D184" s="3"/>
      <c r="E184" s="3"/>
      <c r="F184" s="3"/>
      <c r="G184" s="3"/>
      <c r="H184" s="3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3"/>
      <c r="D185" s="3"/>
      <c r="E185" s="3"/>
      <c r="F185" s="3"/>
      <c r="G185" s="3"/>
      <c r="H185" s="3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3"/>
      <c r="D186" s="3"/>
      <c r="E186" s="3"/>
      <c r="F186" s="3"/>
      <c r="G186" s="3"/>
      <c r="H186" s="3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3"/>
      <c r="D187" s="3"/>
      <c r="E187" s="3"/>
      <c r="F187" s="3"/>
      <c r="G187" s="3"/>
      <c r="H187" s="3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3"/>
      <c r="D188" s="3"/>
      <c r="E188" s="3"/>
      <c r="F188" s="3"/>
      <c r="G188" s="3"/>
      <c r="H188" s="3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3"/>
      <c r="D189" s="3"/>
      <c r="E189" s="3"/>
      <c r="F189" s="3"/>
      <c r="G189" s="3"/>
      <c r="H189" s="3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3"/>
      <c r="D190" s="3"/>
      <c r="E190" s="3"/>
      <c r="F190" s="3"/>
      <c r="G190" s="3"/>
      <c r="H190" s="3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3"/>
      <c r="D191" s="3"/>
      <c r="E191" s="3"/>
      <c r="F191" s="3"/>
      <c r="G191" s="3"/>
      <c r="H191" s="3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3"/>
      <c r="D192" s="3"/>
      <c r="E192" s="3"/>
      <c r="F192" s="3"/>
      <c r="G192" s="3"/>
      <c r="H192" s="3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3"/>
      <c r="D193" s="3"/>
      <c r="E193" s="3"/>
      <c r="F193" s="3"/>
      <c r="G193" s="3"/>
      <c r="H193" s="3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3"/>
      <c r="D194" s="3"/>
      <c r="E194" s="3"/>
      <c r="F194" s="3"/>
      <c r="G194" s="3"/>
      <c r="H194" s="3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3"/>
      <c r="D195" s="3"/>
      <c r="E195" s="3"/>
      <c r="F195" s="3"/>
      <c r="G195" s="3"/>
      <c r="H195" s="3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3"/>
      <c r="D196" s="3"/>
      <c r="E196" s="3"/>
      <c r="F196" s="3"/>
      <c r="G196" s="3"/>
      <c r="H196" s="3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3"/>
      <c r="D197" s="3"/>
      <c r="E197" s="3"/>
      <c r="F197" s="3"/>
      <c r="G197" s="3"/>
      <c r="H197" s="3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3"/>
      <c r="D198" s="3"/>
      <c r="E198" s="3"/>
      <c r="F198" s="3"/>
      <c r="G198" s="3"/>
      <c r="H198" s="3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3"/>
      <c r="D199" s="3"/>
      <c r="E199" s="3"/>
      <c r="F199" s="3"/>
      <c r="G199" s="3"/>
      <c r="H199" s="3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3"/>
      <c r="D200" s="3"/>
      <c r="E200" s="3"/>
      <c r="F200" s="3"/>
      <c r="G200" s="3"/>
      <c r="H200" s="3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3"/>
      <c r="D201" s="3"/>
      <c r="E201" s="3"/>
      <c r="F201" s="3"/>
      <c r="G201" s="3"/>
      <c r="H201" s="3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3"/>
      <c r="D202" s="3"/>
      <c r="E202" s="3"/>
      <c r="F202" s="3"/>
      <c r="G202" s="3"/>
      <c r="H202" s="3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3"/>
      <c r="D203" s="3"/>
      <c r="E203" s="3"/>
      <c r="F203" s="3"/>
      <c r="G203" s="3"/>
      <c r="H203" s="3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3"/>
      <c r="D204" s="3"/>
      <c r="E204" s="3"/>
      <c r="F204" s="3"/>
      <c r="G204" s="3"/>
      <c r="H204" s="3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3"/>
      <c r="D205" s="3"/>
      <c r="E205" s="3"/>
      <c r="F205" s="3"/>
      <c r="G205" s="3"/>
      <c r="H205" s="3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3"/>
      <c r="D206" s="3"/>
      <c r="E206" s="3"/>
      <c r="F206" s="3"/>
      <c r="G206" s="3"/>
      <c r="H206" s="3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3"/>
      <c r="D207" s="3"/>
      <c r="E207" s="3"/>
      <c r="F207" s="3"/>
      <c r="G207" s="3"/>
      <c r="H207" s="3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3"/>
      <c r="D208" s="3"/>
      <c r="E208" s="3"/>
      <c r="F208" s="3"/>
      <c r="G208" s="3"/>
      <c r="H208" s="3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3"/>
      <c r="D209" s="3"/>
      <c r="E209" s="3"/>
      <c r="F209" s="3"/>
      <c r="G209" s="3"/>
      <c r="H209" s="3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3"/>
      <c r="D210" s="3"/>
      <c r="E210" s="3"/>
      <c r="F210" s="3"/>
      <c r="G210" s="3"/>
      <c r="H210" s="3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3"/>
      <c r="D211" s="3"/>
      <c r="E211" s="3"/>
      <c r="F211" s="3"/>
      <c r="G211" s="3"/>
      <c r="H211" s="3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3"/>
      <c r="D212" s="3"/>
      <c r="E212" s="3"/>
      <c r="F212" s="3"/>
      <c r="G212" s="3"/>
      <c r="H212" s="3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3"/>
      <c r="D213" s="3"/>
      <c r="E213" s="3"/>
      <c r="F213" s="3"/>
      <c r="G213" s="3"/>
      <c r="H213" s="3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3"/>
      <c r="D214" s="3"/>
      <c r="E214" s="3"/>
      <c r="F214" s="3"/>
      <c r="G214" s="3"/>
      <c r="H214" s="3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3"/>
      <c r="D215" s="3"/>
      <c r="E215" s="3"/>
      <c r="F215" s="3"/>
      <c r="G215" s="3"/>
      <c r="H215" s="3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3"/>
      <c r="D216" s="3"/>
      <c r="E216" s="3"/>
      <c r="F216" s="3"/>
      <c r="G216" s="3"/>
      <c r="H216" s="3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3"/>
      <c r="D217" s="3"/>
      <c r="E217" s="3"/>
      <c r="F217" s="3"/>
      <c r="G217" s="3"/>
      <c r="H217" s="3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3"/>
      <c r="D218" s="3"/>
      <c r="E218" s="3"/>
      <c r="F218" s="3"/>
      <c r="G218" s="3"/>
      <c r="H218" s="3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3"/>
      <c r="D219" s="3"/>
      <c r="E219" s="3"/>
      <c r="F219" s="3"/>
      <c r="G219" s="3"/>
      <c r="H219" s="3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3"/>
      <c r="D220" s="3"/>
      <c r="E220" s="3"/>
      <c r="F220" s="3"/>
      <c r="G220" s="3"/>
      <c r="H220" s="3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3"/>
      <c r="D221" s="3"/>
      <c r="E221" s="3"/>
      <c r="F221" s="3"/>
      <c r="G221" s="3"/>
      <c r="H221" s="3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3"/>
      <c r="D222" s="3"/>
      <c r="E222" s="3"/>
      <c r="F222" s="3"/>
      <c r="G222" s="3"/>
      <c r="H222" s="3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3"/>
      <c r="D223" s="3"/>
      <c r="E223" s="3"/>
      <c r="F223" s="3"/>
      <c r="G223" s="3"/>
      <c r="H223" s="3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3"/>
      <c r="D224" s="3"/>
      <c r="E224" s="3"/>
      <c r="F224" s="3"/>
      <c r="G224" s="3"/>
      <c r="H224" s="3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3"/>
      <c r="D225" s="3"/>
      <c r="E225" s="3"/>
      <c r="F225" s="3"/>
      <c r="G225" s="3"/>
      <c r="H225" s="3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3"/>
      <c r="D226" s="3"/>
      <c r="E226" s="3"/>
      <c r="F226" s="3"/>
      <c r="G226" s="3"/>
      <c r="H226" s="3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3"/>
      <c r="D227" s="3"/>
      <c r="E227" s="3"/>
      <c r="F227" s="3"/>
      <c r="G227" s="3"/>
      <c r="H227" s="3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3"/>
      <c r="D228" s="3"/>
      <c r="E228" s="3"/>
      <c r="F228" s="3"/>
      <c r="G228" s="3"/>
      <c r="H228" s="3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3"/>
      <c r="D229" s="3"/>
      <c r="E229" s="3"/>
      <c r="F229" s="3"/>
      <c r="G229" s="3"/>
      <c r="H229" s="3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3"/>
      <c r="D230" s="3"/>
      <c r="E230" s="3"/>
      <c r="F230" s="3"/>
      <c r="G230" s="3"/>
      <c r="H230" s="3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3"/>
      <c r="D231" s="3"/>
      <c r="E231" s="3"/>
      <c r="F231" s="3"/>
      <c r="G231" s="3"/>
      <c r="H231" s="3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3"/>
      <c r="D232" s="3"/>
      <c r="E232" s="3"/>
      <c r="F232" s="3"/>
      <c r="G232" s="3"/>
      <c r="H232" s="3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3"/>
      <c r="D233" s="3"/>
      <c r="E233" s="3"/>
      <c r="F233" s="3"/>
      <c r="G233" s="3"/>
      <c r="H233" s="3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3"/>
      <c r="D234" s="3"/>
      <c r="E234" s="3"/>
      <c r="F234" s="3"/>
      <c r="G234" s="3"/>
      <c r="H234" s="3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3"/>
      <c r="D235" s="3"/>
      <c r="E235" s="3"/>
      <c r="F235" s="3"/>
      <c r="G235" s="3"/>
      <c r="H235" s="3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3"/>
      <c r="D236" s="3"/>
      <c r="E236" s="3"/>
      <c r="F236" s="3"/>
      <c r="G236" s="3"/>
      <c r="H236" s="3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3"/>
      <c r="D237" s="3"/>
      <c r="E237" s="3"/>
      <c r="F237" s="3"/>
      <c r="G237" s="3"/>
      <c r="H237" s="3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3"/>
      <c r="D238" s="3"/>
      <c r="E238" s="3"/>
      <c r="F238" s="3"/>
      <c r="G238" s="3"/>
      <c r="H238" s="3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3"/>
      <c r="D239" s="3"/>
      <c r="E239" s="3"/>
      <c r="F239" s="3"/>
      <c r="G239" s="3"/>
      <c r="H239" s="3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3"/>
      <c r="D240" s="3"/>
      <c r="E240" s="3"/>
      <c r="F240" s="3"/>
      <c r="G240" s="3"/>
      <c r="H240" s="3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3"/>
      <c r="D241" s="3"/>
      <c r="E241" s="3"/>
      <c r="F241" s="3"/>
      <c r="G241" s="3"/>
      <c r="H241" s="3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3"/>
      <c r="D242" s="3"/>
      <c r="E242" s="3"/>
      <c r="F242" s="3"/>
      <c r="G242" s="3"/>
      <c r="H242" s="3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3"/>
      <c r="D243" s="3"/>
      <c r="E243" s="3"/>
      <c r="F243" s="3"/>
      <c r="G243" s="3"/>
      <c r="H243" s="3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3"/>
      <c r="D244" s="3"/>
      <c r="E244" s="3"/>
      <c r="F244" s="3"/>
      <c r="G244" s="3"/>
      <c r="H244" s="3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3"/>
      <c r="D245" s="3"/>
      <c r="E245" s="3"/>
      <c r="F245" s="3"/>
      <c r="G245" s="3"/>
      <c r="H245" s="3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3"/>
      <c r="D246" s="3"/>
      <c r="E246" s="3"/>
      <c r="F246" s="3"/>
      <c r="G246" s="3"/>
      <c r="H246" s="3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3"/>
      <c r="D247" s="3"/>
      <c r="E247" s="3"/>
      <c r="F247" s="3"/>
      <c r="G247" s="3"/>
      <c r="H247" s="3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3"/>
      <c r="D248" s="3"/>
      <c r="E248" s="3"/>
      <c r="F248" s="3"/>
      <c r="G248" s="3"/>
      <c r="H248" s="3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3"/>
      <c r="D249" s="3"/>
      <c r="E249" s="3"/>
      <c r="F249" s="3"/>
      <c r="G249" s="3"/>
      <c r="H249" s="3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3"/>
      <c r="D250" s="3"/>
      <c r="E250" s="3"/>
      <c r="F250" s="3"/>
      <c r="G250" s="3"/>
      <c r="H250" s="3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3"/>
      <c r="D251" s="3"/>
      <c r="E251" s="3"/>
      <c r="F251" s="3"/>
      <c r="G251" s="3"/>
      <c r="H251" s="3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3"/>
      <c r="D252" s="3"/>
      <c r="E252" s="3"/>
      <c r="F252" s="3"/>
      <c r="G252" s="3"/>
      <c r="H252" s="3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3"/>
      <c r="D253" s="3"/>
      <c r="E253" s="3"/>
      <c r="F253" s="3"/>
      <c r="G253" s="3"/>
      <c r="H253" s="3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3"/>
      <c r="D254" s="3"/>
      <c r="E254" s="3"/>
      <c r="F254" s="3"/>
      <c r="G254" s="3"/>
      <c r="H254" s="3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3"/>
      <c r="D255" s="3"/>
      <c r="E255" s="3"/>
      <c r="F255" s="3"/>
      <c r="G255" s="3"/>
      <c r="H255" s="3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3"/>
      <c r="D256" s="3"/>
      <c r="E256" s="3"/>
      <c r="F256" s="3"/>
      <c r="G256" s="3"/>
      <c r="H256" s="3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3"/>
      <c r="D257" s="3"/>
      <c r="E257" s="3"/>
      <c r="F257" s="3"/>
      <c r="G257" s="3"/>
      <c r="H257" s="3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3"/>
      <c r="D258" s="3"/>
      <c r="E258" s="3"/>
      <c r="F258" s="3"/>
      <c r="G258" s="3"/>
      <c r="H258" s="3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3"/>
      <c r="D259" s="3"/>
      <c r="E259" s="3"/>
      <c r="F259" s="3"/>
      <c r="G259" s="3"/>
      <c r="H259" s="3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3"/>
      <c r="D260" s="3"/>
      <c r="E260" s="3"/>
      <c r="F260" s="3"/>
      <c r="G260" s="3"/>
      <c r="H260" s="3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3"/>
      <c r="D261" s="3"/>
      <c r="E261" s="3"/>
      <c r="F261" s="3"/>
      <c r="G261" s="3"/>
      <c r="H261" s="3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3"/>
      <c r="D262" s="3"/>
      <c r="E262" s="3"/>
      <c r="F262" s="3"/>
      <c r="G262" s="3"/>
      <c r="H262" s="3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3"/>
      <c r="D263" s="3"/>
      <c r="E263" s="3"/>
      <c r="F263" s="3"/>
      <c r="G263" s="3"/>
      <c r="H263" s="3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3"/>
      <c r="D264" s="3"/>
      <c r="E264" s="3"/>
      <c r="F264" s="3"/>
      <c r="G264" s="3"/>
      <c r="H264" s="3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3"/>
      <c r="D265" s="3"/>
      <c r="E265" s="3"/>
      <c r="F265" s="3"/>
      <c r="G265" s="3"/>
      <c r="H265" s="3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3"/>
      <c r="D266" s="3"/>
      <c r="E266" s="3"/>
      <c r="F266" s="3"/>
      <c r="G266" s="3"/>
      <c r="H266" s="3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3"/>
      <c r="D267" s="3"/>
      <c r="E267" s="3"/>
      <c r="F267" s="3"/>
      <c r="G267" s="3"/>
      <c r="H267" s="3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3"/>
      <c r="D268" s="3"/>
      <c r="E268" s="3"/>
      <c r="F268" s="3"/>
      <c r="G268" s="3"/>
      <c r="H268" s="3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3"/>
      <c r="D269" s="3"/>
      <c r="E269" s="3"/>
      <c r="F269" s="3"/>
      <c r="G269" s="3"/>
      <c r="H269" s="3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3"/>
      <c r="D270" s="3"/>
      <c r="E270" s="3"/>
      <c r="F270" s="3"/>
      <c r="G270" s="3"/>
      <c r="H270" s="3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3"/>
      <c r="D271" s="3"/>
      <c r="E271" s="3"/>
      <c r="F271" s="3"/>
      <c r="G271" s="3"/>
      <c r="H271" s="3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3"/>
      <c r="D272" s="3"/>
      <c r="E272" s="3"/>
      <c r="F272" s="3"/>
      <c r="G272" s="3"/>
      <c r="H272" s="3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3"/>
      <c r="D273" s="3"/>
      <c r="E273" s="3"/>
      <c r="F273" s="3"/>
      <c r="G273" s="3"/>
      <c r="H273" s="3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3"/>
      <c r="D274" s="3"/>
      <c r="E274" s="3"/>
      <c r="F274" s="3"/>
      <c r="G274" s="3"/>
      <c r="H274" s="3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3"/>
      <c r="D275" s="3"/>
      <c r="E275" s="3"/>
      <c r="F275" s="3"/>
      <c r="G275" s="3"/>
      <c r="H275" s="3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3"/>
      <c r="D276" s="3"/>
      <c r="E276" s="3"/>
      <c r="F276" s="3"/>
      <c r="G276" s="3"/>
      <c r="H276" s="3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3"/>
      <c r="D277" s="3"/>
      <c r="E277" s="3"/>
      <c r="F277" s="3"/>
      <c r="G277" s="3"/>
      <c r="H277" s="3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3"/>
      <c r="D278" s="3"/>
      <c r="E278" s="3"/>
      <c r="F278" s="3"/>
      <c r="G278" s="3"/>
      <c r="H278" s="3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3"/>
      <c r="D279" s="3"/>
      <c r="E279" s="3"/>
      <c r="F279" s="3"/>
      <c r="G279" s="3"/>
      <c r="H279" s="3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3"/>
      <c r="D280" s="3"/>
      <c r="E280" s="3"/>
      <c r="F280" s="3"/>
      <c r="G280" s="3"/>
      <c r="H280" s="3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3"/>
      <c r="D281" s="3"/>
      <c r="E281" s="3"/>
      <c r="F281" s="3"/>
      <c r="G281" s="3"/>
      <c r="H281" s="3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3"/>
      <c r="D282" s="3"/>
      <c r="E282" s="3"/>
      <c r="F282" s="3"/>
      <c r="G282" s="3"/>
      <c r="H282" s="3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3"/>
      <c r="D283" s="3"/>
      <c r="E283" s="3"/>
      <c r="F283" s="3"/>
      <c r="G283" s="3"/>
      <c r="H283" s="3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3"/>
      <c r="D284" s="3"/>
      <c r="E284" s="3"/>
      <c r="F284" s="3"/>
      <c r="G284" s="3"/>
      <c r="H284" s="3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3"/>
      <c r="D285" s="3"/>
      <c r="E285" s="3"/>
      <c r="F285" s="3"/>
      <c r="G285" s="3"/>
      <c r="H285" s="3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3"/>
      <c r="D286" s="3"/>
      <c r="E286" s="3"/>
      <c r="F286" s="3"/>
      <c r="G286" s="3"/>
      <c r="H286" s="3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3"/>
      <c r="D287" s="3"/>
      <c r="E287" s="3"/>
      <c r="F287" s="3"/>
      <c r="G287" s="3"/>
      <c r="H287" s="3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3"/>
      <c r="D288" s="3"/>
      <c r="E288" s="3"/>
      <c r="F288" s="3"/>
      <c r="G288" s="3"/>
      <c r="H288" s="3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3"/>
      <c r="D289" s="3"/>
      <c r="E289" s="3"/>
      <c r="F289" s="3"/>
      <c r="G289" s="3"/>
      <c r="H289" s="3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3"/>
      <c r="D290" s="3"/>
      <c r="E290" s="3"/>
      <c r="F290" s="3"/>
      <c r="G290" s="3"/>
      <c r="H290" s="3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3"/>
      <c r="D291" s="3"/>
      <c r="E291" s="3"/>
      <c r="F291" s="3"/>
      <c r="G291" s="3"/>
      <c r="H291" s="3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3"/>
      <c r="D292" s="3"/>
      <c r="E292" s="3"/>
      <c r="F292" s="3"/>
      <c r="G292" s="3"/>
      <c r="H292" s="3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3"/>
      <c r="D293" s="3"/>
      <c r="E293" s="3"/>
      <c r="F293" s="3"/>
      <c r="G293" s="3"/>
      <c r="H293" s="3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3"/>
      <c r="D294" s="3"/>
      <c r="E294" s="3"/>
      <c r="F294" s="3"/>
      <c r="G294" s="3"/>
      <c r="H294" s="3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3"/>
      <c r="D295" s="3"/>
      <c r="E295" s="3"/>
      <c r="F295" s="3"/>
      <c r="G295" s="3"/>
      <c r="H295" s="3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3"/>
      <c r="D296" s="3"/>
      <c r="E296" s="3"/>
      <c r="F296" s="3"/>
      <c r="G296" s="3"/>
      <c r="H296" s="3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3"/>
      <c r="D297" s="3"/>
      <c r="E297" s="3"/>
      <c r="F297" s="3"/>
      <c r="G297" s="3"/>
      <c r="H297" s="3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3"/>
      <c r="D298" s="3"/>
      <c r="E298" s="3"/>
      <c r="F298" s="3"/>
      <c r="G298" s="3"/>
      <c r="H298" s="3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3"/>
      <c r="D299" s="3"/>
      <c r="E299" s="3"/>
      <c r="F299" s="3"/>
      <c r="G299" s="3"/>
      <c r="H299" s="3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3"/>
      <c r="D300" s="3"/>
      <c r="E300" s="3"/>
      <c r="F300" s="3"/>
      <c r="G300" s="3"/>
      <c r="H300" s="3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3"/>
      <c r="D301" s="3"/>
      <c r="E301" s="3"/>
      <c r="F301" s="3"/>
      <c r="G301" s="3"/>
      <c r="H301" s="3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3"/>
      <c r="D302" s="3"/>
      <c r="E302" s="3"/>
      <c r="F302" s="3"/>
      <c r="G302" s="3"/>
      <c r="H302" s="3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3"/>
      <c r="D303" s="3"/>
      <c r="E303" s="3"/>
      <c r="F303" s="3"/>
      <c r="G303" s="3"/>
      <c r="H303" s="3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3"/>
      <c r="D304" s="3"/>
      <c r="E304" s="3"/>
      <c r="F304" s="3"/>
      <c r="G304" s="3"/>
      <c r="H304" s="3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3"/>
      <c r="D305" s="3"/>
      <c r="E305" s="3"/>
      <c r="F305" s="3"/>
      <c r="G305" s="3"/>
      <c r="H305" s="3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3"/>
      <c r="D306" s="3"/>
      <c r="E306" s="3"/>
      <c r="F306" s="3"/>
      <c r="G306" s="3"/>
      <c r="H306" s="3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3"/>
      <c r="D307" s="3"/>
      <c r="E307" s="3"/>
      <c r="F307" s="3"/>
      <c r="G307" s="3"/>
      <c r="H307" s="3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3"/>
      <c r="D308" s="3"/>
      <c r="E308" s="3"/>
      <c r="F308" s="3"/>
      <c r="G308" s="3"/>
      <c r="H308" s="3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3"/>
      <c r="D309" s="3"/>
      <c r="E309" s="3"/>
      <c r="F309" s="3"/>
      <c r="G309" s="3"/>
      <c r="H309" s="3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3"/>
      <c r="D310" s="3"/>
      <c r="E310" s="3"/>
      <c r="F310" s="3"/>
      <c r="G310" s="3"/>
      <c r="H310" s="3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3"/>
      <c r="D311" s="3"/>
      <c r="E311" s="3"/>
      <c r="F311" s="3"/>
      <c r="G311" s="3"/>
      <c r="H311" s="3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3"/>
      <c r="D312" s="3"/>
      <c r="E312" s="3"/>
      <c r="F312" s="3"/>
      <c r="G312" s="3"/>
      <c r="H312" s="3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3"/>
      <c r="D313" s="3"/>
      <c r="E313" s="3"/>
      <c r="F313" s="3"/>
      <c r="G313" s="3"/>
      <c r="H313" s="3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3"/>
      <c r="D314" s="3"/>
      <c r="E314" s="3"/>
      <c r="F314" s="3"/>
      <c r="G314" s="3"/>
      <c r="H314" s="3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3"/>
      <c r="D315" s="3"/>
      <c r="E315" s="3"/>
      <c r="F315" s="3"/>
      <c r="G315" s="3"/>
      <c r="H315" s="3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3"/>
      <c r="D316" s="3"/>
      <c r="E316" s="3"/>
      <c r="F316" s="3"/>
      <c r="G316" s="3"/>
      <c r="H316" s="3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3"/>
      <c r="D317" s="3"/>
      <c r="E317" s="3"/>
      <c r="F317" s="3"/>
      <c r="G317" s="3"/>
      <c r="H317" s="3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3"/>
      <c r="D318" s="3"/>
      <c r="E318" s="3"/>
      <c r="F318" s="3"/>
      <c r="G318" s="3"/>
      <c r="H318" s="3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3"/>
      <c r="D319" s="3"/>
      <c r="E319" s="3"/>
      <c r="F319" s="3"/>
      <c r="G319" s="3"/>
      <c r="H319" s="3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3"/>
      <c r="D320" s="3"/>
      <c r="E320" s="3"/>
      <c r="F320" s="3"/>
      <c r="G320" s="3"/>
      <c r="H320" s="3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3"/>
      <c r="D321" s="3"/>
      <c r="E321" s="3"/>
      <c r="F321" s="3"/>
      <c r="G321" s="3"/>
      <c r="H321" s="3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3"/>
      <c r="D322" s="3"/>
      <c r="E322" s="3"/>
      <c r="F322" s="3"/>
      <c r="G322" s="3"/>
      <c r="H322" s="3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3"/>
      <c r="D323" s="3"/>
      <c r="E323" s="3"/>
      <c r="F323" s="3"/>
      <c r="G323" s="3"/>
      <c r="H323" s="3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3"/>
      <c r="D324" s="3"/>
      <c r="E324" s="3"/>
      <c r="F324" s="3"/>
      <c r="G324" s="3"/>
      <c r="H324" s="3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3"/>
      <c r="D325" s="3"/>
      <c r="E325" s="3"/>
      <c r="F325" s="3"/>
      <c r="G325" s="3"/>
      <c r="H325" s="3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3"/>
      <c r="D326" s="3"/>
      <c r="E326" s="3"/>
      <c r="F326" s="3"/>
      <c r="G326" s="3"/>
      <c r="H326" s="3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3"/>
      <c r="D327" s="3"/>
      <c r="E327" s="3"/>
      <c r="F327" s="3"/>
      <c r="G327" s="3"/>
      <c r="H327" s="3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3"/>
      <c r="D328" s="3"/>
      <c r="E328" s="3"/>
      <c r="F328" s="3"/>
      <c r="G328" s="3"/>
      <c r="H328" s="3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3"/>
      <c r="D329" s="3"/>
      <c r="E329" s="3"/>
      <c r="F329" s="3"/>
      <c r="G329" s="3"/>
      <c r="H329" s="3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3"/>
      <c r="D330" s="3"/>
      <c r="E330" s="3"/>
      <c r="F330" s="3"/>
      <c r="G330" s="3"/>
      <c r="H330" s="3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3"/>
      <c r="D331" s="3"/>
      <c r="E331" s="3"/>
      <c r="F331" s="3"/>
      <c r="G331" s="3"/>
      <c r="H331" s="3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3"/>
      <c r="D332" s="3"/>
      <c r="E332" s="3"/>
      <c r="F332" s="3"/>
      <c r="G332" s="3"/>
      <c r="H332" s="3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3"/>
      <c r="D333" s="3"/>
      <c r="E333" s="3"/>
      <c r="F333" s="3"/>
      <c r="G333" s="3"/>
      <c r="H333" s="3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3"/>
      <c r="D334" s="3"/>
      <c r="E334" s="3"/>
      <c r="F334" s="3"/>
      <c r="G334" s="3"/>
      <c r="H334" s="3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3"/>
      <c r="D335" s="3"/>
      <c r="E335" s="3"/>
      <c r="F335" s="3"/>
      <c r="G335" s="3"/>
      <c r="H335" s="3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3"/>
      <c r="D336" s="3"/>
      <c r="E336" s="3"/>
      <c r="F336" s="3"/>
      <c r="G336" s="3"/>
      <c r="H336" s="3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3"/>
      <c r="D337" s="3"/>
      <c r="E337" s="3"/>
      <c r="F337" s="3"/>
      <c r="G337" s="3"/>
      <c r="H337" s="3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3"/>
      <c r="D338" s="3"/>
      <c r="E338" s="3"/>
      <c r="F338" s="3"/>
      <c r="G338" s="3"/>
      <c r="H338" s="3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3"/>
      <c r="D339" s="3"/>
      <c r="E339" s="3"/>
      <c r="F339" s="3"/>
      <c r="G339" s="3"/>
      <c r="H339" s="3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3"/>
      <c r="D340" s="3"/>
      <c r="E340" s="3"/>
      <c r="F340" s="3"/>
      <c r="G340" s="3"/>
      <c r="H340" s="3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3"/>
      <c r="D341" s="3"/>
      <c r="E341" s="3"/>
      <c r="F341" s="3"/>
      <c r="G341" s="3"/>
      <c r="H341" s="3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3"/>
      <c r="D342" s="3"/>
      <c r="E342" s="3"/>
      <c r="F342" s="3"/>
      <c r="G342" s="3"/>
      <c r="H342" s="3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3"/>
      <c r="D343" s="3"/>
      <c r="E343" s="3"/>
      <c r="F343" s="3"/>
      <c r="G343" s="3"/>
      <c r="H343" s="3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3"/>
      <c r="D344" s="3"/>
      <c r="E344" s="3"/>
      <c r="F344" s="3"/>
      <c r="G344" s="3"/>
      <c r="H344" s="3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3"/>
      <c r="D345" s="3"/>
      <c r="E345" s="3"/>
      <c r="F345" s="3"/>
      <c r="G345" s="3"/>
      <c r="H345" s="3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3"/>
      <c r="D346" s="3"/>
      <c r="E346" s="3"/>
      <c r="F346" s="3"/>
      <c r="G346" s="3"/>
      <c r="H346" s="3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3"/>
      <c r="D347" s="3"/>
      <c r="E347" s="3"/>
      <c r="F347" s="3"/>
      <c r="G347" s="3"/>
      <c r="H347" s="3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3"/>
      <c r="D348" s="3"/>
      <c r="E348" s="3"/>
      <c r="F348" s="3"/>
      <c r="G348" s="3"/>
      <c r="H348" s="3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3"/>
      <c r="D349" s="3"/>
      <c r="E349" s="3"/>
      <c r="F349" s="3"/>
      <c r="G349" s="3"/>
      <c r="H349" s="3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3"/>
      <c r="D350" s="3"/>
      <c r="E350" s="3"/>
      <c r="F350" s="3"/>
      <c r="G350" s="3"/>
      <c r="H350" s="3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3"/>
      <c r="D351" s="3"/>
      <c r="E351" s="3"/>
      <c r="F351" s="3"/>
      <c r="G351" s="3"/>
      <c r="H351" s="3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3"/>
      <c r="D352" s="3"/>
      <c r="E352" s="3"/>
      <c r="F352" s="3"/>
      <c r="G352" s="3"/>
      <c r="H352" s="3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3"/>
      <c r="D353" s="3"/>
      <c r="E353" s="3"/>
      <c r="F353" s="3"/>
      <c r="G353" s="3"/>
      <c r="H353" s="3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3"/>
      <c r="D354" s="3"/>
      <c r="E354" s="3"/>
      <c r="F354" s="3"/>
      <c r="G354" s="3"/>
      <c r="H354" s="3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3"/>
      <c r="D355" s="3"/>
      <c r="E355" s="3"/>
      <c r="F355" s="3"/>
      <c r="G355" s="3"/>
      <c r="H355" s="3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3"/>
      <c r="D356" s="3"/>
      <c r="E356" s="3"/>
      <c r="F356" s="3"/>
      <c r="G356" s="3"/>
      <c r="H356" s="3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3"/>
      <c r="D357" s="3"/>
      <c r="E357" s="3"/>
      <c r="F357" s="3"/>
      <c r="G357" s="3"/>
      <c r="H357" s="3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3"/>
      <c r="D358" s="3"/>
      <c r="E358" s="3"/>
      <c r="F358" s="3"/>
      <c r="G358" s="3"/>
      <c r="H358" s="3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3"/>
      <c r="D359" s="3"/>
      <c r="E359" s="3"/>
      <c r="F359" s="3"/>
      <c r="G359" s="3"/>
      <c r="H359" s="3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3"/>
      <c r="D360" s="3"/>
      <c r="E360" s="3"/>
      <c r="F360" s="3"/>
      <c r="G360" s="3"/>
      <c r="H360" s="3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3"/>
      <c r="D361" s="3"/>
      <c r="E361" s="3"/>
      <c r="F361" s="3"/>
      <c r="G361" s="3"/>
      <c r="H361" s="3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3"/>
      <c r="D362" s="3"/>
      <c r="E362" s="3"/>
      <c r="F362" s="3"/>
      <c r="G362" s="3"/>
      <c r="H362" s="3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3"/>
      <c r="D363" s="3"/>
      <c r="E363" s="3"/>
      <c r="F363" s="3"/>
      <c r="G363" s="3"/>
      <c r="H363" s="3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3"/>
      <c r="D364" s="3"/>
      <c r="E364" s="3"/>
      <c r="F364" s="3"/>
      <c r="G364" s="3"/>
      <c r="H364" s="3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3"/>
      <c r="D365" s="3"/>
      <c r="E365" s="3"/>
      <c r="F365" s="3"/>
      <c r="G365" s="3"/>
      <c r="H365" s="3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3"/>
      <c r="D366" s="3"/>
      <c r="E366" s="3"/>
      <c r="F366" s="3"/>
      <c r="G366" s="3"/>
      <c r="H366" s="3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3"/>
      <c r="D367" s="3"/>
      <c r="E367" s="3"/>
      <c r="F367" s="3"/>
      <c r="G367" s="3"/>
      <c r="H367" s="3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3"/>
      <c r="D368" s="3"/>
      <c r="E368" s="3"/>
      <c r="F368" s="3"/>
      <c r="G368" s="3"/>
      <c r="H368" s="3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3"/>
      <c r="D369" s="3"/>
      <c r="E369" s="3"/>
      <c r="F369" s="3"/>
      <c r="G369" s="3"/>
      <c r="H369" s="3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3"/>
      <c r="D370" s="3"/>
      <c r="E370" s="3"/>
      <c r="F370" s="3"/>
      <c r="G370" s="3"/>
      <c r="H370" s="3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3"/>
      <c r="D371" s="3"/>
      <c r="E371" s="3"/>
      <c r="F371" s="3"/>
      <c r="G371" s="3"/>
      <c r="H371" s="3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3"/>
      <c r="D372" s="3"/>
      <c r="E372" s="3"/>
      <c r="F372" s="3"/>
      <c r="G372" s="3"/>
      <c r="H372" s="3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3"/>
      <c r="D373" s="3"/>
      <c r="E373" s="3"/>
      <c r="F373" s="3"/>
      <c r="G373" s="3"/>
      <c r="H373" s="3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3"/>
      <c r="D374" s="3"/>
      <c r="E374" s="3"/>
      <c r="F374" s="3"/>
      <c r="G374" s="3"/>
      <c r="H374" s="3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3"/>
      <c r="D375" s="3"/>
      <c r="E375" s="3"/>
      <c r="F375" s="3"/>
      <c r="G375" s="3"/>
      <c r="H375" s="3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3"/>
      <c r="D376" s="3"/>
      <c r="E376" s="3"/>
      <c r="F376" s="3"/>
      <c r="G376" s="3"/>
      <c r="H376" s="3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3"/>
      <c r="D377" s="3"/>
      <c r="E377" s="3"/>
      <c r="F377" s="3"/>
      <c r="G377" s="3"/>
      <c r="H377" s="3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3"/>
      <c r="D378" s="3"/>
      <c r="E378" s="3"/>
      <c r="F378" s="3"/>
      <c r="G378" s="3"/>
      <c r="H378" s="3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3"/>
      <c r="D379" s="3"/>
      <c r="E379" s="3"/>
      <c r="F379" s="3"/>
      <c r="G379" s="3"/>
      <c r="H379" s="3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3"/>
      <c r="D380" s="3"/>
      <c r="E380" s="3"/>
      <c r="F380" s="3"/>
      <c r="G380" s="3"/>
      <c r="H380" s="3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3"/>
      <c r="D381" s="3"/>
      <c r="E381" s="3"/>
      <c r="F381" s="3"/>
      <c r="G381" s="3"/>
      <c r="H381" s="3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3"/>
      <c r="D382" s="3"/>
      <c r="E382" s="3"/>
      <c r="F382" s="3"/>
      <c r="G382" s="3"/>
      <c r="H382" s="3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3"/>
      <c r="D383" s="3"/>
      <c r="E383" s="3"/>
      <c r="F383" s="3"/>
      <c r="G383" s="3"/>
      <c r="H383" s="3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3"/>
      <c r="D384" s="3"/>
      <c r="E384" s="3"/>
      <c r="F384" s="3"/>
      <c r="G384" s="3"/>
      <c r="H384" s="3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3"/>
      <c r="D385" s="3"/>
      <c r="E385" s="3"/>
      <c r="F385" s="3"/>
      <c r="G385" s="3"/>
      <c r="H385" s="3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3"/>
      <c r="D386" s="3"/>
      <c r="E386" s="3"/>
      <c r="F386" s="3"/>
      <c r="G386" s="3"/>
      <c r="H386" s="3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3"/>
      <c r="D387" s="3"/>
      <c r="E387" s="3"/>
      <c r="F387" s="3"/>
      <c r="G387" s="3"/>
      <c r="H387" s="3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3"/>
      <c r="D388" s="3"/>
      <c r="E388" s="3"/>
      <c r="F388" s="3"/>
      <c r="G388" s="3"/>
      <c r="H388" s="3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3"/>
      <c r="D389" s="3"/>
      <c r="E389" s="3"/>
      <c r="F389" s="3"/>
      <c r="G389" s="3"/>
      <c r="H389" s="3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3"/>
      <c r="D390" s="3"/>
      <c r="E390" s="3"/>
      <c r="F390" s="3"/>
      <c r="G390" s="3"/>
      <c r="H390" s="3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3"/>
      <c r="D391" s="3"/>
      <c r="E391" s="3"/>
      <c r="F391" s="3"/>
      <c r="G391" s="3"/>
      <c r="H391" s="3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3"/>
      <c r="D392" s="3"/>
      <c r="E392" s="3"/>
      <c r="F392" s="3"/>
      <c r="G392" s="3"/>
      <c r="H392" s="3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3"/>
      <c r="D393" s="3"/>
      <c r="E393" s="3"/>
      <c r="F393" s="3"/>
      <c r="G393" s="3"/>
      <c r="H393" s="3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3"/>
      <c r="D394" s="3"/>
      <c r="E394" s="3"/>
      <c r="F394" s="3"/>
      <c r="G394" s="3"/>
      <c r="H394" s="3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3"/>
      <c r="D395" s="3"/>
      <c r="E395" s="3"/>
      <c r="F395" s="3"/>
      <c r="G395" s="3"/>
      <c r="H395" s="3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3"/>
      <c r="D396" s="3"/>
      <c r="E396" s="3"/>
      <c r="F396" s="3"/>
      <c r="G396" s="3"/>
      <c r="H396" s="3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3"/>
      <c r="D397" s="3"/>
      <c r="E397" s="3"/>
      <c r="F397" s="3"/>
      <c r="G397" s="3"/>
      <c r="H397" s="3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3"/>
      <c r="D398" s="3"/>
      <c r="E398" s="3"/>
      <c r="F398" s="3"/>
      <c r="G398" s="3"/>
      <c r="H398" s="3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3"/>
      <c r="D399" s="3"/>
      <c r="E399" s="3"/>
      <c r="F399" s="3"/>
      <c r="G399" s="3"/>
      <c r="H399" s="3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3"/>
      <c r="D400" s="3"/>
      <c r="E400" s="3"/>
      <c r="F400" s="3"/>
      <c r="G400" s="3"/>
      <c r="H400" s="3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3"/>
      <c r="D401" s="3"/>
      <c r="E401" s="3"/>
      <c r="F401" s="3"/>
      <c r="G401" s="3"/>
      <c r="H401" s="3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3"/>
      <c r="D402" s="3"/>
      <c r="E402" s="3"/>
      <c r="F402" s="3"/>
      <c r="G402" s="3"/>
      <c r="H402" s="3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3"/>
      <c r="D403" s="3"/>
      <c r="E403" s="3"/>
      <c r="F403" s="3"/>
      <c r="G403" s="3"/>
      <c r="H403" s="3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3"/>
      <c r="D404" s="3"/>
      <c r="E404" s="3"/>
      <c r="F404" s="3"/>
      <c r="G404" s="3"/>
      <c r="H404" s="3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3"/>
      <c r="D405" s="3"/>
      <c r="E405" s="3"/>
      <c r="F405" s="3"/>
      <c r="G405" s="3"/>
      <c r="H405" s="3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3"/>
      <c r="D406" s="3"/>
      <c r="E406" s="3"/>
      <c r="F406" s="3"/>
      <c r="G406" s="3"/>
      <c r="H406" s="3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3"/>
      <c r="D407" s="3"/>
      <c r="E407" s="3"/>
      <c r="F407" s="3"/>
      <c r="G407" s="3"/>
      <c r="H407" s="3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3"/>
      <c r="D408" s="3"/>
      <c r="E408" s="3"/>
      <c r="F408" s="3"/>
      <c r="G408" s="3"/>
      <c r="H408" s="3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3"/>
      <c r="D409" s="3"/>
      <c r="E409" s="3"/>
      <c r="F409" s="3"/>
      <c r="G409" s="3"/>
      <c r="H409" s="3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3"/>
      <c r="D410" s="3"/>
      <c r="E410" s="3"/>
      <c r="F410" s="3"/>
      <c r="G410" s="3"/>
      <c r="H410" s="3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3"/>
      <c r="D411" s="3"/>
      <c r="E411" s="3"/>
      <c r="F411" s="3"/>
      <c r="G411" s="3"/>
      <c r="H411" s="3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3"/>
      <c r="D412" s="3"/>
      <c r="E412" s="3"/>
      <c r="F412" s="3"/>
      <c r="G412" s="3"/>
      <c r="H412" s="3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3"/>
      <c r="D413" s="3"/>
      <c r="E413" s="3"/>
      <c r="F413" s="3"/>
      <c r="G413" s="3"/>
      <c r="H413" s="3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3"/>
      <c r="D414" s="3"/>
      <c r="E414" s="3"/>
      <c r="F414" s="3"/>
      <c r="G414" s="3"/>
      <c r="H414" s="3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3"/>
      <c r="D415" s="3"/>
      <c r="E415" s="3"/>
      <c r="F415" s="3"/>
      <c r="G415" s="3"/>
      <c r="H415" s="3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3"/>
      <c r="D416" s="3"/>
      <c r="E416" s="3"/>
      <c r="F416" s="3"/>
      <c r="G416" s="3"/>
      <c r="H416" s="3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3"/>
      <c r="D417" s="3"/>
      <c r="E417" s="3"/>
      <c r="F417" s="3"/>
      <c r="G417" s="3"/>
      <c r="H417" s="3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3"/>
      <c r="D418" s="3"/>
      <c r="E418" s="3"/>
      <c r="F418" s="3"/>
      <c r="G418" s="3"/>
      <c r="H418" s="3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3"/>
      <c r="D419" s="3"/>
      <c r="E419" s="3"/>
      <c r="F419" s="3"/>
      <c r="G419" s="3"/>
      <c r="H419" s="3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3"/>
      <c r="D420" s="3"/>
      <c r="E420" s="3"/>
      <c r="F420" s="3"/>
      <c r="G420" s="3"/>
      <c r="H420" s="3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3"/>
      <c r="D421" s="3"/>
      <c r="E421" s="3"/>
      <c r="F421" s="3"/>
      <c r="G421" s="3"/>
      <c r="H421" s="3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3"/>
      <c r="D422" s="3"/>
      <c r="E422" s="3"/>
      <c r="F422" s="3"/>
      <c r="G422" s="3"/>
      <c r="H422" s="3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3"/>
      <c r="D423" s="3"/>
      <c r="E423" s="3"/>
      <c r="F423" s="3"/>
      <c r="G423" s="3"/>
      <c r="H423" s="3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3"/>
      <c r="D424" s="3"/>
      <c r="E424" s="3"/>
      <c r="F424" s="3"/>
      <c r="G424" s="3"/>
      <c r="H424" s="3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3"/>
      <c r="D425" s="3"/>
      <c r="E425" s="3"/>
      <c r="F425" s="3"/>
      <c r="G425" s="3"/>
      <c r="H425" s="3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3"/>
      <c r="D426" s="3"/>
      <c r="E426" s="3"/>
      <c r="F426" s="3"/>
      <c r="G426" s="3"/>
      <c r="H426" s="3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3"/>
      <c r="D427" s="3"/>
      <c r="E427" s="3"/>
      <c r="F427" s="3"/>
      <c r="G427" s="3"/>
      <c r="H427" s="3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3"/>
      <c r="D428" s="3"/>
      <c r="E428" s="3"/>
      <c r="F428" s="3"/>
      <c r="G428" s="3"/>
      <c r="H428" s="3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3"/>
      <c r="D429" s="3"/>
      <c r="E429" s="3"/>
      <c r="F429" s="3"/>
      <c r="G429" s="3"/>
      <c r="H429" s="3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3"/>
      <c r="D430" s="3"/>
      <c r="E430" s="3"/>
      <c r="F430" s="3"/>
      <c r="G430" s="3"/>
      <c r="H430" s="3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3"/>
      <c r="D431" s="3"/>
      <c r="E431" s="3"/>
      <c r="F431" s="3"/>
      <c r="G431" s="3"/>
      <c r="H431" s="3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3"/>
      <c r="D432" s="3"/>
      <c r="E432" s="3"/>
      <c r="F432" s="3"/>
      <c r="G432" s="3"/>
      <c r="H432" s="3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3"/>
      <c r="D433" s="3"/>
      <c r="E433" s="3"/>
      <c r="F433" s="3"/>
      <c r="G433" s="3"/>
      <c r="H433" s="3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3"/>
      <c r="D434" s="3"/>
      <c r="E434" s="3"/>
      <c r="F434" s="3"/>
      <c r="G434" s="3"/>
      <c r="H434" s="3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3"/>
      <c r="D435" s="3"/>
      <c r="E435" s="3"/>
      <c r="F435" s="3"/>
      <c r="G435" s="3"/>
      <c r="H435" s="3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3"/>
      <c r="D436" s="3"/>
      <c r="E436" s="3"/>
      <c r="F436" s="3"/>
      <c r="G436" s="3"/>
      <c r="H436" s="3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3"/>
      <c r="D437" s="3"/>
      <c r="E437" s="3"/>
      <c r="F437" s="3"/>
      <c r="G437" s="3"/>
      <c r="H437" s="3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3"/>
      <c r="D438" s="3"/>
      <c r="E438" s="3"/>
      <c r="F438" s="3"/>
      <c r="G438" s="3"/>
      <c r="H438" s="3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3"/>
      <c r="D439" s="3"/>
      <c r="E439" s="3"/>
      <c r="F439" s="3"/>
      <c r="G439" s="3"/>
      <c r="H439" s="3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3"/>
      <c r="D440" s="3"/>
      <c r="E440" s="3"/>
      <c r="F440" s="3"/>
      <c r="G440" s="3"/>
      <c r="H440" s="3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3"/>
      <c r="D441" s="3"/>
      <c r="E441" s="3"/>
      <c r="F441" s="3"/>
      <c r="G441" s="3"/>
      <c r="H441" s="3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3"/>
      <c r="D442" s="3"/>
      <c r="E442" s="3"/>
      <c r="F442" s="3"/>
      <c r="G442" s="3"/>
      <c r="H442" s="3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3"/>
      <c r="D443" s="3"/>
      <c r="E443" s="3"/>
      <c r="F443" s="3"/>
      <c r="G443" s="3"/>
      <c r="H443" s="3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3"/>
      <c r="D444" s="3"/>
      <c r="E444" s="3"/>
      <c r="F444" s="3"/>
      <c r="G444" s="3"/>
      <c r="H444" s="3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3"/>
      <c r="D445" s="3"/>
      <c r="E445" s="3"/>
      <c r="F445" s="3"/>
      <c r="G445" s="3"/>
      <c r="H445" s="3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3"/>
      <c r="D446" s="3"/>
      <c r="E446" s="3"/>
      <c r="F446" s="3"/>
      <c r="G446" s="3"/>
      <c r="H446" s="3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3"/>
      <c r="D447" s="3"/>
      <c r="E447" s="3"/>
      <c r="F447" s="3"/>
      <c r="G447" s="3"/>
      <c r="H447" s="3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3"/>
      <c r="D448" s="3"/>
      <c r="E448" s="3"/>
      <c r="F448" s="3"/>
      <c r="G448" s="3"/>
      <c r="H448" s="3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3"/>
      <c r="D449" s="3"/>
      <c r="E449" s="3"/>
      <c r="F449" s="3"/>
      <c r="G449" s="3"/>
      <c r="H449" s="3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3"/>
      <c r="D450" s="3"/>
      <c r="E450" s="3"/>
      <c r="F450" s="3"/>
      <c r="G450" s="3"/>
      <c r="H450" s="3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3"/>
      <c r="D451" s="3"/>
      <c r="E451" s="3"/>
      <c r="F451" s="3"/>
      <c r="G451" s="3"/>
      <c r="H451" s="3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3"/>
      <c r="D452" s="3"/>
      <c r="E452" s="3"/>
      <c r="F452" s="3"/>
      <c r="G452" s="3"/>
      <c r="H452" s="3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3"/>
      <c r="D453" s="3"/>
      <c r="E453" s="3"/>
      <c r="F453" s="3"/>
      <c r="G453" s="3"/>
      <c r="H453" s="3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3"/>
      <c r="D454" s="3"/>
      <c r="E454" s="3"/>
      <c r="F454" s="3"/>
      <c r="G454" s="3"/>
      <c r="H454" s="3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3"/>
      <c r="D455" s="3"/>
      <c r="E455" s="3"/>
      <c r="F455" s="3"/>
      <c r="G455" s="3"/>
      <c r="H455" s="3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3"/>
      <c r="D456" s="3"/>
      <c r="E456" s="3"/>
      <c r="F456" s="3"/>
      <c r="G456" s="3"/>
      <c r="H456" s="3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3"/>
      <c r="D457" s="3"/>
      <c r="E457" s="3"/>
      <c r="F457" s="3"/>
      <c r="G457" s="3"/>
      <c r="H457" s="3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3"/>
      <c r="D458" s="3"/>
      <c r="E458" s="3"/>
      <c r="F458" s="3"/>
      <c r="G458" s="3"/>
      <c r="H458" s="3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3"/>
      <c r="D459" s="3"/>
      <c r="E459" s="3"/>
      <c r="F459" s="3"/>
      <c r="G459" s="3"/>
      <c r="H459" s="3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3"/>
      <c r="D460" s="3"/>
      <c r="E460" s="3"/>
      <c r="F460" s="3"/>
      <c r="G460" s="3"/>
      <c r="H460" s="3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3"/>
      <c r="D461" s="3"/>
      <c r="E461" s="3"/>
      <c r="F461" s="3"/>
      <c r="G461" s="3"/>
      <c r="H461" s="3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3"/>
      <c r="D462" s="3"/>
      <c r="E462" s="3"/>
      <c r="F462" s="3"/>
      <c r="G462" s="3"/>
      <c r="H462" s="3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3"/>
      <c r="D463" s="3"/>
      <c r="E463" s="3"/>
      <c r="F463" s="3"/>
      <c r="G463" s="3"/>
      <c r="H463" s="3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3"/>
      <c r="D464" s="3"/>
      <c r="E464" s="3"/>
      <c r="F464" s="3"/>
      <c r="G464" s="3"/>
      <c r="H464" s="3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3"/>
      <c r="D465" s="3"/>
      <c r="E465" s="3"/>
      <c r="F465" s="3"/>
      <c r="G465" s="3"/>
      <c r="H465" s="3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3"/>
      <c r="D466" s="3"/>
      <c r="E466" s="3"/>
      <c r="F466" s="3"/>
      <c r="G466" s="3"/>
      <c r="H466" s="3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3"/>
      <c r="D467" s="3"/>
      <c r="E467" s="3"/>
      <c r="F467" s="3"/>
      <c r="G467" s="3"/>
      <c r="H467" s="3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3"/>
      <c r="D468" s="3"/>
      <c r="E468" s="3"/>
      <c r="F468" s="3"/>
      <c r="G468" s="3"/>
      <c r="H468" s="3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3"/>
      <c r="D469" s="3"/>
      <c r="E469" s="3"/>
      <c r="F469" s="3"/>
      <c r="G469" s="3"/>
      <c r="H469" s="3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3"/>
      <c r="D470" s="3"/>
      <c r="E470" s="3"/>
      <c r="F470" s="3"/>
      <c r="G470" s="3"/>
      <c r="H470" s="3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3"/>
      <c r="D471" s="3"/>
      <c r="E471" s="3"/>
      <c r="F471" s="3"/>
      <c r="G471" s="3"/>
      <c r="H471" s="3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3"/>
      <c r="D472" s="3"/>
      <c r="E472" s="3"/>
      <c r="F472" s="3"/>
      <c r="G472" s="3"/>
      <c r="H472" s="3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3"/>
      <c r="D473" s="3"/>
      <c r="E473" s="3"/>
      <c r="F473" s="3"/>
      <c r="G473" s="3"/>
      <c r="H473" s="3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3"/>
      <c r="D474" s="3"/>
      <c r="E474" s="3"/>
      <c r="F474" s="3"/>
      <c r="G474" s="3"/>
      <c r="H474" s="3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3"/>
      <c r="D475" s="3"/>
      <c r="E475" s="3"/>
      <c r="F475" s="3"/>
      <c r="G475" s="3"/>
      <c r="H475" s="3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3"/>
      <c r="D476" s="3"/>
      <c r="E476" s="3"/>
      <c r="F476" s="3"/>
      <c r="G476" s="3"/>
      <c r="H476" s="3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3"/>
      <c r="D477" s="3"/>
      <c r="E477" s="3"/>
      <c r="F477" s="3"/>
      <c r="G477" s="3"/>
      <c r="H477" s="3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3"/>
      <c r="D478" s="3"/>
      <c r="E478" s="3"/>
      <c r="F478" s="3"/>
      <c r="G478" s="3"/>
      <c r="H478" s="3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3"/>
      <c r="D479" s="3"/>
      <c r="E479" s="3"/>
      <c r="F479" s="3"/>
      <c r="G479" s="3"/>
      <c r="H479" s="3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3"/>
      <c r="D480" s="3"/>
      <c r="E480" s="3"/>
      <c r="F480" s="3"/>
      <c r="G480" s="3"/>
      <c r="H480" s="3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3"/>
      <c r="D481" s="3"/>
      <c r="E481" s="3"/>
      <c r="F481" s="3"/>
      <c r="G481" s="3"/>
      <c r="H481" s="3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3"/>
      <c r="D482" s="3"/>
      <c r="E482" s="3"/>
      <c r="F482" s="3"/>
      <c r="G482" s="3"/>
      <c r="H482" s="3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3"/>
      <c r="D483" s="3"/>
      <c r="E483" s="3"/>
      <c r="F483" s="3"/>
      <c r="G483" s="3"/>
      <c r="H483" s="3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3"/>
      <c r="D484" s="3"/>
      <c r="E484" s="3"/>
      <c r="F484" s="3"/>
      <c r="G484" s="3"/>
      <c r="H484" s="3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3"/>
      <c r="D485" s="3"/>
      <c r="E485" s="3"/>
      <c r="F485" s="3"/>
      <c r="G485" s="3"/>
      <c r="H485" s="3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3"/>
      <c r="D486" s="3"/>
      <c r="E486" s="3"/>
      <c r="F486" s="3"/>
      <c r="G486" s="3"/>
      <c r="H486" s="3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3"/>
      <c r="D487" s="3"/>
      <c r="E487" s="3"/>
      <c r="F487" s="3"/>
      <c r="G487" s="3"/>
      <c r="H487" s="3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3"/>
      <c r="D488" s="3"/>
      <c r="E488" s="3"/>
      <c r="F488" s="3"/>
      <c r="G488" s="3"/>
      <c r="H488" s="3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3"/>
      <c r="D489" s="3"/>
      <c r="E489" s="3"/>
      <c r="F489" s="3"/>
      <c r="G489" s="3"/>
      <c r="H489" s="3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3"/>
      <c r="D490" s="3"/>
      <c r="E490" s="3"/>
      <c r="F490" s="3"/>
      <c r="G490" s="3"/>
      <c r="H490" s="3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3"/>
      <c r="D491" s="3"/>
      <c r="E491" s="3"/>
      <c r="F491" s="3"/>
      <c r="G491" s="3"/>
      <c r="H491" s="3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3"/>
      <c r="D492" s="3"/>
      <c r="E492" s="3"/>
      <c r="F492" s="3"/>
      <c r="G492" s="3"/>
      <c r="H492" s="3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3"/>
      <c r="D493" s="3"/>
      <c r="E493" s="3"/>
      <c r="F493" s="3"/>
      <c r="G493" s="3"/>
      <c r="H493" s="3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3"/>
      <c r="D494" s="3"/>
      <c r="E494" s="3"/>
      <c r="F494" s="3"/>
      <c r="G494" s="3"/>
      <c r="H494" s="3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3"/>
      <c r="D495" s="3"/>
      <c r="E495" s="3"/>
      <c r="F495" s="3"/>
      <c r="G495" s="3"/>
      <c r="H495" s="3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3"/>
      <c r="D496" s="3"/>
      <c r="E496" s="3"/>
      <c r="F496" s="3"/>
      <c r="G496" s="3"/>
      <c r="H496" s="3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3"/>
      <c r="D497" s="3"/>
      <c r="E497" s="3"/>
      <c r="F497" s="3"/>
      <c r="G497" s="3"/>
      <c r="H497" s="3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3"/>
      <c r="D498" s="3"/>
      <c r="E498" s="3"/>
      <c r="F498" s="3"/>
      <c r="G498" s="3"/>
      <c r="H498" s="3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3"/>
      <c r="D499" s="3"/>
      <c r="E499" s="3"/>
      <c r="F499" s="3"/>
      <c r="G499" s="3"/>
      <c r="H499" s="3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3"/>
      <c r="D500" s="3"/>
      <c r="E500" s="3"/>
      <c r="F500" s="3"/>
      <c r="G500" s="3"/>
      <c r="H500" s="3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3"/>
      <c r="D501" s="3"/>
      <c r="E501" s="3"/>
      <c r="F501" s="3"/>
      <c r="G501" s="3"/>
      <c r="H501" s="3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3"/>
      <c r="D502" s="3"/>
      <c r="E502" s="3"/>
      <c r="F502" s="3"/>
      <c r="G502" s="3"/>
      <c r="H502" s="3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3"/>
      <c r="D503" s="3"/>
      <c r="E503" s="3"/>
      <c r="F503" s="3"/>
      <c r="G503" s="3"/>
      <c r="H503" s="3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3"/>
      <c r="D504" s="3"/>
      <c r="E504" s="3"/>
      <c r="F504" s="3"/>
      <c r="G504" s="3"/>
      <c r="H504" s="3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3"/>
      <c r="D505" s="3"/>
      <c r="E505" s="3"/>
      <c r="F505" s="3"/>
      <c r="G505" s="3"/>
      <c r="H505" s="3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3"/>
      <c r="D506" s="3"/>
      <c r="E506" s="3"/>
      <c r="F506" s="3"/>
      <c r="G506" s="3"/>
      <c r="H506" s="3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3"/>
      <c r="D507" s="3"/>
      <c r="E507" s="3"/>
      <c r="F507" s="3"/>
      <c r="G507" s="3"/>
      <c r="H507" s="3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3"/>
      <c r="D508" s="3"/>
      <c r="E508" s="3"/>
      <c r="F508" s="3"/>
      <c r="G508" s="3"/>
      <c r="H508" s="3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3"/>
      <c r="D509" s="3"/>
      <c r="E509" s="3"/>
      <c r="F509" s="3"/>
      <c r="G509" s="3"/>
      <c r="H509" s="3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3"/>
      <c r="D510" s="3"/>
      <c r="E510" s="3"/>
      <c r="F510" s="3"/>
      <c r="G510" s="3"/>
      <c r="H510" s="3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3"/>
      <c r="D511" s="3"/>
      <c r="E511" s="3"/>
      <c r="F511" s="3"/>
      <c r="G511" s="3"/>
      <c r="H511" s="3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3"/>
      <c r="D512" s="3"/>
      <c r="E512" s="3"/>
      <c r="F512" s="3"/>
      <c r="G512" s="3"/>
      <c r="H512" s="3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3"/>
      <c r="D513" s="3"/>
      <c r="E513" s="3"/>
      <c r="F513" s="3"/>
      <c r="G513" s="3"/>
      <c r="H513" s="3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3"/>
      <c r="D514" s="3"/>
      <c r="E514" s="3"/>
      <c r="F514" s="3"/>
      <c r="G514" s="3"/>
      <c r="H514" s="3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3"/>
      <c r="D515" s="3"/>
      <c r="E515" s="3"/>
      <c r="F515" s="3"/>
      <c r="G515" s="3"/>
      <c r="H515" s="3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3"/>
      <c r="D516" s="3"/>
      <c r="E516" s="3"/>
      <c r="F516" s="3"/>
      <c r="G516" s="3"/>
      <c r="H516" s="3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3"/>
      <c r="D517" s="3"/>
      <c r="E517" s="3"/>
      <c r="F517" s="3"/>
      <c r="G517" s="3"/>
      <c r="H517" s="3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3"/>
      <c r="D518" s="3"/>
      <c r="E518" s="3"/>
      <c r="F518" s="3"/>
      <c r="G518" s="3"/>
      <c r="H518" s="3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3"/>
      <c r="D519" s="3"/>
      <c r="E519" s="3"/>
      <c r="F519" s="3"/>
      <c r="G519" s="3"/>
      <c r="H519" s="3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3"/>
      <c r="D520" s="3"/>
      <c r="E520" s="3"/>
      <c r="F520" s="3"/>
      <c r="G520" s="3"/>
      <c r="H520" s="3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3"/>
      <c r="D521" s="3"/>
      <c r="E521" s="3"/>
      <c r="F521" s="3"/>
      <c r="G521" s="3"/>
      <c r="H521" s="3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3"/>
      <c r="D522" s="3"/>
      <c r="E522" s="3"/>
      <c r="F522" s="3"/>
      <c r="G522" s="3"/>
      <c r="H522" s="3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3"/>
      <c r="D523" s="3"/>
      <c r="E523" s="3"/>
      <c r="F523" s="3"/>
      <c r="G523" s="3"/>
      <c r="H523" s="3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3"/>
      <c r="D524" s="3"/>
      <c r="E524" s="3"/>
      <c r="F524" s="3"/>
      <c r="G524" s="3"/>
      <c r="H524" s="3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3"/>
      <c r="D525" s="3"/>
      <c r="E525" s="3"/>
      <c r="F525" s="3"/>
      <c r="G525" s="3"/>
      <c r="H525" s="3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3"/>
      <c r="D526" s="3"/>
      <c r="E526" s="3"/>
      <c r="F526" s="3"/>
      <c r="G526" s="3"/>
      <c r="H526" s="3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3"/>
      <c r="D527" s="3"/>
      <c r="E527" s="3"/>
      <c r="F527" s="3"/>
      <c r="G527" s="3"/>
      <c r="H527" s="3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3"/>
      <c r="D528" s="3"/>
      <c r="E528" s="3"/>
      <c r="F528" s="3"/>
      <c r="G528" s="3"/>
      <c r="H528" s="3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3"/>
      <c r="D529" s="3"/>
      <c r="E529" s="3"/>
      <c r="F529" s="3"/>
      <c r="G529" s="3"/>
      <c r="H529" s="3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3"/>
      <c r="D530" s="3"/>
      <c r="E530" s="3"/>
      <c r="F530" s="3"/>
      <c r="G530" s="3"/>
      <c r="H530" s="3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3"/>
      <c r="D531" s="3"/>
      <c r="E531" s="3"/>
      <c r="F531" s="3"/>
      <c r="G531" s="3"/>
      <c r="H531" s="3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3"/>
      <c r="D532" s="3"/>
      <c r="E532" s="3"/>
      <c r="F532" s="3"/>
      <c r="G532" s="3"/>
      <c r="H532" s="3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3"/>
      <c r="D533" s="3"/>
      <c r="E533" s="3"/>
      <c r="F533" s="3"/>
      <c r="G533" s="3"/>
      <c r="H533" s="3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3"/>
      <c r="D534" s="3"/>
      <c r="E534" s="3"/>
      <c r="F534" s="3"/>
      <c r="G534" s="3"/>
      <c r="H534" s="3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3"/>
      <c r="D535" s="3"/>
      <c r="E535" s="3"/>
      <c r="F535" s="3"/>
      <c r="G535" s="3"/>
      <c r="H535" s="3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3"/>
      <c r="D536" s="3"/>
      <c r="E536" s="3"/>
      <c r="F536" s="3"/>
      <c r="G536" s="3"/>
      <c r="H536" s="3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3"/>
      <c r="D537" s="3"/>
      <c r="E537" s="3"/>
      <c r="F537" s="3"/>
      <c r="G537" s="3"/>
      <c r="H537" s="3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3"/>
      <c r="D538" s="3"/>
      <c r="E538" s="3"/>
      <c r="F538" s="3"/>
      <c r="G538" s="3"/>
      <c r="H538" s="3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3"/>
      <c r="D539" s="3"/>
      <c r="E539" s="3"/>
      <c r="F539" s="3"/>
      <c r="G539" s="3"/>
      <c r="H539" s="3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3"/>
      <c r="D540" s="3"/>
      <c r="E540" s="3"/>
      <c r="F540" s="3"/>
      <c r="G540" s="3"/>
      <c r="H540" s="3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3"/>
      <c r="D541" s="3"/>
      <c r="E541" s="3"/>
      <c r="F541" s="3"/>
      <c r="G541" s="3"/>
      <c r="H541" s="3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3"/>
      <c r="D542" s="3"/>
      <c r="E542" s="3"/>
      <c r="F542" s="3"/>
      <c r="G542" s="3"/>
      <c r="H542" s="3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3"/>
      <c r="D543" s="3"/>
      <c r="E543" s="3"/>
      <c r="F543" s="3"/>
      <c r="G543" s="3"/>
      <c r="H543" s="3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3"/>
      <c r="D544" s="3"/>
      <c r="E544" s="3"/>
      <c r="F544" s="3"/>
      <c r="G544" s="3"/>
      <c r="H544" s="3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3"/>
      <c r="D545" s="3"/>
      <c r="E545" s="3"/>
      <c r="F545" s="3"/>
      <c r="G545" s="3"/>
      <c r="H545" s="3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3"/>
      <c r="D546" s="3"/>
      <c r="E546" s="3"/>
      <c r="F546" s="3"/>
      <c r="G546" s="3"/>
      <c r="H546" s="3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3"/>
      <c r="D547" s="3"/>
      <c r="E547" s="3"/>
      <c r="F547" s="3"/>
      <c r="G547" s="3"/>
      <c r="H547" s="3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3"/>
      <c r="D548" s="3"/>
      <c r="E548" s="3"/>
      <c r="F548" s="3"/>
      <c r="G548" s="3"/>
      <c r="H548" s="3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3"/>
      <c r="D549" s="3"/>
      <c r="E549" s="3"/>
      <c r="F549" s="3"/>
      <c r="G549" s="3"/>
      <c r="H549" s="3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3"/>
      <c r="D550" s="3"/>
      <c r="E550" s="3"/>
      <c r="F550" s="3"/>
      <c r="G550" s="3"/>
      <c r="H550" s="3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3"/>
      <c r="D551" s="3"/>
      <c r="E551" s="3"/>
      <c r="F551" s="3"/>
      <c r="G551" s="3"/>
      <c r="H551" s="3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3"/>
      <c r="D552" s="3"/>
      <c r="E552" s="3"/>
      <c r="F552" s="3"/>
      <c r="G552" s="3"/>
      <c r="H552" s="3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3"/>
      <c r="D553" s="3"/>
      <c r="E553" s="3"/>
      <c r="F553" s="3"/>
      <c r="G553" s="3"/>
      <c r="H553" s="3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3"/>
      <c r="D554" s="3"/>
      <c r="E554" s="3"/>
      <c r="F554" s="3"/>
      <c r="G554" s="3"/>
      <c r="H554" s="3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3"/>
      <c r="D555" s="3"/>
      <c r="E555" s="3"/>
      <c r="F555" s="3"/>
      <c r="G555" s="3"/>
      <c r="H555" s="3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3"/>
      <c r="D556" s="3"/>
      <c r="E556" s="3"/>
      <c r="F556" s="3"/>
      <c r="G556" s="3"/>
      <c r="H556" s="3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3"/>
      <c r="D557" s="3"/>
      <c r="E557" s="3"/>
      <c r="F557" s="3"/>
      <c r="G557" s="3"/>
      <c r="H557" s="3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3"/>
      <c r="D558" s="3"/>
      <c r="E558" s="3"/>
      <c r="F558" s="3"/>
      <c r="G558" s="3"/>
      <c r="H558" s="3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3"/>
      <c r="D559" s="3"/>
      <c r="E559" s="3"/>
      <c r="F559" s="3"/>
      <c r="G559" s="3"/>
      <c r="H559" s="3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3"/>
      <c r="D560" s="3"/>
      <c r="E560" s="3"/>
      <c r="F560" s="3"/>
      <c r="G560" s="3"/>
      <c r="H560" s="3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3"/>
      <c r="D561" s="3"/>
      <c r="E561" s="3"/>
      <c r="F561" s="3"/>
      <c r="G561" s="3"/>
      <c r="H561" s="3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3"/>
      <c r="D562" s="3"/>
      <c r="E562" s="3"/>
      <c r="F562" s="3"/>
      <c r="G562" s="3"/>
      <c r="H562" s="3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3"/>
      <c r="D563" s="3"/>
      <c r="E563" s="3"/>
      <c r="F563" s="3"/>
      <c r="G563" s="3"/>
      <c r="H563" s="3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3"/>
      <c r="D564" s="3"/>
      <c r="E564" s="3"/>
      <c r="F564" s="3"/>
      <c r="G564" s="3"/>
      <c r="H564" s="3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3"/>
      <c r="D565" s="3"/>
      <c r="E565" s="3"/>
      <c r="F565" s="3"/>
      <c r="G565" s="3"/>
      <c r="H565" s="3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3"/>
      <c r="D566" s="3"/>
      <c r="E566" s="3"/>
      <c r="F566" s="3"/>
      <c r="G566" s="3"/>
      <c r="H566" s="3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3"/>
      <c r="D567" s="3"/>
      <c r="E567" s="3"/>
      <c r="F567" s="3"/>
      <c r="G567" s="3"/>
      <c r="H567" s="3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3"/>
      <c r="D568" s="3"/>
      <c r="E568" s="3"/>
      <c r="F568" s="3"/>
      <c r="G568" s="3"/>
      <c r="H568" s="3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3"/>
      <c r="D569" s="3"/>
      <c r="E569" s="3"/>
      <c r="F569" s="3"/>
      <c r="G569" s="3"/>
      <c r="H569" s="3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3"/>
      <c r="D570" s="3"/>
      <c r="E570" s="3"/>
      <c r="F570" s="3"/>
      <c r="G570" s="3"/>
      <c r="H570" s="3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3"/>
      <c r="D571" s="3"/>
      <c r="E571" s="3"/>
      <c r="F571" s="3"/>
      <c r="G571" s="3"/>
      <c r="H571" s="3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3"/>
      <c r="D572" s="3"/>
      <c r="E572" s="3"/>
      <c r="F572" s="3"/>
      <c r="G572" s="3"/>
      <c r="H572" s="3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3"/>
      <c r="D573" s="3"/>
      <c r="E573" s="3"/>
      <c r="F573" s="3"/>
      <c r="G573" s="3"/>
      <c r="H573" s="3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3"/>
      <c r="D574" s="3"/>
      <c r="E574" s="3"/>
      <c r="F574" s="3"/>
      <c r="G574" s="3"/>
      <c r="H574" s="3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3"/>
      <c r="D575" s="3"/>
      <c r="E575" s="3"/>
      <c r="F575" s="3"/>
      <c r="G575" s="3"/>
      <c r="H575" s="3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3"/>
      <c r="D576" s="3"/>
      <c r="E576" s="3"/>
      <c r="F576" s="3"/>
      <c r="G576" s="3"/>
      <c r="H576" s="3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3"/>
      <c r="D577" s="3"/>
      <c r="E577" s="3"/>
      <c r="F577" s="3"/>
      <c r="G577" s="3"/>
      <c r="H577" s="3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3"/>
      <c r="D578" s="3"/>
      <c r="E578" s="3"/>
      <c r="F578" s="3"/>
      <c r="G578" s="3"/>
      <c r="H578" s="3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3"/>
      <c r="D579" s="3"/>
      <c r="E579" s="3"/>
      <c r="F579" s="3"/>
      <c r="G579" s="3"/>
      <c r="H579" s="3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3"/>
      <c r="D580" s="3"/>
      <c r="E580" s="3"/>
      <c r="F580" s="3"/>
      <c r="G580" s="3"/>
      <c r="H580" s="3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3"/>
      <c r="D581" s="3"/>
      <c r="E581" s="3"/>
      <c r="F581" s="3"/>
      <c r="G581" s="3"/>
      <c r="H581" s="3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3"/>
      <c r="D582" s="3"/>
      <c r="E582" s="3"/>
      <c r="F582" s="3"/>
      <c r="G582" s="3"/>
      <c r="H582" s="3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3"/>
      <c r="D583" s="3"/>
      <c r="E583" s="3"/>
      <c r="F583" s="3"/>
      <c r="G583" s="3"/>
      <c r="H583" s="3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3"/>
      <c r="D584" s="3"/>
      <c r="E584" s="3"/>
      <c r="F584" s="3"/>
      <c r="G584" s="3"/>
      <c r="H584" s="3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3"/>
      <c r="D585" s="3"/>
      <c r="E585" s="3"/>
      <c r="F585" s="3"/>
      <c r="G585" s="3"/>
      <c r="H585" s="3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3"/>
      <c r="D586" s="3"/>
      <c r="E586" s="3"/>
      <c r="F586" s="3"/>
      <c r="G586" s="3"/>
      <c r="H586" s="3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3"/>
      <c r="D587" s="3"/>
      <c r="E587" s="3"/>
      <c r="F587" s="3"/>
      <c r="G587" s="3"/>
      <c r="H587" s="3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3"/>
      <c r="D588" s="3"/>
      <c r="E588" s="3"/>
      <c r="F588" s="3"/>
      <c r="G588" s="3"/>
      <c r="H588" s="3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3"/>
      <c r="D589" s="3"/>
      <c r="E589" s="3"/>
      <c r="F589" s="3"/>
      <c r="G589" s="3"/>
      <c r="H589" s="3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3"/>
      <c r="D590" s="3"/>
      <c r="E590" s="3"/>
      <c r="F590" s="3"/>
      <c r="G590" s="3"/>
      <c r="H590" s="3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3"/>
      <c r="D591" s="3"/>
      <c r="E591" s="3"/>
      <c r="F591" s="3"/>
      <c r="G591" s="3"/>
      <c r="H591" s="3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3"/>
      <c r="D592" s="3"/>
      <c r="E592" s="3"/>
      <c r="F592" s="3"/>
      <c r="G592" s="3"/>
      <c r="H592" s="3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3"/>
      <c r="D593" s="3"/>
      <c r="E593" s="3"/>
      <c r="F593" s="3"/>
      <c r="G593" s="3"/>
      <c r="H593" s="3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3"/>
      <c r="D594" s="3"/>
      <c r="E594" s="3"/>
      <c r="F594" s="3"/>
      <c r="G594" s="3"/>
      <c r="H594" s="3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3"/>
      <c r="D595" s="3"/>
      <c r="E595" s="3"/>
      <c r="F595" s="3"/>
      <c r="G595" s="3"/>
      <c r="H595" s="3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3"/>
      <c r="D596" s="3"/>
      <c r="E596" s="3"/>
      <c r="F596" s="3"/>
      <c r="G596" s="3"/>
      <c r="H596" s="3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3"/>
      <c r="D597" s="3"/>
      <c r="E597" s="3"/>
      <c r="F597" s="3"/>
      <c r="G597" s="3"/>
      <c r="H597" s="3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3"/>
      <c r="D598" s="3"/>
      <c r="E598" s="3"/>
      <c r="F598" s="3"/>
      <c r="G598" s="3"/>
      <c r="H598" s="3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3"/>
      <c r="D599" s="3"/>
      <c r="E599" s="3"/>
      <c r="F599" s="3"/>
      <c r="G599" s="3"/>
      <c r="H599" s="3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3"/>
      <c r="D600" s="3"/>
      <c r="E600" s="3"/>
      <c r="F600" s="3"/>
      <c r="G600" s="3"/>
      <c r="H600" s="3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3"/>
      <c r="D601" s="3"/>
      <c r="E601" s="3"/>
      <c r="F601" s="3"/>
      <c r="G601" s="3"/>
      <c r="H601" s="3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3"/>
      <c r="D602" s="3"/>
      <c r="E602" s="3"/>
      <c r="F602" s="3"/>
      <c r="G602" s="3"/>
      <c r="H602" s="3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3"/>
      <c r="D603" s="3"/>
      <c r="E603" s="3"/>
      <c r="F603" s="3"/>
      <c r="G603" s="3"/>
      <c r="H603" s="3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3"/>
      <c r="D604" s="3"/>
      <c r="E604" s="3"/>
      <c r="F604" s="3"/>
      <c r="G604" s="3"/>
      <c r="H604" s="3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3"/>
      <c r="D605" s="3"/>
      <c r="E605" s="3"/>
      <c r="F605" s="3"/>
      <c r="G605" s="3"/>
      <c r="H605" s="3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3"/>
      <c r="D606" s="3"/>
      <c r="E606" s="3"/>
      <c r="F606" s="3"/>
      <c r="G606" s="3"/>
      <c r="H606" s="3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3"/>
      <c r="D607" s="3"/>
      <c r="E607" s="3"/>
      <c r="F607" s="3"/>
      <c r="G607" s="3"/>
      <c r="H607" s="3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3"/>
      <c r="D608" s="3"/>
      <c r="E608" s="3"/>
      <c r="F608" s="3"/>
      <c r="G608" s="3"/>
      <c r="H608" s="3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3"/>
      <c r="D609" s="3"/>
      <c r="E609" s="3"/>
      <c r="F609" s="3"/>
      <c r="G609" s="3"/>
      <c r="H609" s="3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3"/>
      <c r="D610" s="3"/>
      <c r="E610" s="3"/>
      <c r="F610" s="3"/>
      <c r="G610" s="3"/>
      <c r="H610" s="3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3"/>
      <c r="D611" s="3"/>
      <c r="E611" s="3"/>
      <c r="F611" s="3"/>
      <c r="G611" s="3"/>
      <c r="H611" s="3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3"/>
      <c r="D612" s="3"/>
      <c r="E612" s="3"/>
      <c r="F612" s="3"/>
      <c r="G612" s="3"/>
      <c r="H612" s="3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3"/>
      <c r="D613" s="3"/>
      <c r="E613" s="3"/>
      <c r="F613" s="3"/>
      <c r="G613" s="3"/>
      <c r="H613" s="3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3"/>
      <c r="D614" s="3"/>
      <c r="E614" s="3"/>
      <c r="F614" s="3"/>
      <c r="G614" s="3"/>
      <c r="H614" s="3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3"/>
      <c r="D615" s="3"/>
      <c r="E615" s="3"/>
      <c r="F615" s="3"/>
      <c r="G615" s="3"/>
      <c r="H615" s="3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3"/>
      <c r="D616" s="3"/>
      <c r="E616" s="3"/>
      <c r="F616" s="3"/>
      <c r="G616" s="3"/>
      <c r="H616" s="3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3"/>
      <c r="D617" s="3"/>
      <c r="E617" s="3"/>
      <c r="F617" s="3"/>
      <c r="G617" s="3"/>
      <c r="H617" s="3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3"/>
      <c r="D618" s="3"/>
      <c r="E618" s="3"/>
      <c r="F618" s="3"/>
      <c r="G618" s="3"/>
      <c r="H618" s="3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3"/>
      <c r="D619" s="3"/>
      <c r="E619" s="3"/>
      <c r="F619" s="3"/>
      <c r="G619" s="3"/>
      <c r="H619" s="3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3"/>
      <c r="D620" s="3"/>
      <c r="E620" s="3"/>
      <c r="F620" s="3"/>
      <c r="G620" s="3"/>
      <c r="H620" s="3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3"/>
      <c r="D621" s="3"/>
      <c r="E621" s="3"/>
      <c r="F621" s="3"/>
      <c r="G621" s="3"/>
      <c r="H621" s="3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3"/>
      <c r="D622" s="3"/>
      <c r="E622" s="3"/>
      <c r="F622" s="3"/>
      <c r="G622" s="3"/>
      <c r="H622" s="3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3"/>
      <c r="D623" s="3"/>
      <c r="E623" s="3"/>
      <c r="F623" s="3"/>
      <c r="G623" s="3"/>
      <c r="H623" s="3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3"/>
      <c r="D624" s="3"/>
      <c r="E624" s="3"/>
      <c r="F624" s="3"/>
      <c r="G624" s="3"/>
      <c r="H624" s="3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3"/>
      <c r="D625" s="3"/>
      <c r="E625" s="3"/>
      <c r="F625" s="3"/>
      <c r="G625" s="3"/>
      <c r="H625" s="3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3"/>
      <c r="D626" s="3"/>
      <c r="E626" s="3"/>
      <c r="F626" s="3"/>
      <c r="G626" s="3"/>
      <c r="H626" s="3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3"/>
      <c r="D627" s="3"/>
      <c r="E627" s="3"/>
      <c r="F627" s="3"/>
      <c r="G627" s="3"/>
      <c r="H627" s="3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3"/>
      <c r="D628" s="3"/>
      <c r="E628" s="3"/>
      <c r="F628" s="3"/>
      <c r="G628" s="3"/>
      <c r="H628" s="3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3"/>
      <c r="D629" s="3"/>
      <c r="E629" s="3"/>
      <c r="F629" s="3"/>
      <c r="G629" s="3"/>
      <c r="H629" s="3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3"/>
      <c r="D630" s="3"/>
      <c r="E630" s="3"/>
      <c r="F630" s="3"/>
      <c r="G630" s="3"/>
      <c r="H630" s="3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3"/>
      <c r="D631" s="3"/>
      <c r="E631" s="3"/>
      <c r="F631" s="3"/>
      <c r="G631" s="3"/>
      <c r="H631" s="3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3"/>
      <c r="D632" s="3"/>
      <c r="E632" s="3"/>
      <c r="F632" s="3"/>
      <c r="G632" s="3"/>
      <c r="H632" s="3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3"/>
      <c r="D633" s="3"/>
      <c r="E633" s="3"/>
      <c r="F633" s="3"/>
      <c r="G633" s="3"/>
      <c r="H633" s="3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3"/>
      <c r="D634" s="3"/>
      <c r="E634" s="3"/>
      <c r="F634" s="3"/>
      <c r="G634" s="3"/>
      <c r="H634" s="3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3"/>
      <c r="D635" s="3"/>
      <c r="E635" s="3"/>
      <c r="F635" s="3"/>
      <c r="G635" s="3"/>
      <c r="H635" s="3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3"/>
      <c r="D636" s="3"/>
      <c r="E636" s="3"/>
      <c r="F636" s="3"/>
      <c r="G636" s="3"/>
      <c r="H636" s="3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3"/>
      <c r="D637" s="3"/>
      <c r="E637" s="3"/>
      <c r="F637" s="3"/>
      <c r="G637" s="3"/>
      <c r="H637" s="3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3"/>
      <c r="D638" s="3"/>
      <c r="E638" s="3"/>
      <c r="F638" s="3"/>
      <c r="G638" s="3"/>
      <c r="H638" s="3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3"/>
      <c r="D639" s="3"/>
      <c r="E639" s="3"/>
      <c r="F639" s="3"/>
      <c r="G639" s="3"/>
      <c r="H639" s="3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3"/>
      <c r="D640" s="3"/>
      <c r="E640" s="3"/>
      <c r="F640" s="3"/>
      <c r="G640" s="3"/>
      <c r="H640" s="3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3"/>
      <c r="D641" s="3"/>
      <c r="E641" s="3"/>
      <c r="F641" s="3"/>
      <c r="G641" s="3"/>
      <c r="H641" s="3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3"/>
      <c r="D642" s="3"/>
      <c r="E642" s="3"/>
      <c r="F642" s="3"/>
      <c r="G642" s="3"/>
      <c r="H642" s="3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3"/>
      <c r="D643" s="3"/>
      <c r="E643" s="3"/>
      <c r="F643" s="3"/>
      <c r="G643" s="3"/>
      <c r="H643" s="3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3"/>
      <c r="D644" s="3"/>
      <c r="E644" s="3"/>
      <c r="F644" s="3"/>
      <c r="G644" s="3"/>
      <c r="H644" s="3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3"/>
      <c r="D645" s="3"/>
      <c r="E645" s="3"/>
      <c r="F645" s="3"/>
      <c r="G645" s="3"/>
      <c r="H645" s="3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3"/>
      <c r="D646" s="3"/>
      <c r="E646" s="3"/>
      <c r="F646" s="3"/>
      <c r="G646" s="3"/>
      <c r="H646" s="3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3"/>
      <c r="D647" s="3"/>
      <c r="E647" s="3"/>
      <c r="F647" s="3"/>
      <c r="G647" s="3"/>
      <c r="H647" s="3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3"/>
      <c r="D648" s="3"/>
      <c r="E648" s="3"/>
      <c r="F648" s="3"/>
      <c r="G648" s="3"/>
      <c r="H648" s="3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3"/>
      <c r="D649" s="3"/>
      <c r="E649" s="3"/>
      <c r="F649" s="3"/>
      <c r="G649" s="3"/>
      <c r="H649" s="3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3"/>
      <c r="D650" s="3"/>
      <c r="E650" s="3"/>
      <c r="F650" s="3"/>
      <c r="G650" s="3"/>
      <c r="H650" s="3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3"/>
      <c r="D651" s="3"/>
      <c r="E651" s="3"/>
      <c r="F651" s="3"/>
      <c r="G651" s="3"/>
      <c r="H651" s="3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3"/>
      <c r="D652" s="3"/>
      <c r="E652" s="3"/>
      <c r="F652" s="3"/>
      <c r="G652" s="3"/>
      <c r="H652" s="3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3"/>
      <c r="D653" s="3"/>
      <c r="E653" s="3"/>
      <c r="F653" s="3"/>
      <c r="G653" s="3"/>
      <c r="H653" s="3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3"/>
      <c r="D654" s="3"/>
      <c r="E654" s="3"/>
      <c r="F654" s="3"/>
      <c r="G654" s="3"/>
      <c r="H654" s="3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3"/>
      <c r="D655" s="3"/>
      <c r="E655" s="3"/>
      <c r="F655" s="3"/>
      <c r="G655" s="3"/>
      <c r="H655" s="3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3"/>
      <c r="D656" s="3"/>
      <c r="E656" s="3"/>
      <c r="F656" s="3"/>
      <c r="G656" s="3"/>
      <c r="H656" s="3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3"/>
      <c r="D657" s="3"/>
      <c r="E657" s="3"/>
      <c r="F657" s="3"/>
      <c r="G657" s="3"/>
      <c r="H657" s="3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3"/>
      <c r="D658" s="3"/>
      <c r="E658" s="3"/>
      <c r="F658" s="3"/>
      <c r="G658" s="3"/>
      <c r="H658" s="3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3"/>
      <c r="D659" s="3"/>
      <c r="E659" s="3"/>
      <c r="F659" s="3"/>
      <c r="G659" s="3"/>
      <c r="H659" s="3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3"/>
      <c r="D660" s="3"/>
      <c r="E660" s="3"/>
      <c r="F660" s="3"/>
      <c r="G660" s="3"/>
      <c r="H660" s="3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3"/>
      <c r="D661" s="3"/>
      <c r="E661" s="3"/>
      <c r="F661" s="3"/>
      <c r="G661" s="3"/>
      <c r="H661" s="3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3"/>
      <c r="D662" s="3"/>
      <c r="E662" s="3"/>
      <c r="F662" s="3"/>
      <c r="G662" s="3"/>
      <c r="H662" s="3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3"/>
      <c r="D663" s="3"/>
      <c r="E663" s="3"/>
      <c r="F663" s="3"/>
      <c r="G663" s="3"/>
      <c r="H663" s="3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3"/>
      <c r="D664" s="3"/>
      <c r="E664" s="3"/>
      <c r="F664" s="3"/>
      <c r="G664" s="3"/>
      <c r="H664" s="3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3"/>
      <c r="D665" s="3"/>
      <c r="E665" s="3"/>
      <c r="F665" s="3"/>
      <c r="G665" s="3"/>
      <c r="H665" s="3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3"/>
      <c r="D666" s="3"/>
      <c r="E666" s="3"/>
      <c r="F666" s="3"/>
      <c r="G666" s="3"/>
      <c r="H666" s="3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3"/>
      <c r="D667" s="3"/>
      <c r="E667" s="3"/>
      <c r="F667" s="3"/>
      <c r="G667" s="3"/>
      <c r="H667" s="3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3"/>
      <c r="D668" s="3"/>
      <c r="E668" s="3"/>
      <c r="F668" s="3"/>
      <c r="G668" s="3"/>
      <c r="H668" s="3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3"/>
      <c r="D669" s="3"/>
      <c r="E669" s="3"/>
      <c r="F669" s="3"/>
      <c r="G669" s="3"/>
      <c r="H669" s="3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3"/>
      <c r="D670" s="3"/>
      <c r="E670" s="3"/>
      <c r="F670" s="3"/>
      <c r="G670" s="3"/>
      <c r="H670" s="3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3"/>
      <c r="D671" s="3"/>
      <c r="E671" s="3"/>
      <c r="F671" s="3"/>
      <c r="G671" s="3"/>
      <c r="H671" s="3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3"/>
      <c r="D672" s="3"/>
      <c r="E672" s="3"/>
      <c r="F672" s="3"/>
      <c r="G672" s="3"/>
      <c r="H672" s="3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3"/>
      <c r="D673" s="3"/>
      <c r="E673" s="3"/>
      <c r="F673" s="3"/>
      <c r="G673" s="3"/>
      <c r="H673" s="3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3"/>
      <c r="D674" s="3"/>
      <c r="E674" s="3"/>
      <c r="F674" s="3"/>
      <c r="G674" s="3"/>
      <c r="H674" s="3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3"/>
      <c r="D675" s="3"/>
      <c r="E675" s="3"/>
      <c r="F675" s="3"/>
      <c r="G675" s="3"/>
      <c r="H675" s="3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3"/>
      <c r="D676" s="3"/>
      <c r="E676" s="3"/>
      <c r="F676" s="3"/>
      <c r="G676" s="3"/>
      <c r="H676" s="3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3"/>
      <c r="D677" s="3"/>
      <c r="E677" s="3"/>
      <c r="F677" s="3"/>
      <c r="G677" s="3"/>
      <c r="H677" s="3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3"/>
      <c r="D678" s="3"/>
      <c r="E678" s="3"/>
      <c r="F678" s="3"/>
      <c r="G678" s="3"/>
      <c r="H678" s="3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3"/>
      <c r="D679" s="3"/>
      <c r="E679" s="3"/>
      <c r="F679" s="3"/>
      <c r="G679" s="3"/>
      <c r="H679" s="3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3"/>
      <c r="D680" s="3"/>
      <c r="E680" s="3"/>
      <c r="F680" s="3"/>
      <c r="G680" s="3"/>
      <c r="H680" s="3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3"/>
      <c r="D681" s="3"/>
      <c r="E681" s="3"/>
      <c r="F681" s="3"/>
      <c r="G681" s="3"/>
      <c r="H681" s="3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3"/>
      <c r="D682" s="3"/>
      <c r="E682" s="3"/>
      <c r="F682" s="3"/>
      <c r="G682" s="3"/>
      <c r="H682" s="3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3"/>
      <c r="D683" s="3"/>
      <c r="E683" s="3"/>
      <c r="F683" s="3"/>
      <c r="G683" s="3"/>
      <c r="H683" s="3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3"/>
      <c r="D684" s="3"/>
      <c r="E684" s="3"/>
      <c r="F684" s="3"/>
      <c r="G684" s="3"/>
      <c r="H684" s="3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3"/>
      <c r="D685" s="3"/>
      <c r="E685" s="3"/>
      <c r="F685" s="3"/>
      <c r="G685" s="3"/>
      <c r="H685" s="3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3"/>
      <c r="D686" s="3"/>
      <c r="E686" s="3"/>
      <c r="F686" s="3"/>
      <c r="G686" s="3"/>
      <c r="H686" s="3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3"/>
      <c r="D687" s="3"/>
      <c r="E687" s="3"/>
      <c r="F687" s="3"/>
      <c r="G687" s="3"/>
      <c r="H687" s="3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3"/>
      <c r="D688" s="3"/>
      <c r="E688" s="3"/>
      <c r="F688" s="3"/>
      <c r="G688" s="3"/>
      <c r="H688" s="3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3"/>
      <c r="D689" s="3"/>
      <c r="E689" s="3"/>
      <c r="F689" s="3"/>
      <c r="G689" s="3"/>
      <c r="H689" s="3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3"/>
      <c r="D690" s="3"/>
      <c r="E690" s="3"/>
      <c r="F690" s="3"/>
      <c r="G690" s="3"/>
      <c r="H690" s="3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3"/>
      <c r="D691" s="3"/>
      <c r="E691" s="3"/>
      <c r="F691" s="3"/>
      <c r="G691" s="3"/>
      <c r="H691" s="3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3"/>
      <c r="D692" s="3"/>
      <c r="E692" s="3"/>
      <c r="F692" s="3"/>
      <c r="G692" s="3"/>
      <c r="H692" s="3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3"/>
      <c r="D693" s="3"/>
      <c r="E693" s="3"/>
      <c r="F693" s="3"/>
      <c r="G693" s="3"/>
      <c r="H693" s="3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3"/>
      <c r="D694" s="3"/>
      <c r="E694" s="3"/>
      <c r="F694" s="3"/>
      <c r="G694" s="3"/>
      <c r="H694" s="3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3"/>
      <c r="D695" s="3"/>
      <c r="E695" s="3"/>
      <c r="F695" s="3"/>
      <c r="G695" s="3"/>
      <c r="H695" s="3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3"/>
      <c r="D696" s="3"/>
      <c r="E696" s="3"/>
      <c r="F696" s="3"/>
      <c r="G696" s="3"/>
      <c r="H696" s="3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3"/>
      <c r="D697" s="3"/>
      <c r="E697" s="3"/>
      <c r="F697" s="3"/>
      <c r="G697" s="3"/>
      <c r="H697" s="3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3"/>
      <c r="D698" s="3"/>
      <c r="E698" s="3"/>
      <c r="F698" s="3"/>
      <c r="G698" s="3"/>
      <c r="H698" s="3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3"/>
      <c r="D699" s="3"/>
      <c r="E699" s="3"/>
      <c r="F699" s="3"/>
      <c r="G699" s="3"/>
      <c r="H699" s="3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3"/>
      <c r="D700" s="3"/>
      <c r="E700" s="3"/>
      <c r="F700" s="3"/>
      <c r="G700" s="3"/>
      <c r="H700" s="3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3"/>
      <c r="D701" s="3"/>
      <c r="E701" s="3"/>
      <c r="F701" s="3"/>
      <c r="G701" s="3"/>
      <c r="H701" s="3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3"/>
      <c r="D702" s="3"/>
      <c r="E702" s="3"/>
      <c r="F702" s="3"/>
      <c r="G702" s="3"/>
      <c r="H702" s="3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3"/>
      <c r="D703" s="3"/>
      <c r="E703" s="3"/>
      <c r="F703" s="3"/>
      <c r="G703" s="3"/>
      <c r="H703" s="3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3"/>
      <c r="D704" s="3"/>
      <c r="E704" s="3"/>
      <c r="F704" s="3"/>
      <c r="G704" s="3"/>
      <c r="H704" s="3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3"/>
      <c r="D705" s="3"/>
      <c r="E705" s="3"/>
      <c r="F705" s="3"/>
      <c r="G705" s="3"/>
      <c r="H705" s="3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3"/>
      <c r="D706" s="3"/>
      <c r="E706" s="3"/>
      <c r="F706" s="3"/>
      <c r="G706" s="3"/>
      <c r="H706" s="3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3"/>
      <c r="D707" s="3"/>
      <c r="E707" s="3"/>
      <c r="F707" s="3"/>
      <c r="G707" s="3"/>
      <c r="H707" s="3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3"/>
      <c r="D708" s="3"/>
      <c r="E708" s="3"/>
      <c r="F708" s="3"/>
      <c r="G708" s="3"/>
      <c r="H708" s="3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3"/>
      <c r="D709" s="3"/>
      <c r="E709" s="3"/>
      <c r="F709" s="3"/>
      <c r="G709" s="3"/>
      <c r="H709" s="3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3"/>
      <c r="D710" s="3"/>
      <c r="E710" s="3"/>
      <c r="F710" s="3"/>
      <c r="G710" s="3"/>
      <c r="H710" s="3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3"/>
      <c r="D711" s="3"/>
      <c r="E711" s="3"/>
      <c r="F711" s="3"/>
      <c r="G711" s="3"/>
      <c r="H711" s="3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3"/>
      <c r="D712" s="3"/>
      <c r="E712" s="3"/>
      <c r="F712" s="3"/>
      <c r="G712" s="3"/>
      <c r="H712" s="3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3"/>
      <c r="D713" s="3"/>
      <c r="E713" s="3"/>
      <c r="F713" s="3"/>
      <c r="G713" s="3"/>
      <c r="H713" s="3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3"/>
      <c r="D714" s="3"/>
      <c r="E714" s="3"/>
      <c r="F714" s="3"/>
      <c r="G714" s="3"/>
      <c r="H714" s="3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3"/>
      <c r="D715" s="3"/>
      <c r="E715" s="3"/>
      <c r="F715" s="3"/>
      <c r="G715" s="3"/>
      <c r="H715" s="3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3"/>
      <c r="D716" s="3"/>
      <c r="E716" s="3"/>
      <c r="F716" s="3"/>
      <c r="G716" s="3"/>
      <c r="H716" s="3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3"/>
      <c r="D717" s="3"/>
      <c r="E717" s="3"/>
      <c r="F717" s="3"/>
      <c r="G717" s="3"/>
      <c r="H717" s="3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3"/>
      <c r="D718" s="3"/>
      <c r="E718" s="3"/>
      <c r="F718" s="3"/>
      <c r="G718" s="3"/>
      <c r="H718" s="3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3"/>
      <c r="D719" s="3"/>
      <c r="E719" s="3"/>
      <c r="F719" s="3"/>
      <c r="G719" s="3"/>
      <c r="H719" s="3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3"/>
      <c r="D720" s="3"/>
      <c r="E720" s="3"/>
      <c r="F720" s="3"/>
      <c r="G720" s="3"/>
      <c r="H720" s="3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3"/>
      <c r="D721" s="3"/>
      <c r="E721" s="3"/>
      <c r="F721" s="3"/>
      <c r="G721" s="3"/>
      <c r="H721" s="3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3"/>
      <c r="D722" s="3"/>
      <c r="E722" s="3"/>
      <c r="F722" s="3"/>
      <c r="G722" s="3"/>
      <c r="H722" s="3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3"/>
      <c r="D723" s="3"/>
      <c r="E723" s="3"/>
      <c r="F723" s="3"/>
      <c r="G723" s="3"/>
      <c r="H723" s="3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3"/>
      <c r="D724" s="3"/>
      <c r="E724" s="3"/>
      <c r="F724" s="3"/>
      <c r="G724" s="3"/>
      <c r="H724" s="3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3"/>
      <c r="D725" s="3"/>
      <c r="E725" s="3"/>
      <c r="F725" s="3"/>
      <c r="G725" s="3"/>
      <c r="H725" s="3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3"/>
      <c r="D726" s="3"/>
      <c r="E726" s="3"/>
      <c r="F726" s="3"/>
      <c r="G726" s="3"/>
      <c r="H726" s="3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3"/>
      <c r="D727" s="3"/>
      <c r="E727" s="3"/>
      <c r="F727" s="3"/>
      <c r="G727" s="3"/>
      <c r="H727" s="3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3"/>
      <c r="D728" s="3"/>
      <c r="E728" s="3"/>
      <c r="F728" s="3"/>
      <c r="G728" s="3"/>
      <c r="H728" s="3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3"/>
      <c r="D729" s="3"/>
      <c r="E729" s="3"/>
      <c r="F729" s="3"/>
      <c r="G729" s="3"/>
      <c r="H729" s="3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3"/>
      <c r="D730" s="3"/>
      <c r="E730" s="3"/>
      <c r="F730" s="3"/>
      <c r="G730" s="3"/>
      <c r="H730" s="3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3"/>
      <c r="D731" s="3"/>
      <c r="E731" s="3"/>
      <c r="F731" s="3"/>
      <c r="G731" s="3"/>
      <c r="H731" s="3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3"/>
      <c r="D732" s="3"/>
      <c r="E732" s="3"/>
      <c r="F732" s="3"/>
      <c r="G732" s="3"/>
      <c r="H732" s="3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3"/>
      <c r="D733" s="3"/>
      <c r="E733" s="3"/>
      <c r="F733" s="3"/>
      <c r="G733" s="3"/>
      <c r="H733" s="3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3"/>
      <c r="D734" s="3"/>
      <c r="E734" s="3"/>
      <c r="F734" s="3"/>
      <c r="G734" s="3"/>
      <c r="H734" s="3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3"/>
      <c r="D735" s="3"/>
      <c r="E735" s="3"/>
      <c r="F735" s="3"/>
      <c r="G735" s="3"/>
      <c r="H735" s="3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3"/>
      <c r="D736" s="3"/>
      <c r="E736" s="3"/>
      <c r="F736" s="3"/>
      <c r="G736" s="3"/>
      <c r="H736" s="3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3"/>
      <c r="D737" s="3"/>
      <c r="E737" s="3"/>
      <c r="F737" s="3"/>
      <c r="G737" s="3"/>
      <c r="H737" s="3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3"/>
      <c r="D738" s="3"/>
      <c r="E738" s="3"/>
      <c r="F738" s="3"/>
      <c r="G738" s="3"/>
      <c r="H738" s="3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3"/>
      <c r="D739" s="3"/>
      <c r="E739" s="3"/>
      <c r="F739" s="3"/>
      <c r="G739" s="3"/>
      <c r="H739" s="3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3"/>
      <c r="D740" s="3"/>
      <c r="E740" s="3"/>
      <c r="F740" s="3"/>
      <c r="G740" s="3"/>
      <c r="H740" s="3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3"/>
      <c r="D741" s="3"/>
      <c r="E741" s="3"/>
      <c r="F741" s="3"/>
      <c r="G741" s="3"/>
      <c r="H741" s="3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3"/>
      <c r="D742" s="3"/>
      <c r="E742" s="3"/>
      <c r="F742" s="3"/>
      <c r="G742" s="3"/>
      <c r="H742" s="3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3"/>
      <c r="D743" s="3"/>
      <c r="E743" s="3"/>
      <c r="F743" s="3"/>
      <c r="G743" s="3"/>
      <c r="H743" s="3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3"/>
      <c r="D744" s="3"/>
      <c r="E744" s="3"/>
      <c r="F744" s="3"/>
      <c r="G744" s="3"/>
      <c r="H744" s="3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3"/>
      <c r="D745" s="3"/>
      <c r="E745" s="3"/>
      <c r="F745" s="3"/>
      <c r="G745" s="3"/>
      <c r="H745" s="3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3"/>
      <c r="D746" s="3"/>
      <c r="E746" s="3"/>
      <c r="F746" s="3"/>
      <c r="G746" s="3"/>
      <c r="H746" s="3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3"/>
      <c r="D747" s="3"/>
      <c r="E747" s="3"/>
      <c r="F747" s="3"/>
      <c r="G747" s="3"/>
      <c r="H747" s="3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3"/>
      <c r="D748" s="3"/>
      <c r="E748" s="3"/>
      <c r="F748" s="3"/>
      <c r="G748" s="3"/>
      <c r="H748" s="3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3"/>
      <c r="D749" s="3"/>
      <c r="E749" s="3"/>
      <c r="F749" s="3"/>
      <c r="G749" s="3"/>
      <c r="H749" s="3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3"/>
      <c r="D750" s="3"/>
      <c r="E750" s="3"/>
      <c r="F750" s="3"/>
      <c r="G750" s="3"/>
      <c r="H750" s="3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3"/>
      <c r="D751" s="3"/>
      <c r="E751" s="3"/>
      <c r="F751" s="3"/>
      <c r="G751" s="3"/>
      <c r="H751" s="3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3"/>
      <c r="D752" s="3"/>
      <c r="E752" s="3"/>
      <c r="F752" s="3"/>
      <c r="G752" s="3"/>
      <c r="H752" s="3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3"/>
      <c r="D753" s="3"/>
      <c r="E753" s="3"/>
      <c r="F753" s="3"/>
      <c r="G753" s="3"/>
      <c r="H753" s="3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3"/>
      <c r="D754" s="3"/>
      <c r="E754" s="3"/>
      <c r="F754" s="3"/>
      <c r="G754" s="3"/>
      <c r="H754" s="3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3"/>
      <c r="D755" s="3"/>
      <c r="E755" s="3"/>
      <c r="F755" s="3"/>
      <c r="G755" s="3"/>
      <c r="H755" s="3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3"/>
      <c r="D756" s="3"/>
      <c r="E756" s="3"/>
      <c r="F756" s="3"/>
      <c r="G756" s="3"/>
      <c r="H756" s="3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3"/>
      <c r="D757" s="3"/>
      <c r="E757" s="3"/>
      <c r="F757" s="3"/>
      <c r="G757" s="3"/>
      <c r="H757" s="3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3"/>
      <c r="D758" s="3"/>
      <c r="E758" s="3"/>
      <c r="F758" s="3"/>
      <c r="G758" s="3"/>
      <c r="H758" s="3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3"/>
      <c r="D759" s="3"/>
      <c r="E759" s="3"/>
      <c r="F759" s="3"/>
      <c r="G759" s="3"/>
      <c r="H759" s="3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3"/>
      <c r="D760" s="3"/>
      <c r="E760" s="3"/>
      <c r="F760" s="3"/>
      <c r="G760" s="3"/>
      <c r="H760" s="3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3"/>
      <c r="D761" s="3"/>
      <c r="E761" s="3"/>
      <c r="F761" s="3"/>
      <c r="G761" s="3"/>
      <c r="H761" s="3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3"/>
      <c r="D762" s="3"/>
      <c r="E762" s="3"/>
      <c r="F762" s="3"/>
      <c r="G762" s="3"/>
      <c r="H762" s="3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3"/>
      <c r="D763" s="3"/>
      <c r="E763" s="3"/>
      <c r="F763" s="3"/>
      <c r="G763" s="3"/>
      <c r="H763" s="3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3"/>
      <c r="D764" s="3"/>
      <c r="E764" s="3"/>
      <c r="F764" s="3"/>
      <c r="G764" s="3"/>
      <c r="H764" s="3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3"/>
      <c r="D765" s="3"/>
      <c r="E765" s="3"/>
      <c r="F765" s="3"/>
      <c r="G765" s="3"/>
      <c r="H765" s="3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3"/>
      <c r="D766" s="3"/>
      <c r="E766" s="3"/>
      <c r="F766" s="3"/>
      <c r="G766" s="3"/>
      <c r="H766" s="3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3"/>
      <c r="D767" s="3"/>
      <c r="E767" s="3"/>
      <c r="F767" s="3"/>
      <c r="G767" s="3"/>
      <c r="H767" s="3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3"/>
      <c r="D768" s="3"/>
      <c r="E768" s="3"/>
      <c r="F768" s="3"/>
      <c r="G768" s="3"/>
      <c r="H768" s="3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3"/>
      <c r="D769" s="3"/>
      <c r="E769" s="3"/>
      <c r="F769" s="3"/>
      <c r="G769" s="3"/>
      <c r="H769" s="3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3"/>
      <c r="D770" s="3"/>
      <c r="E770" s="3"/>
      <c r="F770" s="3"/>
      <c r="G770" s="3"/>
      <c r="H770" s="3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3"/>
      <c r="D771" s="3"/>
      <c r="E771" s="3"/>
      <c r="F771" s="3"/>
      <c r="G771" s="3"/>
      <c r="H771" s="3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3"/>
      <c r="D772" s="3"/>
      <c r="E772" s="3"/>
      <c r="F772" s="3"/>
      <c r="G772" s="3"/>
      <c r="H772" s="3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3"/>
      <c r="D773" s="3"/>
      <c r="E773" s="3"/>
      <c r="F773" s="3"/>
      <c r="G773" s="3"/>
      <c r="H773" s="3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3"/>
      <c r="D774" s="3"/>
      <c r="E774" s="3"/>
      <c r="F774" s="3"/>
      <c r="G774" s="3"/>
      <c r="H774" s="3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3"/>
      <c r="D775" s="3"/>
      <c r="E775" s="3"/>
      <c r="F775" s="3"/>
      <c r="G775" s="3"/>
      <c r="H775" s="3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3"/>
      <c r="D776" s="3"/>
      <c r="E776" s="3"/>
      <c r="F776" s="3"/>
      <c r="G776" s="3"/>
      <c r="H776" s="3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3"/>
      <c r="D777" s="3"/>
      <c r="E777" s="3"/>
      <c r="F777" s="3"/>
      <c r="G777" s="3"/>
      <c r="H777" s="3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3"/>
      <c r="D778" s="3"/>
      <c r="E778" s="3"/>
      <c r="F778" s="3"/>
      <c r="G778" s="3"/>
      <c r="H778" s="3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3"/>
      <c r="D779" s="3"/>
      <c r="E779" s="3"/>
      <c r="F779" s="3"/>
      <c r="G779" s="3"/>
      <c r="H779" s="3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3"/>
      <c r="D780" s="3"/>
      <c r="E780" s="3"/>
      <c r="F780" s="3"/>
      <c r="G780" s="3"/>
      <c r="H780" s="3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3"/>
      <c r="D781" s="3"/>
      <c r="E781" s="3"/>
      <c r="F781" s="3"/>
      <c r="G781" s="3"/>
      <c r="H781" s="3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3"/>
      <c r="D782" s="3"/>
      <c r="E782" s="3"/>
      <c r="F782" s="3"/>
      <c r="G782" s="3"/>
      <c r="H782" s="3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3"/>
      <c r="D783" s="3"/>
      <c r="E783" s="3"/>
      <c r="F783" s="3"/>
      <c r="G783" s="3"/>
      <c r="H783" s="3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3"/>
      <c r="D784" s="3"/>
      <c r="E784" s="3"/>
      <c r="F784" s="3"/>
      <c r="G784" s="3"/>
      <c r="H784" s="3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3"/>
      <c r="D785" s="3"/>
      <c r="E785" s="3"/>
      <c r="F785" s="3"/>
      <c r="G785" s="3"/>
      <c r="H785" s="3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3"/>
      <c r="D786" s="3"/>
      <c r="E786" s="3"/>
      <c r="F786" s="3"/>
      <c r="G786" s="3"/>
      <c r="H786" s="3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3"/>
      <c r="D787" s="3"/>
      <c r="E787" s="3"/>
      <c r="F787" s="3"/>
      <c r="G787" s="3"/>
      <c r="H787" s="3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3"/>
      <c r="D788" s="3"/>
      <c r="E788" s="3"/>
      <c r="F788" s="3"/>
      <c r="G788" s="3"/>
      <c r="H788" s="3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3"/>
      <c r="D789" s="3"/>
      <c r="E789" s="3"/>
      <c r="F789" s="3"/>
      <c r="G789" s="3"/>
      <c r="H789" s="3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3"/>
      <c r="D790" s="3"/>
      <c r="E790" s="3"/>
      <c r="F790" s="3"/>
      <c r="G790" s="3"/>
      <c r="H790" s="3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3"/>
      <c r="D791" s="3"/>
      <c r="E791" s="3"/>
      <c r="F791" s="3"/>
      <c r="G791" s="3"/>
      <c r="H791" s="3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3"/>
      <c r="D792" s="3"/>
      <c r="E792" s="3"/>
      <c r="F792" s="3"/>
      <c r="G792" s="3"/>
      <c r="H792" s="3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3"/>
      <c r="D793" s="3"/>
      <c r="E793" s="3"/>
      <c r="F793" s="3"/>
      <c r="G793" s="3"/>
      <c r="H793" s="3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3"/>
      <c r="D794" s="3"/>
      <c r="E794" s="3"/>
      <c r="F794" s="3"/>
      <c r="G794" s="3"/>
      <c r="H794" s="3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3"/>
      <c r="D795" s="3"/>
      <c r="E795" s="3"/>
      <c r="F795" s="3"/>
      <c r="G795" s="3"/>
      <c r="H795" s="3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3"/>
      <c r="D796" s="3"/>
      <c r="E796" s="3"/>
      <c r="F796" s="3"/>
      <c r="G796" s="3"/>
      <c r="H796" s="3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3"/>
      <c r="D797" s="3"/>
      <c r="E797" s="3"/>
      <c r="F797" s="3"/>
      <c r="G797" s="3"/>
      <c r="H797" s="3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3"/>
      <c r="D798" s="3"/>
      <c r="E798" s="3"/>
      <c r="F798" s="3"/>
      <c r="G798" s="3"/>
      <c r="H798" s="3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3"/>
      <c r="D799" s="3"/>
      <c r="E799" s="3"/>
      <c r="F799" s="3"/>
      <c r="G799" s="3"/>
      <c r="H799" s="3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3"/>
      <c r="D800" s="3"/>
      <c r="E800" s="3"/>
      <c r="F800" s="3"/>
      <c r="G800" s="3"/>
      <c r="H800" s="3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3"/>
      <c r="D801" s="3"/>
      <c r="E801" s="3"/>
      <c r="F801" s="3"/>
      <c r="G801" s="3"/>
      <c r="H801" s="3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3"/>
      <c r="D802" s="3"/>
      <c r="E802" s="3"/>
      <c r="F802" s="3"/>
      <c r="G802" s="3"/>
      <c r="H802" s="3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3"/>
      <c r="D803" s="3"/>
      <c r="E803" s="3"/>
      <c r="F803" s="3"/>
      <c r="G803" s="3"/>
      <c r="H803" s="3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3"/>
      <c r="D804" s="3"/>
      <c r="E804" s="3"/>
      <c r="F804" s="3"/>
      <c r="G804" s="3"/>
      <c r="H804" s="3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3"/>
      <c r="D805" s="3"/>
      <c r="E805" s="3"/>
      <c r="F805" s="3"/>
      <c r="G805" s="3"/>
      <c r="H805" s="3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3"/>
      <c r="D806" s="3"/>
      <c r="E806" s="3"/>
      <c r="F806" s="3"/>
      <c r="G806" s="3"/>
      <c r="H806" s="3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3"/>
      <c r="D807" s="3"/>
      <c r="E807" s="3"/>
      <c r="F807" s="3"/>
      <c r="G807" s="3"/>
      <c r="H807" s="3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3"/>
      <c r="D808" s="3"/>
      <c r="E808" s="3"/>
      <c r="F808" s="3"/>
      <c r="G808" s="3"/>
      <c r="H808" s="3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3"/>
      <c r="D809" s="3"/>
      <c r="E809" s="3"/>
      <c r="F809" s="3"/>
      <c r="G809" s="3"/>
      <c r="H809" s="3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3"/>
      <c r="D810" s="3"/>
      <c r="E810" s="3"/>
      <c r="F810" s="3"/>
      <c r="G810" s="3"/>
      <c r="H810" s="3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3"/>
      <c r="D811" s="3"/>
      <c r="E811" s="3"/>
      <c r="F811" s="3"/>
      <c r="G811" s="3"/>
      <c r="H811" s="3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3"/>
      <c r="D812" s="3"/>
      <c r="E812" s="3"/>
      <c r="F812" s="3"/>
      <c r="G812" s="3"/>
      <c r="H812" s="3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3"/>
      <c r="D813" s="3"/>
      <c r="E813" s="3"/>
      <c r="F813" s="3"/>
      <c r="G813" s="3"/>
      <c r="H813" s="3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3"/>
      <c r="D814" s="3"/>
      <c r="E814" s="3"/>
      <c r="F814" s="3"/>
      <c r="G814" s="3"/>
      <c r="H814" s="3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3"/>
      <c r="D815" s="3"/>
      <c r="E815" s="3"/>
      <c r="F815" s="3"/>
      <c r="G815" s="3"/>
      <c r="H815" s="3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3"/>
      <c r="D816" s="3"/>
      <c r="E816" s="3"/>
      <c r="F816" s="3"/>
      <c r="G816" s="3"/>
      <c r="H816" s="3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3"/>
      <c r="D817" s="3"/>
      <c r="E817" s="3"/>
      <c r="F817" s="3"/>
      <c r="G817" s="3"/>
      <c r="H817" s="3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3"/>
      <c r="D818" s="3"/>
      <c r="E818" s="3"/>
      <c r="F818" s="3"/>
      <c r="G818" s="3"/>
      <c r="H818" s="3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3"/>
      <c r="D819" s="3"/>
      <c r="E819" s="3"/>
      <c r="F819" s="3"/>
      <c r="G819" s="3"/>
      <c r="H819" s="3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3"/>
      <c r="D820" s="3"/>
      <c r="E820" s="3"/>
      <c r="F820" s="3"/>
      <c r="G820" s="3"/>
      <c r="H820" s="3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3"/>
      <c r="D821" s="3"/>
      <c r="E821" s="3"/>
      <c r="F821" s="3"/>
      <c r="G821" s="3"/>
      <c r="H821" s="3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3"/>
      <c r="D822" s="3"/>
      <c r="E822" s="3"/>
      <c r="F822" s="3"/>
      <c r="G822" s="3"/>
      <c r="H822" s="3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3"/>
      <c r="D823" s="3"/>
      <c r="E823" s="3"/>
      <c r="F823" s="3"/>
      <c r="G823" s="3"/>
      <c r="H823" s="3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3"/>
      <c r="D824" s="3"/>
      <c r="E824" s="3"/>
      <c r="F824" s="3"/>
      <c r="G824" s="3"/>
      <c r="H824" s="3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3"/>
      <c r="D825" s="3"/>
      <c r="E825" s="3"/>
      <c r="F825" s="3"/>
      <c r="G825" s="3"/>
      <c r="H825" s="3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3"/>
      <c r="D826" s="3"/>
      <c r="E826" s="3"/>
      <c r="F826" s="3"/>
      <c r="G826" s="3"/>
      <c r="H826" s="3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3"/>
      <c r="D827" s="3"/>
      <c r="E827" s="3"/>
      <c r="F827" s="3"/>
      <c r="G827" s="3"/>
      <c r="H827" s="3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3"/>
      <c r="D828" s="3"/>
      <c r="E828" s="3"/>
      <c r="F828" s="3"/>
      <c r="G828" s="3"/>
      <c r="H828" s="3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3"/>
      <c r="D829" s="3"/>
      <c r="E829" s="3"/>
      <c r="F829" s="3"/>
      <c r="G829" s="3"/>
      <c r="H829" s="3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3"/>
      <c r="D830" s="3"/>
      <c r="E830" s="3"/>
      <c r="F830" s="3"/>
      <c r="G830" s="3"/>
      <c r="H830" s="3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3"/>
      <c r="D831" s="3"/>
      <c r="E831" s="3"/>
      <c r="F831" s="3"/>
      <c r="G831" s="3"/>
      <c r="H831" s="3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3"/>
      <c r="D832" s="3"/>
      <c r="E832" s="3"/>
      <c r="F832" s="3"/>
      <c r="G832" s="3"/>
      <c r="H832" s="3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3"/>
      <c r="D833" s="3"/>
      <c r="E833" s="3"/>
      <c r="F833" s="3"/>
      <c r="G833" s="3"/>
      <c r="H833" s="3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3"/>
      <c r="D834" s="3"/>
      <c r="E834" s="3"/>
      <c r="F834" s="3"/>
      <c r="G834" s="3"/>
      <c r="H834" s="3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3"/>
      <c r="D835" s="3"/>
      <c r="E835" s="3"/>
      <c r="F835" s="3"/>
      <c r="G835" s="3"/>
      <c r="H835" s="3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3"/>
      <c r="D836" s="3"/>
      <c r="E836" s="3"/>
      <c r="F836" s="3"/>
      <c r="G836" s="3"/>
      <c r="H836" s="3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3"/>
      <c r="D837" s="3"/>
      <c r="E837" s="3"/>
      <c r="F837" s="3"/>
      <c r="G837" s="3"/>
      <c r="H837" s="3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3"/>
      <c r="D838" s="3"/>
      <c r="E838" s="3"/>
      <c r="F838" s="3"/>
      <c r="G838" s="3"/>
      <c r="H838" s="3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3"/>
      <c r="D839" s="3"/>
      <c r="E839" s="3"/>
      <c r="F839" s="3"/>
      <c r="G839" s="3"/>
      <c r="H839" s="3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3"/>
      <c r="D840" s="3"/>
      <c r="E840" s="3"/>
      <c r="F840" s="3"/>
      <c r="G840" s="3"/>
      <c r="H840" s="3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3"/>
      <c r="D841" s="3"/>
      <c r="E841" s="3"/>
      <c r="F841" s="3"/>
      <c r="G841" s="3"/>
      <c r="H841" s="3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3"/>
      <c r="D842" s="3"/>
      <c r="E842" s="3"/>
      <c r="F842" s="3"/>
      <c r="G842" s="3"/>
      <c r="H842" s="3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3"/>
      <c r="D843" s="3"/>
      <c r="E843" s="3"/>
      <c r="F843" s="3"/>
      <c r="G843" s="3"/>
      <c r="H843" s="3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3"/>
      <c r="D844" s="3"/>
      <c r="E844" s="3"/>
      <c r="F844" s="3"/>
      <c r="G844" s="3"/>
      <c r="H844" s="3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3"/>
      <c r="D845" s="3"/>
      <c r="E845" s="3"/>
      <c r="F845" s="3"/>
      <c r="G845" s="3"/>
      <c r="H845" s="3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3"/>
      <c r="D846" s="3"/>
      <c r="E846" s="3"/>
      <c r="F846" s="3"/>
      <c r="G846" s="3"/>
      <c r="H846" s="3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3"/>
      <c r="D847" s="3"/>
      <c r="E847" s="3"/>
      <c r="F847" s="3"/>
      <c r="G847" s="3"/>
      <c r="H847" s="3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3"/>
      <c r="D848" s="3"/>
      <c r="E848" s="3"/>
      <c r="F848" s="3"/>
      <c r="G848" s="3"/>
      <c r="H848" s="3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3"/>
      <c r="D849" s="3"/>
      <c r="E849" s="3"/>
      <c r="F849" s="3"/>
      <c r="G849" s="3"/>
      <c r="H849" s="3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3"/>
      <c r="D850" s="3"/>
      <c r="E850" s="3"/>
      <c r="F850" s="3"/>
      <c r="G850" s="3"/>
      <c r="H850" s="3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3"/>
      <c r="D851" s="3"/>
      <c r="E851" s="3"/>
      <c r="F851" s="3"/>
      <c r="G851" s="3"/>
      <c r="H851" s="3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3"/>
      <c r="D852" s="3"/>
      <c r="E852" s="3"/>
      <c r="F852" s="3"/>
      <c r="G852" s="3"/>
      <c r="H852" s="3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3"/>
      <c r="D853" s="3"/>
      <c r="E853" s="3"/>
      <c r="F853" s="3"/>
      <c r="G853" s="3"/>
      <c r="H853" s="3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3"/>
      <c r="D854" s="3"/>
      <c r="E854" s="3"/>
      <c r="F854" s="3"/>
      <c r="G854" s="3"/>
      <c r="H854" s="3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3"/>
      <c r="D855" s="3"/>
      <c r="E855" s="3"/>
      <c r="F855" s="3"/>
      <c r="G855" s="3"/>
      <c r="H855" s="3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3"/>
      <c r="D856" s="3"/>
      <c r="E856" s="3"/>
      <c r="F856" s="3"/>
      <c r="G856" s="3"/>
      <c r="H856" s="3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3"/>
      <c r="D857" s="3"/>
      <c r="E857" s="3"/>
      <c r="F857" s="3"/>
      <c r="G857" s="3"/>
      <c r="H857" s="3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3"/>
      <c r="D858" s="3"/>
      <c r="E858" s="3"/>
      <c r="F858" s="3"/>
      <c r="G858" s="3"/>
      <c r="H858" s="3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3"/>
      <c r="D859" s="3"/>
      <c r="E859" s="3"/>
      <c r="F859" s="3"/>
      <c r="G859" s="3"/>
      <c r="H859" s="3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3"/>
      <c r="D860" s="3"/>
      <c r="E860" s="3"/>
      <c r="F860" s="3"/>
      <c r="G860" s="3"/>
      <c r="H860" s="3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3"/>
      <c r="D861" s="3"/>
      <c r="E861" s="3"/>
      <c r="F861" s="3"/>
      <c r="G861" s="3"/>
      <c r="H861" s="3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3"/>
      <c r="D862" s="3"/>
      <c r="E862" s="3"/>
      <c r="F862" s="3"/>
      <c r="G862" s="3"/>
      <c r="H862" s="3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3"/>
      <c r="D863" s="3"/>
      <c r="E863" s="3"/>
      <c r="F863" s="3"/>
      <c r="G863" s="3"/>
      <c r="H863" s="3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3"/>
      <c r="D864" s="3"/>
      <c r="E864" s="3"/>
      <c r="F864" s="3"/>
      <c r="G864" s="3"/>
      <c r="H864" s="3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3"/>
      <c r="D865" s="3"/>
      <c r="E865" s="3"/>
      <c r="F865" s="3"/>
      <c r="G865" s="3"/>
      <c r="H865" s="3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3"/>
      <c r="D866" s="3"/>
      <c r="E866" s="3"/>
      <c r="F866" s="3"/>
      <c r="G866" s="3"/>
      <c r="H866" s="3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3"/>
      <c r="D867" s="3"/>
      <c r="E867" s="3"/>
      <c r="F867" s="3"/>
      <c r="G867" s="3"/>
      <c r="H867" s="3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3"/>
      <c r="D868" s="3"/>
      <c r="E868" s="3"/>
      <c r="F868" s="3"/>
      <c r="G868" s="3"/>
      <c r="H868" s="3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3"/>
      <c r="D869" s="3"/>
      <c r="E869" s="3"/>
      <c r="F869" s="3"/>
      <c r="G869" s="3"/>
      <c r="H869" s="3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3"/>
      <c r="D870" s="3"/>
      <c r="E870" s="3"/>
      <c r="F870" s="3"/>
      <c r="G870" s="3"/>
      <c r="H870" s="3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3"/>
      <c r="D871" s="3"/>
      <c r="E871" s="3"/>
      <c r="F871" s="3"/>
      <c r="G871" s="3"/>
      <c r="H871" s="3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3"/>
      <c r="D872" s="3"/>
      <c r="E872" s="3"/>
      <c r="F872" s="3"/>
      <c r="G872" s="3"/>
      <c r="H872" s="3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3"/>
      <c r="D873" s="3"/>
      <c r="E873" s="3"/>
      <c r="F873" s="3"/>
      <c r="G873" s="3"/>
      <c r="H873" s="3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3"/>
      <c r="D874" s="3"/>
      <c r="E874" s="3"/>
      <c r="F874" s="3"/>
      <c r="G874" s="3"/>
      <c r="H874" s="3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3"/>
      <c r="D875" s="3"/>
      <c r="E875" s="3"/>
      <c r="F875" s="3"/>
      <c r="G875" s="3"/>
      <c r="H875" s="3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3"/>
      <c r="D876" s="3"/>
      <c r="E876" s="3"/>
      <c r="F876" s="3"/>
      <c r="G876" s="3"/>
      <c r="H876" s="3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3"/>
      <c r="D877" s="3"/>
      <c r="E877" s="3"/>
      <c r="F877" s="3"/>
      <c r="G877" s="3"/>
      <c r="H877" s="3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3"/>
      <c r="D878" s="3"/>
      <c r="E878" s="3"/>
      <c r="F878" s="3"/>
      <c r="G878" s="3"/>
      <c r="H878" s="3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3"/>
      <c r="D879" s="3"/>
      <c r="E879" s="3"/>
      <c r="F879" s="3"/>
      <c r="G879" s="3"/>
      <c r="H879" s="3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3"/>
      <c r="D880" s="3"/>
      <c r="E880" s="3"/>
      <c r="F880" s="3"/>
      <c r="G880" s="3"/>
      <c r="H880" s="3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3"/>
      <c r="D881" s="3"/>
      <c r="E881" s="3"/>
      <c r="F881" s="3"/>
      <c r="G881" s="3"/>
      <c r="H881" s="3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3"/>
      <c r="D882" s="3"/>
      <c r="E882" s="3"/>
      <c r="F882" s="3"/>
      <c r="G882" s="3"/>
      <c r="H882" s="3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3"/>
      <c r="D883" s="3"/>
      <c r="E883" s="3"/>
      <c r="F883" s="3"/>
      <c r="G883" s="3"/>
      <c r="H883" s="3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3"/>
      <c r="D884" s="3"/>
      <c r="E884" s="3"/>
      <c r="F884" s="3"/>
      <c r="G884" s="3"/>
      <c r="H884" s="3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3"/>
      <c r="D885" s="3"/>
      <c r="E885" s="3"/>
      <c r="F885" s="3"/>
      <c r="G885" s="3"/>
      <c r="H885" s="3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3"/>
      <c r="D886" s="3"/>
      <c r="E886" s="3"/>
      <c r="F886" s="3"/>
      <c r="G886" s="3"/>
      <c r="H886" s="3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3"/>
      <c r="D887" s="3"/>
      <c r="E887" s="3"/>
      <c r="F887" s="3"/>
      <c r="G887" s="3"/>
      <c r="H887" s="3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3"/>
      <c r="D888" s="3"/>
      <c r="E888" s="3"/>
      <c r="F888" s="3"/>
      <c r="G888" s="3"/>
      <c r="H888" s="3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3"/>
      <c r="D889" s="3"/>
      <c r="E889" s="3"/>
      <c r="F889" s="3"/>
      <c r="G889" s="3"/>
      <c r="H889" s="3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3"/>
      <c r="D890" s="3"/>
      <c r="E890" s="3"/>
      <c r="F890" s="3"/>
      <c r="G890" s="3"/>
      <c r="H890" s="3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3"/>
      <c r="D891" s="3"/>
      <c r="E891" s="3"/>
      <c r="F891" s="3"/>
      <c r="G891" s="3"/>
      <c r="H891" s="3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3"/>
      <c r="D892" s="3"/>
      <c r="E892" s="3"/>
      <c r="F892" s="3"/>
      <c r="G892" s="3"/>
      <c r="H892" s="3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3"/>
      <c r="D893" s="3"/>
      <c r="E893" s="3"/>
      <c r="F893" s="3"/>
      <c r="G893" s="3"/>
      <c r="H893" s="3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3"/>
      <c r="D894" s="3"/>
      <c r="E894" s="3"/>
      <c r="F894" s="3"/>
      <c r="G894" s="3"/>
      <c r="H894" s="3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3"/>
      <c r="D895" s="3"/>
      <c r="E895" s="3"/>
      <c r="F895" s="3"/>
      <c r="G895" s="3"/>
      <c r="H895" s="3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3"/>
      <c r="D896" s="3"/>
      <c r="E896" s="3"/>
      <c r="F896" s="3"/>
      <c r="G896" s="3"/>
      <c r="H896" s="3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3"/>
      <c r="D897" s="3"/>
      <c r="E897" s="3"/>
      <c r="F897" s="3"/>
      <c r="G897" s="3"/>
      <c r="H897" s="3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3"/>
      <c r="D898" s="3"/>
      <c r="E898" s="3"/>
      <c r="F898" s="3"/>
      <c r="G898" s="3"/>
      <c r="H898" s="3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3"/>
      <c r="D899" s="3"/>
      <c r="E899" s="3"/>
      <c r="F899" s="3"/>
      <c r="G899" s="3"/>
      <c r="H899" s="3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3"/>
      <c r="D900" s="3"/>
      <c r="E900" s="3"/>
      <c r="F900" s="3"/>
      <c r="G900" s="3"/>
      <c r="H900" s="3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3"/>
      <c r="D901" s="3"/>
      <c r="E901" s="3"/>
      <c r="F901" s="3"/>
      <c r="G901" s="3"/>
      <c r="H901" s="3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3"/>
      <c r="D902" s="3"/>
      <c r="E902" s="3"/>
      <c r="F902" s="3"/>
      <c r="G902" s="3"/>
      <c r="H902" s="3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3"/>
      <c r="D903" s="3"/>
      <c r="E903" s="3"/>
      <c r="F903" s="3"/>
      <c r="G903" s="3"/>
      <c r="H903" s="3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3"/>
      <c r="D904" s="3"/>
      <c r="E904" s="3"/>
      <c r="F904" s="3"/>
      <c r="G904" s="3"/>
      <c r="H904" s="3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3"/>
      <c r="D905" s="3"/>
      <c r="E905" s="3"/>
      <c r="F905" s="3"/>
      <c r="G905" s="3"/>
      <c r="H905" s="3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3"/>
      <c r="D906" s="3"/>
      <c r="E906" s="3"/>
      <c r="F906" s="3"/>
      <c r="G906" s="3"/>
      <c r="H906" s="3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3"/>
      <c r="D907" s="3"/>
      <c r="E907" s="3"/>
      <c r="F907" s="3"/>
      <c r="G907" s="3"/>
      <c r="H907" s="3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3"/>
      <c r="D908" s="3"/>
      <c r="E908" s="3"/>
      <c r="F908" s="3"/>
      <c r="G908" s="3"/>
      <c r="H908" s="3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3"/>
      <c r="D909" s="3"/>
      <c r="E909" s="3"/>
      <c r="F909" s="3"/>
      <c r="G909" s="3"/>
      <c r="H909" s="3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3"/>
      <c r="D910" s="3"/>
      <c r="E910" s="3"/>
      <c r="F910" s="3"/>
      <c r="G910" s="3"/>
      <c r="H910" s="3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3"/>
      <c r="D911" s="3"/>
      <c r="E911" s="3"/>
      <c r="F911" s="3"/>
      <c r="G911" s="3"/>
      <c r="H911" s="3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3"/>
      <c r="D912" s="3"/>
      <c r="E912" s="3"/>
      <c r="F912" s="3"/>
      <c r="G912" s="3"/>
      <c r="H912" s="3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3"/>
      <c r="D913" s="3"/>
      <c r="E913" s="3"/>
      <c r="F913" s="3"/>
      <c r="G913" s="3"/>
      <c r="H913" s="3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3"/>
      <c r="D914" s="3"/>
      <c r="E914" s="3"/>
      <c r="F914" s="3"/>
      <c r="G914" s="3"/>
      <c r="H914" s="3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3"/>
      <c r="D915" s="3"/>
      <c r="E915" s="3"/>
      <c r="F915" s="3"/>
      <c r="G915" s="3"/>
      <c r="H915" s="3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3"/>
      <c r="D916" s="3"/>
      <c r="E916" s="3"/>
      <c r="F916" s="3"/>
      <c r="G916" s="3"/>
      <c r="H916" s="3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3"/>
      <c r="D917" s="3"/>
      <c r="E917" s="3"/>
      <c r="F917" s="3"/>
      <c r="G917" s="3"/>
      <c r="H917" s="3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3"/>
      <c r="D918" s="3"/>
      <c r="E918" s="3"/>
      <c r="F918" s="3"/>
      <c r="G918" s="3"/>
      <c r="H918" s="3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3"/>
      <c r="D919" s="3"/>
      <c r="E919" s="3"/>
      <c r="F919" s="3"/>
      <c r="G919" s="3"/>
      <c r="H919" s="3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3"/>
      <c r="D920" s="3"/>
      <c r="E920" s="3"/>
      <c r="F920" s="3"/>
      <c r="G920" s="3"/>
      <c r="H920" s="3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3"/>
      <c r="D921" s="3"/>
      <c r="E921" s="3"/>
      <c r="F921" s="3"/>
      <c r="G921" s="3"/>
      <c r="H921" s="3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3"/>
      <c r="D922" s="3"/>
      <c r="E922" s="3"/>
      <c r="F922" s="3"/>
      <c r="G922" s="3"/>
      <c r="H922" s="3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3"/>
      <c r="D923" s="3"/>
      <c r="E923" s="3"/>
      <c r="F923" s="3"/>
      <c r="G923" s="3"/>
      <c r="H923" s="3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3"/>
      <c r="D924" s="3"/>
      <c r="E924" s="3"/>
      <c r="F924" s="3"/>
      <c r="G924" s="3"/>
      <c r="H924" s="3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3"/>
      <c r="D925" s="3"/>
      <c r="E925" s="3"/>
      <c r="F925" s="3"/>
      <c r="G925" s="3"/>
      <c r="H925" s="3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3"/>
      <c r="D926" s="3"/>
      <c r="E926" s="3"/>
      <c r="F926" s="3"/>
      <c r="G926" s="3"/>
      <c r="H926" s="3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3"/>
      <c r="D927" s="3"/>
      <c r="E927" s="3"/>
      <c r="F927" s="3"/>
      <c r="G927" s="3"/>
      <c r="H927" s="3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3"/>
      <c r="D928" s="3"/>
      <c r="E928" s="3"/>
      <c r="F928" s="3"/>
      <c r="G928" s="3"/>
      <c r="H928" s="3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3"/>
      <c r="D929" s="3"/>
      <c r="E929" s="3"/>
      <c r="F929" s="3"/>
      <c r="G929" s="3"/>
      <c r="H929" s="3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3"/>
      <c r="D930" s="3"/>
      <c r="E930" s="3"/>
      <c r="F930" s="3"/>
      <c r="G930" s="3"/>
      <c r="H930" s="3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3"/>
      <c r="D931" s="3"/>
      <c r="E931" s="3"/>
      <c r="F931" s="3"/>
      <c r="G931" s="3"/>
      <c r="H931" s="3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3"/>
      <c r="D932" s="3"/>
      <c r="E932" s="3"/>
      <c r="F932" s="3"/>
      <c r="G932" s="3"/>
      <c r="H932" s="3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3"/>
      <c r="D933" s="3"/>
      <c r="E933" s="3"/>
      <c r="F933" s="3"/>
      <c r="G933" s="3"/>
      <c r="H933" s="3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3"/>
      <c r="D934" s="3"/>
      <c r="E934" s="3"/>
      <c r="F934" s="3"/>
      <c r="G934" s="3"/>
      <c r="H934" s="3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3"/>
      <c r="D935" s="3"/>
      <c r="E935" s="3"/>
      <c r="F935" s="3"/>
      <c r="G935" s="3"/>
      <c r="H935" s="3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3"/>
      <c r="D936" s="3"/>
      <c r="E936" s="3"/>
      <c r="F936" s="3"/>
      <c r="G936" s="3"/>
      <c r="H936" s="3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3"/>
      <c r="D937" s="3"/>
      <c r="E937" s="3"/>
      <c r="F937" s="3"/>
      <c r="G937" s="3"/>
      <c r="H937" s="3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3"/>
      <c r="D938" s="3"/>
      <c r="E938" s="3"/>
      <c r="F938" s="3"/>
      <c r="G938" s="3"/>
      <c r="H938" s="3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3"/>
      <c r="D939" s="3"/>
      <c r="E939" s="3"/>
      <c r="F939" s="3"/>
      <c r="G939" s="3"/>
      <c r="H939" s="3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3"/>
      <c r="D940" s="3"/>
      <c r="E940" s="3"/>
      <c r="F940" s="3"/>
      <c r="G940" s="3"/>
      <c r="H940" s="3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3"/>
      <c r="D941" s="3"/>
      <c r="E941" s="3"/>
      <c r="F941" s="3"/>
      <c r="G941" s="3"/>
      <c r="H941" s="3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3"/>
      <c r="D942" s="3"/>
      <c r="E942" s="3"/>
      <c r="F942" s="3"/>
      <c r="G942" s="3"/>
      <c r="H942" s="3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3"/>
      <c r="D943" s="3"/>
      <c r="E943" s="3"/>
      <c r="F943" s="3"/>
      <c r="G943" s="3"/>
      <c r="H943" s="3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3"/>
      <c r="D944" s="3"/>
      <c r="E944" s="3"/>
      <c r="F944" s="3"/>
      <c r="G944" s="3"/>
      <c r="H944" s="3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3"/>
      <c r="D945" s="3"/>
      <c r="E945" s="3"/>
      <c r="F945" s="3"/>
      <c r="G945" s="3"/>
      <c r="H945" s="3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3"/>
      <c r="D946" s="3"/>
      <c r="E946" s="3"/>
      <c r="F946" s="3"/>
      <c r="G946" s="3"/>
      <c r="H946" s="3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3"/>
      <c r="D947" s="3"/>
      <c r="E947" s="3"/>
      <c r="F947" s="3"/>
      <c r="G947" s="3"/>
      <c r="H947" s="3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3"/>
      <c r="D948" s="3"/>
      <c r="E948" s="3"/>
      <c r="F948" s="3"/>
      <c r="G948" s="3"/>
      <c r="H948" s="3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3"/>
      <c r="D949" s="3"/>
      <c r="E949" s="3"/>
      <c r="F949" s="3"/>
      <c r="G949" s="3"/>
      <c r="H949" s="3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3"/>
      <c r="D950" s="3"/>
      <c r="E950" s="3"/>
      <c r="F950" s="3"/>
      <c r="G950" s="3"/>
      <c r="H950" s="3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3"/>
      <c r="D951" s="3"/>
      <c r="E951" s="3"/>
      <c r="F951" s="3"/>
      <c r="G951" s="3"/>
      <c r="H951" s="3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3"/>
      <c r="D952" s="3"/>
      <c r="E952" s="3"/>
      <c r="F952" s="3"/>
      <c r="G952" s="3"/>
      <c r="H952" s="3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3"/>
      <c r="D953" s="3"/>
      <c r="E953" s="3"/>
      <c r="F953" s="3"/>
      <c r="G953" s="3"/>
      <c r="H953" s="3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3"/>
      <c r="D954" s="3"/>
      <c r="E954" s="3"/>
      <c r="F954" s="3"/>
      <c r="G954" s="3"/>
      <c r="H954" s="3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3"/>
      <c r="D955" s="3"/>
      <c r="E955" s="3"/>
      <c r="F955" s="3"/>
      <c r="G955" s="3"/>
      <c r="H955" s="3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3"/>
      <c r="D956" s="3"/>
      <c r="E956" s="3"/>
      <c r="F956" s="3"/>
      <c r="G956" s="3"/>
      <c r="H956" s="3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3"/>
      <c r="D957" s="3"/>
      <c r="E957" s="3"/>
      <c r="F957" s="3"/>
      <c r="G957" s="3"/>
      <c r="H957" s="3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3"/>
      <c r="D958" s="3"/>
      <c r="E958" s="3"/>
      <c r="F958" s="3"/>
      <c r="G958" s="3"/>
      <c r="H958" s="3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3"/>
      <c r="D959" s="3"/>
      <c r="E959" s="3"/>
      <c r="F959" s="3"/>
      <c r="G959" s="3"/>
      <c r="H959" s="3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3"/>
      <c r="D960" s="3"/>
      <c r="E960" s="3"/>
      <c r="F960" s="3"/>
      <c r="G960" s="3"/>
      <c r="H960" s="3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3"/>
      <c r="D961" s="3"/>
      <c r="E961" s="3"/>
      <c r="F961" s="3"/>
      <c r="G961" s="3"/>
      <c r="H961" s="3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3"/>
      <c r="D962" s="3"/>
      <c r="E962" s="3"/>
      <c r="F962" s="3"/>
      <c r="G962" s="3"/>
      <c r="H962" s="3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3"/>
      <c r="D963" s="3"/>
      <c r="E963" s="3"/>
      <c r="F963" s="3"/>
      <c r="G963" s="3"/>
      <c r="H963" s="3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3"/>
      <c r="D964" s="3"/>
      <c r="E964" s="3"/>
      <c r="F964" s="3"/>
      <c r="G964" s="3"/>
      <c r="H964" s="3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3"/>
      <c r="D965" s="3"/>
      <c r="E965" s="3"/>
      <c r="F965" s="3"/>
      <c r="G965" s="3"/>
      <c r="H965" s="3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3"/>
      <c r="D966" s="3"/>
      <c r="E966" s="3"/>
      <c r="F966" s="3"/>
      <c r="G966" s="3"/>
      <c r="H966" s="3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3"/>
      <c r="D967" s="3"/>
      <c r="E967" s="3"/>
      <c r="F967" s="3"/>
      <c r="G967" s="3"/>
      <c r="H967" s="3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3"/>
      <c r="D968" s="3"/>
      <c r="E968" s="3"/>
      <c r="F968" s="3"/>
      <c r="G968" s="3"/>
      <c r="H968" s="3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3"/>
      <c r="D969" s="3"/>
      <c r="E969" s="3"/>
      <c r="F969" s="3"/>
      <c r="G969" s="3"/>
      <c r="H969" s="3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3"/>
      <c r="D970" s="3"/>
      <c r="E970" s="3"/>
      <c r="F970" s="3"/>
      <c r="G970" s="3"/>
      <c r="H970" s="3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3"/>
      <c r="D971" s="3"/>
      <c r="E971" s="3"/>
      <c r="F971" s="3"/>
      <c r="G971" s="3"/>
      <c r="H971" s="3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3"/>
      <c r="D972" s="3"/>
      <c r="E972" s="3"/>
      <c r="F972" s="3"/>
      <c r="G972" s="3"/>
      <c r="H972" s="3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3"/>
      <c r="D973" s="3"/>
      <c r="E973" s="3"/>
      <c r="F973" s="3"/>
      <c r="G973" s="3"/>
      <c r="H973" s="3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3"/>
      <c r="D974" s="3"/>
      <c r="E974" s="3"/>
      <c r="F974" s="3"/>
      <c r="G974" s="3"/>
      <c r="H974" s="3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3"/>
      <c r="D975" s="3"/>
      <c r="E975" s="3"/>
      <c r="F975" s="3"/>
      <c r="G975" s="3"/>
      <c r="H975" s="3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3"/>
      <c r="D976" s="3"/>
      <c r="E976" s="3"/>
      <c r="F976" s="3"/>
      <c r="G976" s="3"/>
      <c r="H976" s="3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3"/>
      <c r="D977" s="3"/>
      <c r="E977" s="3"/>
      <c r="F977" s="3"/>
      <c r="G977" s="3"/>
      <c r="H977" s="3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3"/>
      <c r="D978" s="3"/>
      <c r="E978" s="3"/>
      <c r="F978" s="3"/>
      <c r="G978" s="3"/>
      <c r="H978" s="3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3"/>
      <c r="D979" s="3"/>
      <c r="E979" s="3"/>
      <c r="F979" s="3"/>
      <c r="G979" s="3"/>
      <c r="H979" s="3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3"/>
      <c r="D980" s="3"/>
      <c r="E980" s="3"/>
      <c r="F980" s="3"/>
      <c r="G980" s="3"/>
      <c r="H980" s="3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3"/>
      <c r="D981" s="3"/>
      <c r="E981" s="3"/>
      <c r="F981" s="3"/>
      <c r="G981" s="3"/>
      <c r="H981" s="3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3"/>
      <c r="D982" s="3"/>
      <c r="E982" s="3"/>
      <c r="F982" s="3"/>
      <c r="G982" s="3"/>
      <c r="H982" s="3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3"/>
      <c r="D983" s="3"/>
      <c r="E983" s="3"/>
      <c r="F983" s="3"/>
      <c r="G983" s="3"/>
      <c r="H983" s="3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3"/>
      <c r="D984" s="3"/>
      <c r="E984" s="3"/>
      <c r="F984" s="3"/>
      <c r="G984" s="3"/>
      <c r="H984" s="3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3"/>
      <c r="D985" s="3"/>
      <c r="E985" s="3"/>
      <c r="F985" s="3"/>
      <c r="G985" s="3"/>
      <c r="H985" s="3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3"/>
      <c r="D986" s="3"/>
      <c r="E986" s="3"/>
      <c r="F986" s="3"/>
      <c r="G986" s="3"/>
      <c r="H986" s="3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3"/>
      <c r="D987" s="3"/>
      <c r="E987" s="3"/>
      <c r="F987" s="3"/>
      <c r="G987" s="3"/>
      <c r="H987" s="3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3"/>
      <c r="D988" s="3"/>
      <c r="E988" s="3"/>
      <c r="F988" s="3"/>
      <c r="G988" s="3"/>
      <c r="H988" s="3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3"/>
      <c r="D989" s="3"/>
      <c r="E989" s="3"/>
      <c r="F989" s="3"/>
      <c r="G989" s="3"/>
      <c r="H989" s="3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3"/>
      <c r="D990" s="3"/>
      <c r="E990" s="3"/>
      <c r="F990" s="3"/>
      <c r="G990" s="3"/>
      <c r="H990" s="3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3"/>
      <c r="D991" s="3"/>
      <c r="E991" s="3"/>
      <c r="F991" s="3"/>
      <c r="G991" s="3"/>
      <c r="H991" s="3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3"/>
      <c r="D992" s="3"/>
      <c r="E992" s="3"/>
      <c r="F992" s="3"/>
      <c r="G992" s="3"/>
      <c r="H992" s="3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3"/>
      <c r="D993" s="3"/>
      <c r="E993" s="3"/>
      <c r="F993" s="3"/>
      <c r="G993" s="3"/>
      <c r="H993" s="3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3"/>
      <c r="D994" s="3"/>
      <c r="E994" s="3"/>
      <c r="F994" s="3"/>
      <c r="G994" s="3"/>
      <c r="H994" s="3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3"/>
      <c r="D995" s="3"/>
      <c r="E995" s="3"/>
      <c r="F995" s="3"/>
      <c r="G995" s="3"/>
      <c r="H995" s="3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3"/>
      <c r="D996" s="3"/>
      <c r="E996" s="3"/>
      <c r="F996" s="3"/>
      <c r="G996" s="3"/>
      <c r="H996" s="3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3"/>
      <c r="D997" s="3"/>
      <c r="E997" s="3"/>
      <c r="F997" s="3"/>
      <c r="G997" s="3"/>
      <c r="H997" s="3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3"/>
      <c r="D998" s="3"/>
      <c r="E998" s="3"/>
      <c r="F998" s="3"/>
      <c r="G998" s="3"/>
      <c r="H998" s="3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3"/>
      <c r="D999" s="3"/>
      <c r="E999" s="3"/>
      <c r="F999" s="3"/>
      <c r="G999" s="3"/>
      <c r="H999" s="3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4">
    <mergeCell ref="B2:E2"/>
    <mergeCell ref="B3:E3"/>
    <mergeCell ref="B14:D14"/>
    <mergeCell ref="B45:D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8.75"/>
    <col customWidth="1" min="3" max="3" width="29.0"/>
    <col customWidth="1" min="4" max="4" width="7.38"/>
    <col customWidth="1" min="5" max="5" width="33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4" t="s">
        <v>0</v>
      </c>
      <c r="C2" s="4" t="s">
        <v>1</v>
      </c>
      <c r="D2" s="5" t="s">
        <v>2</v>
      </c>
      <c r="E2" s="6" t="s">
        <v>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7" t="s">
        <v>6</v>
      </c>
      <c r="C3" s="7" t="s">
        <v>7</v>
      </c>
      <c r="D3" s="13">
        <f>Dashboard!G9/Dashboard!D9</f>
        <v>0.1441372126</v>
      </c>
      <c r="E3" s="7" t="s">
        <v>10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" t="s">
        <v>11</v>
      </c>
      <c r="C4" s="7" t="s">
        <v>12</v>
      </c>
      <c r="D4" s="13">
        <f>-Dashboard!E9/Dashboard!$D$9</f>
        <v>-0.456881681</v>
      </c>
      <c r="E4" s="7" t="s">
        <v>14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" t="s">
        <v>15</v>
      </c>
      <c r="C5" s="7" t="s">
        <v>16</v>
      </c>
      <c r="D5" s="13">
        <f>Dashboard!H9/Dashboard!$D$9</f>
        <v>-0.3127444684</v>
      </c>
      <c r="E5" s="7" t="s">
        <v>20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7" t="s">
        <v>22</v>
      </c>
      <c r="C6" s="7" t="s">
        <v>23</v>
      </c>
      <c r="D6" s="13">
        <f>Dashboard!G9/Dashboard!$J$9</f>
        <v>2.950573529</v>
      </c>
      <c r="E6" s="7" t="s">
        <v>26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7" t="s">
        <v>28</v>
      </c>
      <c r="C7" s="7" t="s">
        <v>29</v>
      </c>
      <c r="D7" s="13">
        <f>-Dashboard!E9/Dashboard!$J$9</f>
        <v>-9.352636765</v>
      </c>
      <c r="E7" s="7" t="s">
        <v>30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7" t="s">
        <v>31</v>
      </c>
      <c r="C8" s="7" t="s">
        <v>32</v>
      </c>
      <c r="D8" s="13">
        <f>Dashboard!H9/Dashboard!$J$9</f>
        <v>-6.402063235</v>
      </c>
      <c r="E8" s="7" t="s">
        <v>33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7" t="s">
        <v>34</v>
      </c>
      <c r="C9" s="7" t="s">
        <v>35</v>
      </c>
      <c r="D9" s="21">
        <f>Dashboard!H9/Dashboard!E9</f>
        <v>-0.6845196062</v>
      </c>
      <c r="E9" s="7" t="s">
        <v>37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4" t="s">
        <v>38</v>
      </c>
      <c r="C10" s="24" t="s">
        <v>39</v>
      </c>
      <c r="D10" s="26">
        <f>'Management P&amp;L'!E45/Dashboard!G9</f>
        <v>-8.798540164</v>
      </c>
      <c r="E10" s="24" t="s">
        <v>43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7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7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7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7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7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3.25"/>
    <col customWidth="1" min="3" max="3" width="13.13"/>
    <col customWidth="1" min="4" max="4" width="8.88"/>
    <col customWidth="1" min="5" max="5" width="14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1"/>
      <c r="B2" s="1"/>
      <c r="C2" s="9" t="s">
        <v>4</v>
      </c>
      <c r="D2" s="14">
        <f>-'Management P&amp;L'!E13+(-'Management P&amp;L'!E44)</f>
        <v>1965.9693</v>
      </c>
      <c r="E2" s="1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1"/>
      <c r="B4" s="4" t="s">
        <v>17</v>
      </c>
      <c r="C4" s="6" t="s">
        <v>18</v>
      </c>
      <c r="D4" s="5" t="s">
        <v>19</v>
      </c>
      <c r="E4" s="5" t="s">
        <v>21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1"/>
      <c r="B5" s="7" t="s">
        <v>24</v>
      </c>
      <c r="C5" s="7" t="s">
        <v>25</v>
      </c>
      <c r="D5" s="19">
        <f>SUM('Video Database'!I2:I1000)</f>
        <v>578.163</v>
      </c>
      <c r="E5" s="21">
        <f t="shared" ref="E5:E7" si="1">D5/D$2</f>
        <v>0.2940854672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1"/>
      <c r="B6" s="7"/>
      <c r="C6" s="7" t="s">
        <v>36</v>
      </c>
      <c r="D6" s="23">
        <v>0.0</v>
      </c>
      <c r="E6" s="21">
        <f t="shared" si="1"/>
        <v>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1"/>
      <c r="B7" s="7"/>
      <c r="C7" s="7" t="s">
        <v>41</v>
      </c>
      <c r="D7" s="19">
        <f>SUM('Video Database'!K2:K1000)</f>
        <v>57.8163</v>
      </c>
      <c r="E7" s="21">
        <f t="shared" si="1"/>
        <v>0.02940854672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1"/>
      <c r="B8" s="28" t="s">
        <v>44</v>
      </c>
      <c r="C8" s="29"/>
      <c r="D8" s="31">
        <f t="shared" ref="D8:E8" si="2">SUM(D5:D7)</f>
        <v>635.9793</v>
      </c>
      <c r="E8" s="32">
        <f t="shared" si="2"/>
        <v>0.3234940139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1"/>
      <c r="B9" s="7" t="s">
        <v>45</v>
      </c>
      <c r="C9" s="7" t="s">
        <v>47</v>
      </c>
      <c r="D9" s="19">
        <f>-'Management P&amp;L'!C16</f>
        <v>379.67</v>
      </c>
      <c r="E9" s="21">
        <f t="shared" ref="E9:E13" si="3">D9/D$2</f>
        <v>0.1931210218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1"/>
      <c r="B10" s="1"/>
      <c r="C10" s="7" t="s">
        <v>49</v>
      </c>
      <c r="D10" s="19">
        <f>-'Management P&amp;L'!C17</f>
        <v>82.5</v>
      </c>
      <c r="E10" s="21">
        <f t="shared" si="3"/>
        <v>0.0419640327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1"/>
      <c r="B11" s="1"/>
      <c r="C11" s="7" t="s">
        <v>50</v>
      </c>
      <c r="D11" s="19">
        <f>-'Management P&amp;L'!C18</f>
        <v>13.5</v>
      </c>
      <c r="E11" s="21">
        <f t="shared" si="3"/>
        <v>0.006866841715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1"/>
      <c r="B12" s="1"/>
      <c r="C12" s="7" t="s">
        <v>52</v>
      </c>
      <c r="D12" s="19">
        <f>-'Management P&amp;L'!D25</f>
        <v>603.21</v>
      </c>
      <c r="E12" s="21">
        <f t="shared" si="3"/>
        <v>0.3068257475</v>
      </c>
      <c r="F12" s="7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1"/>
      <c r="B13" s="1"/>
      <c r="C13" s="7" t="s">
        <v>53</v>
      </c>
      <c r="D13" s="19">
        <f>-'Management P&amp;L'!D43</f>
        <v>251.11</v>
      </c>
      <c r="E13" s="21">
        <f t="shared" si="3"/>
        <v>0.1277283425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1"/>
      <c r="B14" s="28" t="s">
        <v>44</v>
      </c>
      <c r="C14" s="29"/>
      <c r="D14" s="31">
        <f t="shared" ref="D14:E14" si="4">SUM(D9:D13)</f>
        <v>1329.99</v>
      </c>
      <c r="E14" s="32">
        <f t="shared" si="4"/>
        <v>0.6765059861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1"/>
      <c r="B15" s="38" t="s">
        <v>55</v>
      </c>
      <c r="C15" s="1"/>
      <c r="D15" s="39">
        <f t="shared" ref="D15:E15" si="5">D14+D8</f>
        <v>1965.9693</v>
      </c>
      <c r="E15" s="40">
        <f t="shared" si="5"/>
        <v>1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conditionalFormatting sqref="E5:E7 E9:E13">
    <cfRule type="colorScale" priority="1">
      <colorScale>
        <cfvo type="min"/>
        <cfvo type="max"/>
        <color rgb="FFFFFFFF"/>
        <color rgb="FFE67C73"/>
      </colorScale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64" t="s">
        <v>90</v>
      </c>
      <c r="J1" s="65"/>
      <c r="K1" s="65"/>
      <c r="L1" s="65"/>
      <c r="M1" s="65"/>
      <c r="N1" s="65"/>
      <c r="O1" s="65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J2" s="65"/>
      <c r="K2" s="65"/>
      <c r="L2" s="65"/>
      <c r="M2" s="65"/>
      <c r="N2" s="65"/>
      <c r="O2" s="65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J3" s="65"/>
      <c r="K3" s="65"/>
      <c r="L3" s="65"/>
      <c r="M3" s="65"/>
      <c r="N3" s="65"/>
      <c r="O3" s="65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65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65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65"/>
      <c r="B5" s="66" t="s">
        <v>91</v>
      </c>
      <c r="C5" s="67"/>
      <c r="D5" s="67"/>
      <c r="E5" s="67"/>
      <c r="F5" s="67"/>
      <c r="G5" s="68"/>
      <c r="H5" s="69"/>
      <c r="K5" s="1"/>
      <c r="L5" s="1"/>
      <c r="M5" s="1"/>
      <c r="N5" s="65"/>
      <c r="O5" s="65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5"/>
      <c r="B6" s="70" t="s">
        <v>92</v>
      </c>
      <c r="C6" s="71"/>
      <c r="D6" s="71"/>
      <c r="E6" s="71"/>
      <c r="F6" s="71"/>
      <c r="H6" s="72"/>
      <c r="K6" s="1"/>
      <c r="L6" s="1"/>
      <c r="M6" s="1"/>
      <c r="N6" s="65"/>
      <c r="O6" s="65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70" t="s">
        <v>93</v>
      </c>
      <c r="C7" s="71"/>
      <c r="D7" s="71"/>
      <c r="E7" s="71"/>
      <c r="F7" s="71"/>
      <c r="H7" s="72"/>
      <c r="K7" s="1"/>
      <c r="L7" s="1"/>
      <c r="M7" s="1"/>
      <c r="N7" s="65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73"/>
      <c r="B8" s="70" t="s">
        <v>94</v>
      </c>
      <c r="C8" s="71"/>
      <c r="D8" s="71"/>
      <c r="E8" s="71"/>
      <c r="F8" s="71"/>
      <c r="H8" s="7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73"/>
      <c r="B9" s="74" t="s">
        <v>95</v>
      </c>
      <c r="C9" s="75"/>
      <c r="D9" s="75"/>
      <c r="E9" s="75"/>
      <c r="F9" s="75"/>
      <c r="G9" s="76"/>
      <c r="H9" s="77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78" t="s">
        <v>96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7" t="s">
        <v>97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7" t="s">
        <v>98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78" t="s">
        <v>99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7" t="s">
        <v>100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7" t="s">
        <v>101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78" t="s">
        <v>102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7" t="s">
        <v>103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7" t="s">
        <v>104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78" t="s">
        <v>105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7" t="s">
        <v>106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7" t="s">
        <v>107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7" t="s">
        <v>108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78" t="s">
        <v>109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7" t="s">
        <v>110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7" t="s">
        <v>111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78" t="s">
        <v>112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7" t="s">
        <v>113</v>
      </c>
      <c r="C33" s="1"/>
      <c r="D33" s="1"/>
      <c r="E33" s="1"/>
      <c r="F33" s="7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7" t="s">
        <v>114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7" t="s">
        <v>115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1">
    <mergeCell ref="A1:I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0.25"/>
    <col customWidth="1" min="3" max="3" width="9.63"/>
    <col customWidth="1" min="4" max="4" width="17.5"/>
    <col customWidth="1" min="5" max="5" width="22.88"/>
    <col customWidth="1" min="6" max="6" width="13.75"/>
    <col customWidth="1" min="7" max="7" width="35.13"/>
    <col customWidth="1" min="8" max="8" width="16.75"/>
    <col customWidth="1" min="9" max="9" width="18.63"/>
    <col customWidth="1" min="10" max="10" width="16.88"/>
    <col customWidth="1" min="11" max="11" width="23.0"/>
    <col customWidth="1" min="12" max="12" width="11.13"/>
    <col customWidth="1" min="13" max="13" width="23.75"/>
    <col customWidth="1" min="15" max="15" width="12.25"/>
  </cols>
  <sheetData>
    <row r="1" ht="22.5" customHeight="1">
      <c r="A1" s="79" t="s">
        <v>116</v>
      </c>
      <c r="B1" s="80" t="s">
        <v>117</v>
      </c>
      <c r="C1" s="80" t="s">
        <v>118</v>
      </c>
      <c r="D1" s="79" t="s">
        <v>119</v>
      </c>
      <c r="E1" s="79" t="s">
        <v>120</v>
      </c>
      <c r="F1" s="80" t="s">
        <v>121</v>
      </c>
      <c r="G1" s="79" t="s">
        <v>122</v>
      </c>
      <c r="H1" s="79" t="s">
        <v>123</v>
      </c>
      <c r="I1" s="81" t="s">
        <v>124</v>
      </c>
      <c r="J1" s="81" t="s">
        <v>125</v>
      </c>
      <c r="K1" s="81" t="s">
        <v>126</v>
      </c>
      <c r="L1" s="80" t="s">
        <v>127</v>
      </c>
      <c r="M1" s="82" t="s">
        <v>128</v>
      </c>
    </row>
    <row r="2" ht="22.5" customHeight="1">
      <c r="A2" s="83">
        <v>46179.0</v>
      </c>
      <c r="B2" s="84" t="str">
        <f t="shared" ref="B2:B1393" si="1">text(A2,"mmm yyyy")</f>
        <v>Jun 2026</v>
      </c>
      <c r="C2" s="84">
        <f t="shared" ref="C2:C1393" si="2">weeknum(A2)</f>
        <v>23</v>
      </c>
      <c r="D2" s="85" t="s">
        <v>129</v>
      </c>
      <c r="E2" s="85" t="s">
        <v>130</v>
      </c>
      <c r="F2" s="86" t="s">
        <v>131</v>
      </c>
      <c r="G2" s="87" t="s">
        <v>132</v>
      </c>
      <c r="H2" s="88">
        <f t="shared" ref="H2:H1393" si="3">SUM(I2+J2+K2)</f>
        <v>1.1</v>
      </c>
      <c r="I2" s="89">
        <v>1.0</v>
      </c>
      <c r="J2" s="89"/>
      <c r="K2" s="89">
        <f t="shared" ref="K2:K1393" si="4">I2/10</f>
        <v>0.1</v>
      </c>
      <c r="L2" s="86">
        <v>1.0</v>
      </c>
      <c r="M2" s="85" t="s">
        <v>133</v>
      </c>
      <c r="O2" s="90"/>
    </row>
    <row r="3" ht="22.5" customHeight="1">
      <c r="A3" s="83">
        <v>46179.0</v>
      </c>
      <c r="B3" s="84" t="str">
        <f t="shared" si="1"/>
        <v>Jun 2026</v>
      </c>
      <c r="C3" s="84">
        <f t="shared" si="2"/>
        <v>23</v>
      </c>
      <c r="D3" s="85" t="s">
        <v>129</v>
      </c>
      <c r="E3" s="85" t="s">
        <v>130</v>
      </c>
      <c r="F3" s="86" t="s">
        <v>131</v>
      </c>
      <c r="G3" s="87" t="s">
        <v>132</v>
      </c>
      <c r="H3" s="88">
        <f t="shared" si="3"/>
        <v>1.1</v>
      </c>
      <c r="I3" s="89">
        <v>1.0</v>
      </c>
      <c r="J3" s="89"/>
      <c r="K3" s="89">
        <f t="shared" si="4"/>
        <v>0.1</v>
      </c>
      <c r="L3" s="84">
        <f t="shared" ref="L3:L1393" si="5">L2+1</f>
        <v>2</v>
      </c>
      <c r="M3" s="85" t="s">
        <v>133</v>
      </c>
    </row>
    <row r="4" ht="22.5" customHeight="1">
      <c r="A4" s="83">
        <v>46179.0</v>
      </c>
      <c r="B4" s="84" t="str">
        <f t="shared" si="1"/>
        <v>Jun 2026</v>
      </c>
      <c r="C4" s="84">
        <f t="shared" si="2"/>
        <v>23</v>
      </c>
      <c r="D4" s="85" t="s">
        <v>129</v>
      </c>
      <c r="E4" s="85" t="s">
        <v>130</v>
      </c>
      <c r="F4" s="86" t="s">
        <v>131</v>
      </c>
      <c r="G4" s="87" t="s">
        <v>132</v>
      </c>
      <c r="H4" s="88">
        <f t="shared" si="3"/>
        <v>1.1</v>
      </c>
      <c r="I4" s="89">
        <v>1.0</v>
      </c>
      <c r="J4" s="89"/>
      <c r="K4" s="89">
        <f t="shared" si="4"/>
        <v>0.1</v>
      </c>
      <c r="L4" s="84">
        <f t="shared" si="5"/>
        <v>3</v>
      </c>
      <c r="M4" s="85" t="s">
        <v>133</v>
      </c>
    </row>
    <row r="5" ht="22.5" customHeight="1">
      <c r="A5" s="83">
        <v>46179.0</v>
      </c>
      <c r="B5" s="84" t="str">
        <f t="shared" si="1"/>
        <v>Jun 2026</v>
      </c>
      <c r="C5" s="84">
        <f t="shared" si="2"/>
        <v>23</v>
      </c>
      <c r="D5" s="85" t="s">
        <v>129</v>
      </c>
      <c r="E5" s="85" t="s">
        <v>130</v>
      </c>
      <c r="F5" s="86" t="s">
        <v>131</v>
      </c>
      <c r="G5" s="87" t="s">
        <v>132</v>
      </c>
      <c r="H5" s="88">
        <f t="shared" si="3"/>
        <v>1.1</v>
      </c>
      <c r="I5" s="89">
        <v>1.0</v>
      </c>
      <c r="J5" s="89"/>
      <c r="K5" s="89">
        <f t="shared" si="4"/>
        <v>0.1</v>
      </c>
      <c r="L5" s="84">
        <f t="shared" si="5"/>
        <v>4</v>
      </c>
      <c r="M5" s="85" t="s">
        <v>133</v>
      </c>
    </row>
    <row r="6" ht="22.5" customHeight="1">
      <c r="A6" s="83">
        <v>46179.0</v>
      </c>
      <c r="B6" s="84" t="str">
        <f t="shared" si="1"/>
        <v>Jun 2026</v>
      </c>
      <c r="C6" s="84">
        <f t="shared" si="2"/>
        <v>23</v>
      </c>
      <c r="D6" s="85" t="s">
        <v>129</v>
      </c>
      <c r="E6" s="85" t="s">
        <v>130</v>
      </c>
      <c r="F6" s="86" t="s">
        <v>131</v>
      </c>
      <c r="G6" s="87" t="s">
        <v>132</v>
      </c>
      <c r="H6" s="88">
        <f t="shared" si="3"/>
        <v>1.1</v>
      </c>
      <c r="I6" s="89">
        <v>1.0</v>
      </c>
      <c r="J6" s="89"/>
      <c r="K6" s="89">
        <f t="shared" si="4"/>
        <v>0.1</v>
      </c>
      <c r="L6" s="84">
        <f t="shared" si="5"/>
        <v>5</v>
      </c>
      <c r="M6" s="85" t="s">
        <v>133</v>
      </c>
    </row>
    <row r="7" ht="22.5" customHeight="1">
      <c r="A7" s="83">
        <v>46179.0</v>
      </c>
      <c r="B7" s="84" t="str">
        <f t="shared" si="1"/>
        <v>Jun 2026</v>
      </c>
      <c r="C7" s="84">
        <f t="shared" si="2"/>
        <v>23</v>
      </c>
      <c r="D7" s="85" t="s">
        <v>129</v>
      </c>
      <c r="E7" s="85" t="s">
        <v>130</v>
      </c>
      <c r="F7" s="86" t="s">
        <v>131</v>
      </c>
      <c r="G7" s="87" t="s">
        <v>132</v>
      </c>
      <c r="H7" s="88">
        <f t="shared" si="3"/>
        <v>1.1</v>
      </c>
      <c r="I7" s="89">
        <v>1.0</v>
      </c>
      <c r="J7" s="89"/>
      <c r="K7" s="89">
        <f t="shared" si="4"/>
        <v>0.1</v>
      </c>
      <c r="L7" s="84">
        <f t="shared" si="5"/>
        <v>6</v>
      </c>
      <c r="M7" s="85" t="s">
        <v>133</v>
      </c>
    </row>
    <row r="8" ht="22.5" customHeight="1">
      <c r="A8" s="83">
        <v>46179.0</v>
      </c>
      <c r="B8" s="84" t="str">
        <f t="shared" si="1"/>
        <v>Jun 2026</v>
      </c>
      <c r="C8" s="84">
        <f t="shared" si="2"/>
        <v>23</v>
      </c>
      <c r="D8" s="85" t="s">
        <v>129</v>
      </c>
      <c r="E8" s="85" t="s">
        <v>130</v>
      </c>
      <c r="F8" s="86" t="s">
        <v>131</v>
      </c>
      <c r="G8" s="87" t="s">
        <v>132</v>
      </c>
      <c r="H8" s="88">
        <f t="shared" si="3"/>
        <v>1.1</v>
      </c>
      <c r="I8" s="89">
        <v>1.0</v>
      </c>
      <c r="J8" s="89"/>
      <c r="K8" s="89">
        <f t="shared" si="4"/>
        <v>0.1</v>
      </c>
      <c r="L8" s="84">
        <f t="shared" si="5"/>
        <v>7</v>
      </c>
      <c r="M8" s="85" t="s">
        <v>133</v>
      </c>
    </row>
    <row r="9" ht="22.5" customHeight="1">
      <c r="A9" s="83">
        <v>46179.0</v>
      </c>
      <c r="B9" s="84" t="str">
        <f t="shared" si="1"/>
        <v>Jun 2026</v>
      </c>
      <c r="C9" s="84">
        <f t="shared" si="2"/>
        <v>23</v>
      </c>
      <c r="D9" s="85" t="s">
        <v>129</v>
      </c>
      <c r="E9" s="85" t="s">
        <v>130</v>
      </c>
      <c r="F9" s="86" t="s">
        <v>131</v>
      </c>
      <c r="G9" s="87" t="s">
        <v>132</v>
      </c>
      <c r="H9" s="88">
        <f t="shared" si="3"/>
        <v>1.1</v>
      </c>
      <c r="I9" s="89">
        <v>1.0</v>
      </c>
      <c r="J9" s="89"/>
      <c r="K9" s="89">
        <f t="shared" si="4"/>
        <v>0.1</v>
      </c>
      <c r="L9" s="84">
        <f t="shared" si="5"/>
        <v>8</v>
      </c>
      <c r="M9" s="85" t="s">
        <v>133</v>
      </c>
    </row>
    <row r="10" ht="22.5" customHeight="1">
      <c r="A10" s="83">
        <v>46179.0</v>
      </c>
      <c r="B10" s="84" t="str">
        <f t="shared" si="1"/>
        <v>Jun 2026</v>
      </c>
      <c r="C10" s="84">
        <f t="shared" si="2"/>
        <v>23</v>
      </c>
      <c r="D10" s="85" t="s">
        <v>129</v>
      </c>
      <c r="E10" s="85" t="s">
        <v>130</v>
      </c>
      <c r="F10" s="86" t="s">
        <v>131</v>
      </c>
      <c r="G10" s="87" t="s">
        <v>132</v>
      </c>
      <c r="H10" s="88">
        <f t="shared" si="3"/>
        <v>1.1</v>
      </c>
      <c r="I10" s="89">
        <v>1.0</v>
      </c>
      <c r="J10" s="89"/>
      <c r="K10" s="89">
        <f t="shared" si="4"/>
        <v>0.1</v>
      </c>
      <c r="L10" s="84">
        <f t="shared" si="5"/>
        <v>9</v>
      </c>
      <c r="M10" s="85" t="s">
        <v>133</v>
      </c>
    </row>
    <row r="11" ht="22.5" customHeight="1">
      <c r="A11" s="83">
        <v>46179.0</v>
      </c>
      <c r="B11" s="84" t="str">
        <f t="shared" si="1"/>
        <v>Jun 2026</v>
      </c>
      <c r="C11" s="84">
        <f t="shared" si="2"/>
        <v>23</v>
      </c>
      <c r="D11" s="85" t="s">
        <v>129</v>
      </c>
      <c r="E11" s="85" t="s">
        <v>130</v>
      </c>
      <c r="F11" s="86" t="s">
        <v>131</v>
      </c>
      <c r="G11" s="87" t="s">
        <v>132</v>
      </c>
      <c r="H11" s="88">
        <f t="shared" si="3"/>
        <v>1.1</v>
      </c>
      <c r="I11" s="89">
        <v>1.0</v>
      </c>
      <c r="J11" s="89"/>
      <c r="K11" s="89">
        <f t="shared" si="4"/>
        <v>0.1</v>
      </c>
      <c r="L11" s="84">
        <f t="shared" si="5"/>
        <v>10</v>
      </c>
      <c r="M11" s="85" t="s">
        <v>133</v>
      </c>
    </row>
    <row r="12" ht="22.5" customHeight="1">
      <c r="A12" s="83">
        <v>46179.0</v>
      </c>
      <c r="B12" s="84" t="str">
        <f t="shared" si="1"/>
        <v>Jun 2026</v>
      </c>
      <c r="C12" s="84">
        <f t="shared" si="2"/>
        <v>23</v>
      </c>
      <c r="D12" s="85" t="s">
        <v>129</v>
      </c>
      <c r="E12" s="85" t="s">
        <v>130</v>
      </c>
      <c r="F12" s="86" t="s">
        <v>131</v>
      </c>
      <c r="G12" s="87" t="s">
        <v>132</v>
      </c>
      <c r="H12" s="88">
        <f t="shared" si="3"/>
        <v>1.1</v>
      </c>
      <c r="I12" s="89">
        <v>1.0</v>
      </c>
      <c r="J12" s="89"/>
      <c r="K12" s="89">
        <f t="shared" si="4"/>
        <v>0.1</v>
      </c>
      <c r="L12" s="84">
        <f t="shared" si="5"/>
        <v>11</v>
      </c>
      <c r="M12" s="85" t="s">
        <v>133</v>
      </c>
    </row>
    <row r="13" ht="22.5" customHeight="1">
      <c r="A13" s="83">
        <v>46179.0</v>
      </c>
      <c r="B13" s="84" t="str">
        <f t="shared" si="1"/>
        <v>Jun 2026</v>
      </c>
      <c r="C13" s="84">
        <f t="shared" si="2"/>
        <v>23</v>
      </c>
      <c r="D13" s="85" t="s">
        <v>129</v>
      </c>
      <c r="E13" s="85" t="s">
        <v>130</v>
      </c>
      <c r="F13" s="86" t="s">
        <v>131</v>
      </c>
      <c r="G13" s="87" t="s">
        <v>132</v>
      </c>
      <c r="H13" s="88">
        <f t="shared" si="3"/>
        <v>1.1</v>
      </c>
      <c r="I13" s="89">
        <v>1.0</v>
      </c>
      <c r="J13" s="89"/>
      <c r="K13" s="89">
        <f t="shared" si="4"/>
        <v>0.1</v>
      </c>
      <c r="L13" s="84">
        <f t="shared" si="5"/>
        <v>12</v>
      </c>
      <c r="M13" s="85" t="s">
        <v>133</v>
      </c>
    </row>
    <row r="14" ht="22.5" customHeight="1">
      <c r="A14" s="83">
        <v>46179.0</v>
      </c>
      <c r="B14" s="84" t="str">
        <f t="shared" si="1"/>
        <v>Jun 2026</v>
      </c>
      <c r="C14" s="84">
        <f t="shared" si="2"/>
        <v>23</v>
      </c>
      <c r="D14" s="85" t="s">
        <v>129</v>
      </c>
      <c r="E14" s="85" t="s">
        <v>130</v>
      </c>
      <c r="F14" s="86" t="s">
        <v>131</v>
      </c>
      <c r="G14" s="87" t="s">
        <v>132</v>
      </c>
      <c r="H14" s="88">
        <f t="shared" si="3"/>
        <v>1.1</v>
      </c>
      <c r="I14" s="89">
        <v>1.0</v>
      </c>
      <c r="J14" s="89"/>
      <c r="K14" s="89">
        <f t="shared" si="4"/>
        <v>0.1</v>
      </c>
      <c r="L14" s="84">
        <f t="shared" si="5"/>
        <v>13</v>
      </c>
      <c r="M14" s="85" t="s">
        <v>133</v>
      </c>
    </row>
    <row r="15" ht="22.5" customHeight="1">
      <c r="A15" s="83">
        <v>46179.0</v>
      </c>
      <c r="B15" s="84" t="str">
        <f t="shared" si="1"/>
        <v>Jun 2026</v>
      </c>
      <c r="C15" s="84">
        <f t="shared" si="2"/>
        <v>23</v>
      </c>
      <c r="D15" s="85" t="s">
        <v>129</v>
      </c>
      <c r="E15" s="85" t="s">
        <v>130</v>
      </c>
      <c r="F15" s="86" t="s">
        <v>131</v>
      </c>
      <c r="G15" s="87" t="s">
        <v>132</v>
      </c>
      <c r="H15" s="88">
        <f t="shared" si="3"/>
        <v>1.1</v>
      </c>
      <c r="I15" s="89">
        <v>1.0</v>
      </c>
      <c r="J15" s="89"/>
      <c r="K15" s="89">
        <f t="shared" si="4"/>
        <v>0.1</v>
      </c>
      <c r="L15" s="84">
        <f t="shared" si="5"/>
        <v>14</v>
      </c>
      <c r="M15" s="85" t="s">
        <v>133</v>
      </c>
    </row>
    <row r="16" ht="22.5" customHeight="1">
      <c r="A16" s="83">
        <v>46179.0</v>
      </c>
      <c r="B16" s="84" t="str">
        <f t="shared" si="1"/>
        <v>Jun 2026</v>
      </c>
      <c r="C16" s="84">
        <f t="shared" si="2"/>
        <v>23</v>
      </c>
      <c r="D16" s="85" t="s">
        <v>129</v>
      </c>
      <c r="E16" s="85" t="s">
        <v>130</v>
      </c>
      <c r="F16" s="86" t="s">
        <v>131</v>
      </c>
      <c r="G16" s="87" t="s">
        <v>132</v>
      </c>
      <c r="H16" s="88">
        <f t="shared" si="3"/>
        <v>1.1</v>
      </c>
      <c r="I16" s="89">
        <v>1.0</v>
      </c>
      <c r="J16" s="89"/>
      <c r="K16" s="89">
        <f t="shared" si="4"/>
        <v>0.1</v>
      </c>
      <c r="L16" s="84">
        <f t="shared" si="5"/>
        <v>15</v>
      </c>
      <c r="M16" s="85" t="s">
        <v>133</v>
      </c>
    </row>
    <row r="17" ht="22.5" customHeight="1">
      <c r="A17" s="83">
        <v>46180.0</v>
      </c>
      <c r="B17" s="84" t="str">
        <f t="shared" si="1"/>
        <v>Jun 2026</v>
      </c>
      <c r="C17" s="84">
        <f t="shared" si="2"/>
        <v>24</v>
      </c>
      <c r="D17" s="85" t="s">
        <v>129</v>
      </c>
      <c r="E17" s="85" t="s">
        <v>130</v>
      </c>
      <c r="F17" s="86" t="s">
        <v>131</v>
      </c>
      <c r="G17" s="87" t="s">
        <v>132</v>
      </c>
      <c r="H17" s="88">
        <f t="shared" si="3"/>
        <v>1.1</v>
      </c>
      <c r="I17" s="89">
        <v>1.0</v>
      </c>
      <c r="J17" s="89"/>
      <c r="K17" s="89">
        <f t="shared" si="4"/>
        <v>0.1</v>
      </c>
      <c r="L17" s="84">
        <f t="shared" si="5"/>
        <v>16</v>
      </c>
      <c r="M17" s="85" t="s">
        <v>133</v>
      </c>
    </row>
    <row r="18" ht="22.5" customHeight="1">
      <c r="A18" s="83">
        <v>46180.0</v>
      </c>
      <c r="B18" s="84" t="str">
        <f t="shared" si="1"/>
        <v>Jun 2026</v>
      </c>
      <c r="C18" s="84">
        <f t="shared" si="2"/>
        <v>24</v>
      </c>
      <c r="D18" s="85" t="s">
        <v>129</v>
      </c>
      <c r="E18" s="85" t="s">
        <v>130</v>
      </c>
      <c r="F18" s="86" t="s">
        <v>131</v>
      </c>
      <c r="G18" s="87" t="s">
        <v>132</v>
      </c>
      <c r="H18" s="88">
        <f t="shared" si="3"/>
        <v>1.1</v>
      </c>
      <c r="I18" s="89">
        <v>1.0</v>
      </c>
      <c r="J18" s="89"/>
      <c r="K18" s="89">
        <f t="shared" si="4"/>
        <v>0.1</v>
      </c>
      <c r="L18" s="84">
        <f t="shared" si="5"/>
        <v>17</v>
      </c>
      <c r="M18" s="85" t="s">
        <v>133</v>
      </c>
    </row>
    <row r="19" ht="22.5" customHeight="1">
      <c r="A19" s="83">
        <v>46180.0</v>
      </c>
      <c r="B19" s="84" t="str">
        <f t="shared" si="1"/>
        <v>Jun 2026</v>
      </c>
      <c r="C19" s="84">
        <f t="shared" si="2"/>
        <v>24</v>
      </c>
      <c r="D19" s="85" t="s">
        <v>129</v>
      </c>
      <c r="E19" s="85" t="s">
        <v>130</v>
      </c>
      <c r="F19" s="86" t="s">
        <v>131</v>
      </c>
      <c r="G19" s="87" t="s">
        <v>132</v>
      </c>
      <c r="H19" s="88">
        <f t="shared" si="3"/>
        <v>1.1</v>
      </c>
      <c r="I19" s="89">
        <v>1.0</v>
      </c>
      <c r="J19" s="89"/>
      <c r="K19" s="89">
        <f t="shared" si="4"/>
        <v>0.1</v>
      </c>
      <c r="L19" s="84">
        <f t="shared" si="5"/>
        <v>18</v>
      </c>
      <c r="M19" s="85" t="s">
        <v>133</v>
      </c>
    </row>
    <row r="20" ht="22.5" customHeight="1">
      <c r="A20" s="83">
        <v>46180.0</v>
      </c>
      <c r="B20" s="84" t="str">
        <f t="shared" si="1"/>
        <v>Jun 2026</v>
      </c>
      <c r="C20" s="84">
        <f t="shared" si="2"/>
        <v>24</v>
      </c>
      <c r="D20" s="85" t="s">
        <v>129</v>
      </c>
      <c r="E20" s="85" t="s">
        <v>130</v>
      </c>
      <c r="F20" s="86" t="s">
        <v>131</v>
      </c>
      <c r="G20" s="87" t="s">
        <v>132</v>
      </c>
      <c r="H20" s="88">
        <f t="shared" si="3"/>
        <v>1.1</v>
      </c>
      <c r="I20" s="89">
        <v>1.0</v>
      </c>
      <c r="J20" s="89"/>
      <c r="K20" s="89">
        <f t="shared" si="4"/>
        <v>0.1</v>
      </c>
      <c r="L20" s="84">
        <f t="shared" si="5"/>
        <v>19</v>
      </c>
      <c r="M20" s="85" t="s">
        <v>133</v>
      </c>
    </row>
    <row r="21" ht="22.5" customHeight="1">
      <c r="A21" s="83">
        <v>46180.0</v>
      </c>
      <c r="B21" s="84" t="str">
        <f t="shared" si="1"/>
        <v>Jun 2026</v>
      </c>
      <c r="C21" s="84">
        <f t="shared" si="2"/>
        <v>24</v>
      </c>
      <c r="D21" s="85" t="s">
        <v>129</v>
      </c>
      <c r="E21" s="85" t="s">
        <v>130</v>
      </c>
      <c r="F21" s="86" t="s">
        <v>131</v>
      </c>
      <c r="G21" s="87" t="s">
        <v>132</v>
      </c>
      <c r="H21" s="88">
        <f t="shared" si="3"/>
        <v>1.1</v>
      </c>
      <c r="I21" s="89">
        <v>1.0</v>
      </c>
      <c r="J21" s="89"/>
      <c r="K21" s="89">
        <f t="shared" si="4"/>
        <v>0.1</v>
      </c>
      <c r="L21" s="84">
        <f t="shared" si="5"/>
        <v>20</v>
      </c>
      <c r="M21" s="85" t="s">
        <v>133</v>
      </c>
    </row>
    <row r="22" ht="22.5" customHeight="1">
      <c r="A22" s="83">
        <v>46180.0</v>
      </c>
      <c r="B22" s="84" t="str">
        <f t="shared" si="1"/>
        <v>Jun 2026</v>
      </c>
      <c r="C22" s="84">
        <f t="shared" si="2"/>
        <v>24</v>
      </c>
      <c r="D22" s="85" t="s">
        <v>129</v>
      </c>
      <c r="E22" s="85" t="s">
        <v>130</v>
      </c>
      <c r="F22" s="86" t="s">
        <v>131</v>
      </c>
      <c r="G22" s="87" t="s">
        <v>132</v>
      </c>
      <c r="H22" s="88">
        <f t="shared" si="3"/>
        <v>1.1</v>
      </c>
      <c r="I22" s="89">
        <v>1.0</v>
      </c>
      <c r="J22" s="89"/>
      <c r="K22" s="89">
        <f t="shared" si="4"/>
        <v>0.1</v>
      </c>
      <c r="L22" s="84">
        <f t="shared" si="5"/>
        <v>21</v>
      </c>
      <c r="M22" s="85" t="s">
        <v>133</v>
      </c>
    </row>
    <row r="23" ht="22.5" customHeight="1">
      <c r="A23" s="83">
        <v>46180.0</v>
      </c>
      <c r="B23" s="84" t="str">
        <f t="shared" si="1"/>
        <v>Jun 2026</v>
      </c>
      <c r="C23" s="84">
        <f t="shared" si="2"/>
        <v>24</v>
      </c>
      <c r="D23" s="85" t="s">
        <v>129</v>
      </c>
      <c r="E23" s="85" t="s">
        <v>130</v>
      </c>
      <c r="F23" s="86" t="s">
        <v>131</v>
      </c>
      <c r="G23" s="87" t="s">
        <v>132</v>
      </c>
      <c r="H23" s="88">
        <f t="shared" si="3"/>
        <v>1.1</v>
      </c>
      <c r="I23" s="89">
        <v>1.0</v>
      </c>
      <c r="J23" s="89"/>
      <c r="K23" s="89">
        <f t="shared" si="4"/>
        <v>0.1</v>
      </c>
      <c r="L23" s="84">
        <f t="shared" si="5"/>
        <v>22</v>
      </c>
      <c r="M23" s="85" t="s">
        <v>133</v>
      </c>
    </row>
    <row r="24" ht="22.5" customHeight="1">
      <c r="A24" s="83">
        <v>46180.0</v>
      </c>
      <c r="B24" s="84" t="str">
        <f t="shared" si="1"/>
        <v>Jun 2026</v>
      </c>
      <c r="C24" s="84">
        <f t="shared" si="2"/>
        <v>24</v>
      </c>
      <c r="D24" s="85" t="s">
        <v>129</v>
      </c>
      <c r="E24" s="85" t="s">
        <v>130</v>
      </c>
      <c r="F24" s="86" t="s">
        <v>131</v>
      </c>
      <c r="G24" s="87" t="s">
        <v>132</v>
      </c>
      <c r="H24" s="88">
        <f t="shared" si="3"/>
        <v>1.1</v>
      </c>
      <c r="I24" s="89">
        <v>1.0</v>
      </c>
      <c r="J24" s="89"/>
      <c r="K24" s="89">
        <f t="shared" si="4"/>
        <v>0.1</v>
      </c>
      <c r="L24" s="84">
        <f t="shared" si="5"/>
        <v>23</v>
      </c>
      <c r="M24" s="85" t="s">
        <v>133</v>
      </c>
    </row>
    <row r="25" ht="22.5" customHeight="1">
      <c r="A25" s="83">
        <v>46180.0</v>
      </c>
      <c r="B25" s="84" t="str">
        <f t="shared" si="1"/>
        <v>Jun 2026</v>
      </c>
      <c r="C25" s="84">
        <f t="shared" si="2"/>
        <v>24</v>
      </c>
      <c r="D25" s="85" t="s">
        <v>129</v>
      </c>
      <c r="E25" s="85" t="s">
        <v>130</v>
      </c>
      <c r="F25" s="86" t="s">
        <v>131</v>
      </c>
      <c r="G25" s="87" t="s">
        <v>132</v>
      </c>
      <c r="H25" s="88">
        <f t="shared" si="3"/>
        <v>1.1</v>
      </c>
      <c r="I25" s="89">
        <v>1.0</v>
      </c>
      <c r="J25" s="89"/>
      <c r="K25" s="89">
        <f t="shared" si="4"/>
        <v>0.1</v>
      </c>
      <c r="L25" s="84">
        <f t="shared" si="5"/>
        <v>24</v>
      </c>
      <c r="M25" s="85" t="s">
        <v>133</v>
      </c>
    </row>
    <row r="26" ht="22.5" customHeight="1">
      <c r="A26" s="83">
        <v>46180.0</v>
      </c>
      <c r="B26" s="84" t="str">
        <f t="shared" si="1"/>
        <v>Jun 2026</v>
      </c>
      <c r="C26" s="84">
        <f t="shared" si="2"/>
        <v>24</v>
      </c>
      <c r="D26" s="85" t="s">
        <v>129</v>
      </c>
      <c r="E26" s="85" t="s">
        <v>130</v>
      </c>
      <c r="F26" s="86" t="s">
        <v>131</v>
      </c>
      <c r="G26" s="87" t="s">
        <v>132</v>
      </c>
      <c r="H26" s="88">
        <f t="shared" si="3"/>
        <v>1.1</v>
      </c>
      <c r="I26" s="89">
        <v>1.0</v>
      </c>
      <c r="J26" s="89"/>
      <c r="K26" s="89">
        <f t="shared" si="4"/>
        <v>0.1</v>
      </c>
      <c r="L26" s="84">
        <f t="shared" si="5"/>
        <v>25</v>
      </c>
      <c r="M26" s="85" t="s">
        <v>133</v>
      </c>
    </row>
    <row r="27" ht="22.5" customHeight="1">
      <c r="A27" s="83">
        <v>46180.0</v>
      </c>
      <c r="B27" s="84" t="str">
        <f t="shared" si="1"/>
        <v>Jun 2026</v>
      </c>
      <c r="C27" s="84">
        <f t="shared" si="2"/>
        <v>24</v>
      </c>
      <c r="D27" s="85" t="s">
        <v>129</v>
      </c>
      <c r="E27" s="85" t="s">
        <v>130</v>
      </c>
      <c r="F27" s="86" t="s">
        <v>131</v>
      </c>
      <c r="G27" s="87" t="s">
        <v>132</v>
      </c>
      <c r="H27" s="88">
        <f t="shared" si="3"/>
        <v>1.1</v>
      </c>
      <c r="I27" s="89">
        <v>1.0</v>
      </c>
      <c r="J27" s="89"/>
      <c r="K27" s="89">
        <f t="shared" si="4"/>
        <v>0.1</v>
      </c>
      <c r="L27" s="84">
        <f t="shared" si="5"/>
        <v>26</v>
      </c>
      <c r="M27" s="85" t="s">
        <v>133</v>
      </c>
    </row>
    <row r="28" ht="22.5" customHeight="1">
      <c r="A28" s="83">
        <v>46180.0</v>
      </c>
      <c r="B28" s="84" t="str">
        <f t="shared" si="1"/>
        <v>Jun 2026</v>
      </c>
      <c r="C28" s="84">
        <f t="shared" si="2"/>
        <v>24</v>
      </c>
      <c r="D28" s="85" t="s">
        <v>129</v>
      </c>
      <c r="E28" s="85" t="s">
        <v>130</v>
      </c>
      <c r="F28" s="86" t="s">
        <v>131</v>
      </c>
      <c r="G28" s="87" t="s">
        <v>132</v>
      </c>
      <c r="H28" s="88">
        <f t="shared" si="3"/>
        <v>1.1</v>
      </c>
      <c r="I28" s="89">
        <v>1.0</v>
      </c>
      <c r="J28" s="89"/>
      <c r="K28" s="89">
        <f t="shared" si="4"/>
        <v>0.1</v>
      </c>
      <c r="L28" s="84">
        <f t="shared" si="5"/>
        <v>27</v>
      </c>
      <c r="M28" s="85" t="s">
        <v>133</v>
      </c>
    </row>
    <row r="29" ht="22.5" customHeight="1">
      <c r="A29" s="83">
        <v>46180.0</v>
      </c>
      <c r="B29" s="84" t="str">
        <f t="shared" si="1"/>
        <v>Jun 2026</v>
      </c>
      <c r="C29" s="84">
        <f t="shared" si="2"/>
        <v>24</v>
      </c>
      <c r="D29" s="85" t="s">
        <v>129</v>
      </c>
      <c r="E29" s="85" t="s">
        <v>130</v>
      </c>
      <c r="F29" s="86" t="s">
        <v>131</v>
      </c>
      <c r="G29" s="87" t="s">
        <v>132</v>
      </c>
      <c r="H29" s="88">
        <f t="shared" si="3"/>
        <v>1.1</v>
      </c>
      <c r="I29" s="89">
        <v>1.0</v>
      </c>
      <c r="J29" s="89"/>
      <c r="K29" s="89">
        <f t="shared" si="4"/>
        <v>0.1</v>
      </c>
      <c r="L29" s="84">
        <f t="shared" si="5"/>
        <v>28</v>
      </c>
      <c r="M29" s="85" t="s">
        <v>133</v>
      </c>
    </row>
    <row r="30" ht="22.5" customHeight="1">
      <c r="A30" s="83">
        <v>46180.0</v>
      </c>
      <c r="B30" s="84" t="str">
        <f t="shared" si="1"/>
        <v>Jun 2026</v>
      </c>
      <c r="C30" s="84">
        <f t="shared" si="2"/>
        <v>24</v>
      </c>
      <c r="D30" s="85" t="s">
        <v>129</v>
      </c>
      <c r="E30" s="85" t="s">
        <v>130</v>
      </c>
      <c r="F30" s="86" t="s">
        <v>131</v>
      </c>
      <c r="G30" s="87" t="s">
        <v>132</v>
      </c>
      <c r="H30" s="88">
        <f t="shared" si="3"/>
        <v>1.1</v>
      </c>
      <c r="I30" s="89">
        <v>1.0</v>
      </c>
      <c r="J30" s="89"/>
      <c r="K30" s="89">
        <f t="shared" si="4"/>
        <v>0.1</v>
      </c>
      <c r="L30" s="84">
        <f t="shared" si="5"/>
        <v>29</v>
      </c>
      <c r="M30" s="85" t="s">
        <v>133</v>
      </c>
    </row>
    <row r="31" ht="22.5" customHeight="1">
      <c r="A31" s="83">
        <v>46180.0</v>
      </c>
      <c r="B31" s="84" t="str">
        <f t="shared" si="1"/>
        <v>Jun 2026</v>
      </c>
      <c r="C31" s="84">
        <f t="shared" si="2"/>
        <v>24</v>
      </c>
      <c r="D31" s="85" t="s">
        <v>129</v>
      </c>
      <c r="E31" s="85" t="s">
        <v>130</v>
      </c>
      <c r="F31" s="86" t="s">
        <v>131</v>
      </c>
      <c r="G31" s="87" t="s">
        <v>132</v>
      </c>
      <c r="H31" s="88">
        <f t="shared" si="3"/>
        <v>1.1</v>
      </c>
      <c r="I31" s="89">
        <v>1.0</v>
      </c>
      <c r="J31" s="89"/>
      <c r="K31" s="89">
        <f t="shared" si="4"/>
        <v>0.1</v>
      </c>
      <c r="L31" s="84">
        <f t="shared" si="5"/>
        <v>30</v>
      </c>
      <c r="M31" s="85" t="s">
        <v>133</v>
      </c>
    </row>
    <row r="32" ht="22.5" customHeight="1">
      <c r="A32" s="83">
        <v>46180.0</v>
      </c>
      <c r="B32" s="84" t="str">
        <f t="shared" si="1"/>
        <v>Jun 2026</v>
      </c>
      <c r="C32" s="84">
        <f t="shared" si="2"/>
        <v>24</v>
      </c>
      <c r="D32" s="85" t="s">
        <v>129</v>
      </c>
      <c r="E32" s="85" t="s">
        <v>130</v>
      </c>
      <c r="F32" s="86" t="s">
        <v>131</v>
      </c>
      <c r="G32" s="87" t="s">
        <v>132</v>
      </c>
      <c r="H32" s="88">
        <f t="shared" si="3"/>
        <v>1.1</v>
      </c>
      <c r="I32" s="89">
        <v>1.0</v>
      </c>
      <c r="J32" s="89"/>
      <c r="K32" s="89">
        <f t="shared" si="4"/>
        <v>0.1</v>
      </c>
      <c r="L32" s="84">
        <f t="shared" si="5"/>
        <v>31</v>
      </c>
      <c r="M32" s="85" t="s">
        <v>133</v>
      </c>
    </row>
    <row r="33" ht="22.5" customHeight="1">
      <c r="A33" s="83">
        <v>46181.0</v>
      </c>
      <c r="B33" s="84" t="str">
        <f t="shared" si="1"/>
        <v>Jun 2026</v>
      </c>
      <c r="C33" s="84">
        <f t="shared" si="2"/>
        <v>24</v>
      </c>
      <c r="D33" s="85" t="s">
        <v>129</v>
      </c>
      <c r="E33" s="85" t="s">
        <v>130</v>
      </c>
      <c r="F33" s="86" t="s">
        <v>134</v>
      </c>
      <c r="G33" s="87" t="s">
        <v>135</v>
      </c>
      <c r="H33" s="88">
        <f t="shared" si="3"/>
        <v>1.1</v>
      </c>
      <c r="I33" s="89">
        <v>1.0</v>
      </c>
      <c r="J33" s="89"/>
      <c r="K33" s="89">
        <f t="shared" si="4"/>
        <v>0.1</v>
      </c>
      <c r="L33" s="84">
        <f t="shared" si="5"/>
        <v>32</v>
      </c>
      <c r="M33" s="85" t="s">
        <v>133</v>
      </c>
    </row>
    <row r="34" ht="22.5" customHeight="1">
      <c r="A34" s="83">
        <v>46181.0</v>
      </c>
      <c r="B34" s="84" t="str">
        <f t="shared" si="1"/>
        <v>Jun 2026</v>
      </c>
      <c r="C34" s="84">
        <f t="shared" si="2"/>
        <v>24</v>
      </c>
      <c r="D34" s="85" t="s">
        <v>129</v>
      </c>
      <c r="E34" s="85" t="s">
        <v>130</v>
      </c>
      <c r="F34" s="86" t="s">
        <v>134</v>
      </c>
      <c r="G34" s="87" t="s">
        <v>135</v>
      </c>
      <c r="H34" s="88">
        <f t="shared" si="3"/>
        <v>1.1</v>
      </c>
      <c r="I34" s="89">
        <v>1.0</v>
      </c>
      <c r="J34" s="89"/>
      <c r="K34" s="89">
        <f t="shared" si="4"/>
        <v>0.1</v>
      </c>
      <c r="L34" s="84">
        <f t="shared" si="5"/>
        <v>33</v>
      </c>
      <c r="M34" s="85" t="s">
        <v>133</v>
      </c>
    </row>
    <row r="35" ht="22.5" customHeight="1">
      <c r="A35" s="83">
        <v>46181.0</v>
      </c>
      <c r="B35" s="84" t="str">
        <f t="shared" si="1"/>
        <v>Jun 2026</v>
      </c>
      <c r="C35" s="84">
        <f t="shared" si="2"/>
        <v>24</v>
      </c>
      <c r="D35" s="85" t="s">
        <v>129</v>
      </c>
      <c r="E35" s="85" t="s">
        <v>130</v>
      </c>
      <c r="F35" s="86" t="s">
        <v>134</v>
      </c>
      <c r="G35" s="87" t="s">
        <v>135</v>
      </c>
      <c r="H35" s="88">
        <f t="shared" si="3"/>
        <v>1.1</v>
      </c>
      <c r="I35" s="89">
        <v>1.0</v>
      </c>
      <c r="J35" s="89"/>
      <c r="K35" s="89">
        <f t="shared" si="4"/>
        <v>0.1</v>
      </c>
      <c r="L35" s="84">
        <f t="shared" si="5"/>
        <v>34</v>
      </c>
      <c r="M35" s="85" t="s">
        <v>133</v>
      </c>
    </row>
    <row r="36" ht="22.5" customHeight="1">
      <c r="A36" s="83">
        <v>46181.0</v>
      </c>
      <c r="B36" s="84" t="str">
        <f t="shared" si="1"/>
        <v>Jun 2026</v>
      </c>
      <c r="C36" s="84">
        <f t="shared" si="2"/>
        <v>24</v>
      </c>
      <c r="D36" s="85" t="s">
        <v>129</v>
      </c>
      <c r="E36" s="85" t="s">
        <v>130</v>
      </c>
      <c r="F36" s="86" t="s">
        <v>134</v>
      </c>
      <c r="G36" s="87" t="s">
        <v>135</v>
      </c>
      <c r="H36" s="88">
        <f t="shared" si="3"/>
        <v>1.1</v>
      </c>
      <c r="I36" s="89">
        <v>1.0</v>
      </c>
      <c r="J36" s="89"/>
      <c r="K36" s="89">
        <f t="shared" si="4"/>
        <v>0.1</v>
      </c>
      <c r="L36" s="84">
        <f t="shared" si="5"/>
        <v>35</v>
      </c>
      <c r="M36" s="85" t="s">
        <v>133</v>
      </c>
    </row>
    <row r="37" ht="22.5" customHeight="1">
      <c r="A37" s="83">
        <v>46181.0</v>
      </c>
      <c r="B37" s="84" t="str">
        <f t="shared" si="1"/>
        <v>Jun 2026</v>
      </c>
      <c r="C37" s="84">
        <f t="shared" si="2"/>
        <v>24</v>
      </c>
      <c r="D37" s="85" t="s">
        <v>129</v>
      </c>
      <c r="E37" s="85" t="s">
        <v>130</v>
      </c>
      <c r="F37" s="86" t="s">
        <v>134</v>
      </c>
      <c r="G37" s="87" t="s">
        <v>135</v>
      </c>
      <c r="H37" s="88">
        <f t="shared" si="3"/>
        <v>1.1</v>
      </c>
      <c r="I37" s="89">
        <v>1.0</v>
      </c>
      <c r="J37" s="89"/>
      <c r="K37" s="89">
        <f t="shared" si="4"/>
        <v>0.1</v>
      </c>
      <c r="L37" s="84">
        <f t="shared" si="5"/>
        <v>36</v>
      </c>
      <c r="M37" s="85" t="s">
        <v>133</v>
      </c>
    </row>
    <row r="38" ht="22.5" customHeight="1">
      <c r="A38" s="83">
        <v>46181.0</v>
      </c>
      <c r="B38" s="84" t="str">
        <f t="shared" si="1"/>
        <v>Jun 2026</v>
      </c>
      <c r="C38" s="84">
        <f t="shared" si="2"/>
        <v>24</v>
      </c>
      <c r="D38" s="85" t="s">
        <v>129</v>
      </c>
      <c r="E38" s="85" t="s">
        <v>130</v>
      </c>
      <c r="F38" s="86" t="s">
        <v>134</v>
      </c>
      <c r="G38" s="87" t="s">
        <v>135</v>
      </c>
      <c r="H38" s="88">
        <f t="shared" si="3"/>
        <v>1.1</v>
      </c>
      <c r="I38" s="89">
        <v>1.0</v>
      </c>
      <c r="J38" s="89"/>
      <c r="K38" s="89">
        <f t="shared" si="4"/>
        <v>0.1</v>
      </c>
      <c r="L38" s="84">
        <f t="shared" si="5"/>
        <v>37</v>
      </c>
      <c r="M38" s="85" t="s">
        <v>133</v>
      </c>
    </row>
    <row r="39" ht="22.5" customHeight="1">
      <c r="A39" s="83">
        <v>46181.0</v>
      </c>
      <c r="B39" s="84" t="str">
        <f t="shared" si="1"/>
        <v>Jun 2026</v>
      </c>
      <c r="C39" s="84">
        <f t="shared" si="2"/>
        <v>24</v>
      </c>
      <c r="D39" s="85" t="s">
        <v>129</v>
      </c>
      <c r="E39" s="85" t="s">
        <v>130</v>
      </c>
      <c r="F39" s="86" t="s">
        <v>134</v>
      </c>
      <c r="G39" s="87" t="s">
        <v>135</v>
      </c>
      <c r="H39" s="88">
        <f t="shared" si="3"/>
        <v>1.1</v>
      </c>
      <c r="I39" s="89">
        <v>1.0</v>
      </c>
      <c r="J39" s="89"/>
      <c r="K39" s="89">
        <f t="shared" si="4"/>
        <v>0.1</v>
      </c>
      <c r="L39" s="84">
        <f t="shared" si="5"/>
        <v>38</v>
      </c>
      <c r="M39" s="85" t="s">
        <v>133</v>
      </c>
    </row>
    <row r="40" ht="22.5" customHeight="1">
      <c r="A40" s="83">
        <v>46181.0</v>
      </c>
      <c r="B40" s="84" t="str">
        <f t="shared" si="1"/>
        <v>Jun 2026</v>
      </c>
      <c r="C40" s="84">
        <f t="shared" si="2"/>
        <v>24</v>
      </c>
      <c r="D40" s="85" t="s">
        <v>129</v>
      </c>
      <c r="E40" s="85" t="s">
        <v>130</v>
      </c>
      <c r="F40" s="86" t="s">
        <v>134</v>
      </c>
      <c r="G40" s="87" t="s">
        <v>135</v>
      </c>
      <c r="H40" s="88">
        <f t="shared" si="3"/>
        <v>1.1</v>
      </c>
      <c r="I40" s="89">
        <v>1.0</v>
      </c>
      <c r="J40" s="89"/>
      <c r="K40" s="89">
        <f t="shared" si="4"/>
        <v>0.1</v>
      </c>
      <c r="L40" s="84">
        <f t="shared" si="5"/>
        <v>39</v>
      </c>
      <c r="M40" s="85" t="s">
        <v>133</v>
      </c>
    </row>
    <row r="41" ht="22.5" customHeight="1">
      <c r="A41" s="83">
        <v>46181.0</v>
      </c>
      <c r="B41" s="84" t="str">
        <f t="shared" si="1"/>
        <v>Jun 2026</v>
      </c>
      <c r="C41" s="84">
        <f t="shared" si="2"/>
        <v>24</v>
      </c>
      <c r="D41" s="85" t="s">
        <v>129</v>
      </c>
      <c r="E41" s="85" t="s">
        <v>130</v>
      </c>
      <c r="F41" s="86" t="s">
        <v>134</v>
      </c>
      <c r="G41" s="87" t="s">
        <v>135</v>
      </c>
      <c r="H41" s="88">
        <f t="shared" si="3"/>
        <v>1.1</v>
      </c>
      <c r="I41" s="89">
        <v>1.0</v>
      </c>
      <c r="J41" s="89"/>
      <c r="K41" s="89">
        <f t="shared" si="4"/>
        <v>0.1</v>
      </c>
      <c r="L41" s="84">
        <f t="shared" si="5"/>
        <v>40</v>
      </c>
      <c r="M41" s="85" t="s">
        <v>133</v>
      </c>
    </row>
    <row r="42" ht="22.5" customHeight="1">
      <c r="A42" s="83">
        <v>46181.0</v>
      </c>
      <c r="B42" s="84" t="str">
        <f t="shared" si="1"/>
        <v>Jun 2026</v>
      </c>
      <c r="C42" s="84">
        <f t="shared" si="2"/>
        <v>24</v>
      </c>
      <c r="D42" s="85" t="s">
        <v>129</v>
      </c>
      <c r="E42" s="85" t="s">
        <v>130</v>
      </c>
      <c r="F42" s="86" t="s">
        <v>134</v>
      </c>
      <c r="G42" s="87" t="s">
        <v>135</v>
      </c>
      <c r="H42" s="88">
        <f t="shared" si="3"/>
        <v>1.1</v>
      </c>
      <c r="I42" s="89">
        <v>1.0</v>
      </c>
      <c r="J42" s="89"/>
      <c r="K42" s="89">
        <f t="shared" si="4"/>
        <v>0.1</v>
      </c>
      <c r="L42" s="84">
        <f t="shared" si="5"/>
        <v>41</v>
      </c>
      <c r="M42" s="85" t="s">
        <v>133</v>
      </c>
    </row>
    <row r="43" ht="22.5" customHeight="1">
      <c r="A43" s="83">
        <v>46181.0</v>
      </c>
      <c r="B43" s="84" t="str">
        <f t="shared" si="1"/>
        <v>Jun 2026</v>
      </c>
      <c r="C43" s="84">
        <f t="shared" si="2"/>
        <v>24</v>
      </c>
      <c r="D43" s="85" t="s">
        <v>129</v>
      </c>
      <c r="E43" s="85" t="s">
        <v>130</v>
      </c>
      <c r="F43" s="86" t="s">
        <v>134</v>
      </c>
      <c r="G43" s="87" t="s">
        <v>135</v>
      </c>
      <c r="H43" s="88">
        <f t="shared" si="3"/>
        <v>1.1</v>
      </c>
      <c r="I43" s="89">
        <v>1.0</v>
      </c>
      <c r="J43" s="89"/>
      <c r="K43" s="89">
        <f t="shared" si="4"/>
        <v>0.1</v>
      </c>
      <c r="L43" s="84">
        <f t="shared" si="5"/>
        <v>42</v>
      </c>
      <c r="M43" s="85" t="s">
        <v>133</v>
      </c>
    </row>
    <row r="44" ht="22.5" customHeight="1">
      <c r="A44" s="83">
        <v>46181.0</v>
      </c>
      <c r="B44" s="84" t="str">
        <f t="shared" si="1"/>
        <v>Jun 2026</v>
      </c>
      <c r="C44" s="84">
        <f t="shared" si="2"/>
        <v>24</v>
      </c>
      <c r="D44" s="85" t="s">
        <v>129</v>
      </c>
      <c r="E44" s="85" t="s">
        <v>130</v>
      </c>
      <c r="F44" s="86" t="s">
        <v>134</v>
      </c>
      <c r="G44" s="87" t="s">
        <v>135</v>
      </c>
      <c r="H44" s="88">
        <f t="shared" si="3"/>
        <v>1.1</v>
      </c>
      <c r="I44" s="89">
        <v>1.0</v>
      </c>
      <c r="J44" s="89"/>
      <c r="K44" s="89">
        <f t="shared" si="4"/>
        <v>0.1</v>
      </c>
      <c r="L44" s="84">
        <f t="shared" si="5"/>
        <v>43</v>
      </c>
      <c r="M44" s="85" t="s">
        <v>133</v>
      </c>
    </row>
    <row r="45" ht="22.5" customHeight="1">
      <c r="A45" s="83">
        <v>46181.0</v>
      </c>
      <c r="B45" s="84" t="str">
        <f t="shared" si="1"/>
        <v>Jun 2026</v>
      </c>
      <c r="C45" s="84">
        <f t="shared" si="2"/>
        <v>24</v>
      </c>
      <c r="D45" s="85" t="s">
        <v>129</v>
      </c>
      <c r="E45" s="85" t="s">
        <v>130</v>
      </c>
      <c r="F45" s="86" t="s">
        <v>134</v>
      </c>
      <c r="G45" s="87" t="s">
        <v>135</v>
      </c>
      <c r="H45" s="88">
        <f t="shared" si="3"/>
        <v>1.1</v>
      </c>
      <c r="I45" s="89">
        <v>1.0</v>
      </c>
      <c r="J45" s="89"/>
      <c r="K45" s="89">
        <f t="shared" si="4"/>
        <v>0.1</v>
      </c>
      <c r="L45" s="84">
        <f t="shared" si="5"/>
        <v>44</v>
      </c>
      <c r="M45" s="85" t="s">
        <v>133</v>
      </c>
    </row>
    <row r="46" ht="22.5" customHeight="1">
      <c r="A46" s="83">
        <v>46181.0</v>
      </c>
      <c r="B46" s="84" t="str">
        <f t="shared" si="1"/>
        <v>Jun 2026</v>
      </c>
      <c r="C46" s="84">
        <f t="shared" si="2"/>
        <v>24</v>
      </c>
      <c r="D46" s="85" t="s">
        <v>129</v>
      </c>
      <c r="E46" s="85" t="s">
        <v>130</v>
      </c>
      <c r="F46" s="86" t="s">
        <v>134</v>
      </c>
      <c r="G46" s="87" t="s">
        <v>135</v>
      </c>
      <c r="H46" s="88">
        <f t="shared" si="3"/>
        <v>1.1</v>
      </c>
      <c r="I46" s="89">
        <v>1.0</v>
      </c>
      <c r="J46" s="89"/>
      <c r="K46" s="89">
        <f t="shared" si="4"/>
        <v>0.1</v>
      </c>
      <c r="L46" s="84">
        <f t="shared" si="5"/>
        <v>45</v>
      </c>
      <c r="M46" s="85" t="s">
        <v>133</v>
      </c>
    </row>
    <row r="47" ht="22.5" customHeight="1">
      <c r="A47" s="83">
        <v>46181.0</v>
      </c>
      <c r="B47" s="84" t="str">
        <f t="shared" si="1"/>
        <v>Jun 2026</v>
      </c>
      <c r="C47" s="84">
        <f t="shared" si="2"/>
        <v>24</v>
      </c>
      <c r="D47" s="85" t="s">
        <v>129</v>
      </c>
      <c r="E47" s="85" t="s">
        <v>130</v>
      </c>
      <c r="F47" s="86" t="s">
        <v>134</v>
      </c>
      <c r="G47" s="87" t="s">
        <v>135</v>
      </c>
      <c r="H47" s="88">
        <f t="shared" si="3"/>
        <v>1.1</v>
      </c>
      <c r="I47" s="89">
        <v>1.0</v>
      </c>
      <c r="J47" s="89"/>
      <c r="K47" s="89">
        <f t="shared" si="4"/>
        <v>0.1</v>
      </c>
      <c r="L47" s="84">
        <f t="shared" si="5"/>
        <v>46</v>
      </c>
      <c r="M47" s="85" t="s">
        <v>133</v>
      </c>
    </row>
    <row r="48" ht="22.5" customHeight="1">
      <c r="A48" s="83">
        <v>46182.0</v>
      </c>
      <c r="B48" s="84" t="str">
        <f t="shared" si="1"/>
        <v>Jun 2026</v>
      </c>
      <c r="C48" s="84">
        <f t="shared" si="2"/>
        <v>24</v>
      </c>
      <c r="D48" s="85" t="s">
        <v>129</v>
      </c>
      <c r="E48" s="85" t="s">
        <v>130</v>
      </c>
      <c r="F48" s="86" t="s">
        <v>134</v>
      </c>
      <c r="G48" s="87" t="s">
        <v>135</v>
      </c>
      <c r="H48" s="88">
        <f t="shared" si="3"/>
        <v>1.1</v>
      </c>
      <c r="I48" s="89">
        <v>1.0</v>
      </c>
      <c r="J48" s="89"/>
      <c r="K48" s="89">
        <f t="shared" si="4"/>
        <v>0.1</v>
      </c>
      <c r="L48" s="84">
        <f t="shared" si="5"/>
        <v>47</v>
      </c>
      <c r="M48" s="85" t="s">
        <v>133</v>
      </c>
    </row>
    <row r="49" ht="22.5" customHeight="1">
      <c r="A49" s="83">
        <v>46182.0</v>
      </c>
      <c r="B49" s="84" t="str">
        <f t="shared" si="1"/>
        <v>Jun 2026</v>
      </c>
      <c r="C49" s="84">
        <f t="shared" si="2"/>
        <v>24</v>
      </c>
      <c r="D49" s="85" t="s">
        <v>129</v>
      </c>
      <c r="E49" s="85" t="s">
        <v>130</v>
      </c>
      <c r="F49" s="86" t="s">
        <v>134</v>
      </c>
      <c r="G49" s="87" t="s">
        <v>135</v>
      </c>
      <c r="H49" s="88">
        <f t="shared" si="3"/>
        <v>1.1</v>
      </c>
      <c r="I49" s="89">
        <v>1.0</v>
      </c>
      <c r="J49" s="89"/>
      <c r="K49" s="89">
        <f t="shared" si="4"/>
        <v>0.1</v>
      </c>
      <c r="L49" s="84">
        <f t="shared" si="5"/>
        <v>48</v>
      </c>
      <c r="M49" s="85" t="s">
        <v>133</v>
      </c>
    </row>
    <row r="50" ht="22.5" customHeight="1">
      <c r="A50" s="83">
        <v>46182.0</v>
      </c>
      <c r="B50" s="84" t="str">
        <f t="shared" si="1"/>
        <v>Jun 2026</v>
      </c>
      <c r="C50" s="84">
        <f t="shared" si="2"/>
        <v>24</v>
      </c>
      <c r="D50" s="85" t="s">
        <v>129</v>
      </c>
      <c r="E50" s="85" t="s">
        <v>130</v>
      </c>
      <c r="F50" s="86" t="s">
        <v>134</v>
      </c>
      <c r="G50" s="87" t="s">
        <v>135</v>
      </c>
      <c r="H50" s="88">
        <f t="shared" si="3"/>
        <v>1.1</v>
      </c>
      <c r="I50" s="89">
        <v>1.0</v>
      </c>
      <c r="J50" s="89"/>
      <c r="K50" s="89">
        <f t="shared" si="4"/>
        <v>0.1</v>
      </c>
      <c r="L50" s="84">
        <f t="shared" si="5"/>
        <v>49</v>
      </c>
      <c r="M50" s="85" t="s">
        <v>133</v>
      </c>
    </row>
    <row r="51" ht="22.5" customHeight="1">
      <c r="A51" s="83">
        <v>46182.0</v>
      </c>
      <c r="B51" s="84" t="str">
        <f t="shared" si="1"/>
        <v>Jun 2026</v>
      </c>
      <c r="C51" s="84">
        <f t="shared" si="2"/>
        <v>24</v>
      </c>
      <c r="D51" s="85" t="s">
        <v>129</v>
      </c>
      <c r="E51" s="85" t="s">
        <v>130</v>
      </c>
      <c r="F51" s="86" t="s">
        <v>134</v>
      </c>
      <c r="G51" s="87" t="s">
        <v>135</v>
      </c>
      <c r="H51" s="88">
        <f t="shared" si="3"/>
        <v>1.1</v>
      </c>
      <c r="I51" s="89">
        <v>1.0</v>
      </c>
      <c r="J51" s="89"/>
      <c r="K51" s="89">
        <f t="shared" si="4"/>
        <v>0.1</v>
      </c>
      <c r="L51" s="84">
        <f t="shared" si="5"/>
        <v>50</v>
      </c>
      <c r="M51" s="85" t="s">
        <v>133</v>
      </c>
    </row>
    <row r="52" ht="22.5" customHeight="1">
      <c r="A52" s="83">
        <v>46182.0</v>
      </c>
      <c r="B52" s="84" t="str">
        <f t="shared" si="1"/>
        <v>Jun 2026</v>
      </c>
      <c r="C52" s="84">
        <f t="shared" si="2"/>
        <v>24</v>
      </c>
      <c r="D52" s="85" t="s">
        <v>129</v>
      </c>
      <c r="E52" s="85" t="s">
        <v>130</v>
      </c>
      <c r="F52" s="86" t="s">
        <v>134</v>
      </c>
      <c r="G52" s="87" t="s">
        <v>135</v>
      </c>
      <c r="H52" s="88">
        <f t="shared" si="3"/>
        <v>1.1</v>
      </c>
      <c r="I52" s="89">
        <v>1.0</v>
      </c>
      <c r="J52" s="89"/>
      <c r="K52" s="89">
        <f t="shared" si="4"/>
        <v>0.1</v>
      </c>
      <c r="L52" s="84">
        <f t="shared" si="5"/>
        <v>51</v>
      </c>
      <c r="M52" s="85" t="s">
        <v>133</v>
      </c>
    </row>
    <row r="53" ht="22.5" customHeight="1">
      <c r="A53" s="83">
        <v>46182.0</v>
      </c>
      <c r="B53" s="84" t="str">
        <f t="shared" si="1"/>
        <v>Jun 2026</v>
      </c>
      <c r="C53" s="84">
        <f t="shared" si="2"/>
        <v>24</v>
      </c>
      <c r="D53" s="85" t="s">
        <v>129</v>
      </c>
      <c r="E53" s="85" t="s">
        <v>130</v>
      </c>
      <c r="F53" s="86" t="s">
        <v>134</v>
      </c>
      <c r="G53" s="87" t="s">
        <v>135</v>
      </c>
      <c r="H53" s="88">
        <f t="shared" si="3"/>
        <v>1.1</v>
      </c>
      <c r="I53" s="89">
        <v>1.0</v>
      </c>
      <c r="J53" s="89"/>
      <c r="K53" s="89">
        <f t="shared" si="4"/>
        <v>0.1</v>
      </c>
      <c r="L53" s="84">
        <f t="shared" si="5"/>
        <v>52</v>
      </c>
      <c r="M53" s="85" t="s">
        <v>133</v>
      </c>
    </row>
    <row r="54" ht="22.5" customHeight="1">
      <c r="A54" s="83">
        <v>46182.0</v>
      </c>
      <c r="B54" s="84" t="str">
        <f t="shared" si="1"/>
        <v>Jun 2026</v>
      </c>
      <c r="C54" s="84">
        <f t="shared" si="2"/>
        <v>24</v>
      </c>
      <c r="D54" s="85" t="s">
        <v>129</v>
      </c>
      <c r="E54" s="85" t="s">
        <v>130</v>
      </c>
      <c r="F54" s="86" t="s">
        <v>134</v>
      </c>
      <c r="G54" s="87" t="s">
        <v>135</v>
      </c>
      <c r="H54" s="88">
        <f t="shared" si="3"/>
        <v>1.1</v>
      </c>
      <c r="I54" s="89">
        <v>1.0</v>
      </c>
      <c r="J54" s="89"/>
      <c r="K54" s="89">
        <f t="shared" si="4"/>
        <v>0.1</v>
      </c>
      <c r="L54" s="84">
        <f t="shared" si="5"/>
        <v>53</v>
      </c>
      <c r="M54" s="85" t="s">
        <v>133</v>
      </c>
    </row>
    <row r="55" ht="22.5" customHeight="1">
      <c r="A55" s="83">
        <v>46182.0</v>
      </c>
      <c r="B55" s="84" t="str">
        <f t="shared" si="1"/>
        <v>Jun 2026</v>
      </c>
      <c r="C55" s="84">
        <f t="shared" si="2"/>
        <v>24</v>
      </c>
      <c r="D55" s="85" t="s">
        <v>129</v>
      </c>
      <c r="E55" s="85" t="s">
        <v>130</v>
      </c>
      <c r="F55" s="86" t="s">
        <v>134</v>
      </c>
      <c r="G55" s="87" t="s">
        <v>135</v>
      </c>
      <c r="H55" s="88">
        <f t="shared" si="3"/>
        <v>1.1</v>
      </c>
      <c r="I55" s="89">
        <v>1.0</v>
      </c>
      <c r="J55" s="89"/>
      <c r="K55" s="89">
        <f t="shared" si="4"/>
        <v>0.1</v>
      </c>
      <c r="L55" s="84">
        <f t="shared" si="5"/>
        <v>54</v>
      </c>
      <c r="M55" s="85" t="s">
        <v>133</v>
      </c>
    </row>
    <row r="56" ht="22.5" customHeight="1">
      <c r="A56" s="83">
        <v>46182.0</v>
      </c>
      <c r="B56" s="84" t="str">
        <f t="shared" si="1"/>
        <v>Jun 2026</v>
      </c>
      <c r="C56" s="84">
        <f t="shared" si="2"/>
        <v>24</v>
      </c>
      <c r="D56" s="85" t="s">
        <v>129</v>
      </c>
      <c r="E56" s="85" t="s">
        <v>130</v>
      </c>
      <c r="F56" s="86" t="s">
        <v>134</v>
      </c>
      <c r="G56" s="87" t="s">
        <v>135</v>
      </c>
      <c r="H56" s="88">
        <f t="shared" si="3"/>
        <v>1.1</v>
      </c>
      <c r="I56" s="89">
        <v>1.0</v>
      </c>
      <c r="J56" s="89"/>
      <c r="K56" s="89">
        <f t="shared" si="4"/>
        <v>0.1</v>
      </c>
      <c r="L56" s="84">
        <f t="shared" si="5"/>
        <v>55</v>
      </c>
      <c r="M56" s="85" t="s">
        <v>133</v>
      </c>
    </row>
    <row r="57" ht="22.5" customHeight="1">
      <c r="A57" s="83">
        <v>46182.0</v>
      </c>
      <c r="B57" s="84" t="str">
        <f t="shared" si="1"/>
        <v>Jun 2026</v>
      </c>
      <c r="C57" s="84">
        <f t="shared" si="2"/>
        <v>24</v>
      </c>
      <c r="D57" s="85" t="s">
        <v>129</v>
      </c>
      <c r="E57" s="85" t="s">
        <v>130</v>
      </c>
      <c r="F57" s="86" t="s">
        <v>134</v>
      </c>
      <c r="G57" s="87" t="s">
        <v>135</v>
      </c>
      <c r="H57" s="88">
        <f t="shared" si="3"/>
        <v>1.1</v>
      </c>
      <c r="I57" s="89">
        <v>1.0</v>
      </c>
      <c r="J57" s="89"/>
      <c r="K57" s="89">
        <f t="shared" si="4"/>
        <v>0.1</v>
      </c>
      <c r="L57" s="84">
        <f t="shared" si="5"/>
        <v>56</v>
      </c>
      <c r="M57" s="85" t="s">
        <v>133</v>
      </c>
    </row>
    <row r="58" ht="22.5" customHeight="1">
      <c r="A58" s="83">
        <v>46182.0</v>
      </c>
      <c r="B58" s="84" t="str">
        <f t="shared" si="1"/>
        <v>Jun 2026</v>
      </c>
      <c r="C58" s="84">
        <f t="shared" si="2"/>
        <v>24</v>
      </c>
      <c r="D58" s="85" t="s">
        <v>129</v>
      </c>
      <c r="E58" s="85" t="s">
        <v>130</v>
      </c>
      <c r="F58" s="86" t="s">
        <v>134</v>
      </c>
      <c r="G58" s="87" t="s">
        <v>135</v>
      </c>
      <c r="H58" s="88">
        <f t="shared" si="3"/>
        <v>1.1</v>
      </c>
      <c r="I58" s="89">
        <v>1.0</v>
      </c>
      <c r="J58" s="89"/>
      <c r="K58" s="89">
        <f t="shared" si="4"/>
        <v>0.1</v>
      </c>
      <c r="L58" s="84">
        <f t="shared" si="5"/>
        <v>57</v>
      </c>
      <c r="M58" s="85" t="s">
        <v>133</v>
      </c>
    </row>
    <row r="59" ht="22.5" customHeight="1">
      <c r="A59" s="83">
        <v>46182.0</v>
      </c>
      <c r="B59" s="84" t="str">
        <f t="shared" si="1"/>
        <v>Jun 2026</v>
      </c>
      <c r="C59" s="84">
        <f t="shared" si="2"/>
        <v>24</v>
      </c>
      <c r="D59" s="85" t="s">
        <v>129</v>
      </c>
      <c r="E59" s="85" t="s">
        <v>130</v>
      </c>
      <c r="F59" s="86" t="s">
        <v>134</v>
      </c>
      <c r="G59" s="87" t="s">
        <v>135</v>
      </c>
      <c r="H59" s="88">
        <f t="shared" si="3"/>
        <v>1.1</v>
      </c>
      <c r="I59" s="89">
        <v>1.0</v>
      </c>
      <c r="J59" s="89"/>
      <c r="K59" s="89">
        <f t="shared" si="4"/>
        <v>0.1</v>
      </c>
      <c r="L59" s="84">
        <f t="shared" si="5"/>
        <v>58</v>
      </c>
      <c r="M59" s="85" t="s">
        <v>133</v>
      </c>
    </row>
    <row r="60" ht="22.5" customHeight="1">
      <c r="A60" s="83">
        <v>46182.0</v>
      </c>
      <c r="B60" s="84" t="str">
        <f t="shared" si="1"/>
        <v>Jun 2026</v>
      </c>
      <c r="C60" s="84">
        <f t="shared" si="2"/>
        <v>24</v>
      </c>
      <c r="D60" s="85" t="s">
        <v>129</v>
      </c>
      <c r="E60" s="85" t="s">
        <v>130</v>
      </c>
      <c r="F60" s="86" t="s">
        <v>134</v>
      </c>
      <c r="G60" s="87" t="s">
        <v>135</v>
      </c>
      <c r="H60" s="88">
        <f t="shared" si="3"/>
        <v>1.1</v>
      </c>
      <c r="I60" s="89">
        <v>1.0</v>
      </c>
      <c r="J60" s="89"/>
      <c r="K60" s="89">
        <f t="shared" si="4"/>
        <v>0.1</v>
      </c>
      <c r="L60" s="84">
        <f t="shared" si="5"/>
        <v>59</v>
      </c>
      <c r="M60" s="85" t="s">
        <v>133</v>
      </c>
    </row>
    <row r="61" ht="22.5" customHeight="1">
      <c r="A61" s="83">
        <v>46182.0</v>
      </c>
      <c r="B61" s="84" t="str">
        <f t="shared" si="1"/>
        <v>Jun 2026</v>
      </c>
      <c r="C61" s="84">
        <f t="shared" si="2"/>
        <v>24</v>
      </c>
      <c r="D61" s="85" t="s">
        <v>129</v>
      </c>
      <c r="E61" s="85" t="s">
        <v>130</v>
      </c>
      <c r="F61" s="86" t="s">
        <v>134</v>
      </c>
      <c r="G61" s="87" t="s">
        <v>135</v>
      </c>
      <c r="H61" s="88">
        <f t="shared" si="3"/>
        <v>1.1</v>
      </c>
      <c r="I61" s="89">
        <v>1.0</v>
      </c>
      <c r="J61" s="89"/>
      <c r="K61" s="89">
        <f t="shared" si="4"/>
        <v>0.1</v>
      </c>
      <c r="L61" s="84">
        <f t="shared" si="5"/>
        <v>60</v>
      </c>
      <c r="M61" s="85" t="s">
        <v>133</v>
      </c>
    </row>
    <row r="62" ht="22.5" customHeight="1">
      <c r="A62" s="83">
        <v>46182.0</v>
      </c>
      <c r="B62" s="84" t="str">
        <f t="shared" si="1"/>
        <v>Jun 2026</v>
      </c>
      <c r="C62" s="84">
        <f t="shared" si="2"/>
        <v>24</v>
      </c>
      <c r="D62" s="85" t="s">
        <v>129</v>
      </c>
      <c r="E62" s="85" t="s">
        <v>130</v>
      </c>
      <c r="F62" s="86" t="s">
        <v>134</v>
      </c>
      <c r="G62" s="87" t="s">
        <v>135</v>
      </c>
      <c r="H62" s="88">
        <f t="shared" si="3"/>
        <v>1.1</v>
      </c>
      <c r="I62" s="89">
        <v>1.0</v>
      </c>
      <c r="J62" s="89"/>
      <c r="K62" s="89">
        <f t="shared" si="4"/>
        <v>0.1</v>
      </c>
      <c r="L62" s="84">
        <f t="shared" si="5"/>
        <v>61</v>
      </c>
      <c r="M62" s="85" t="s">
        <v>133</v>
      </c>
    </row>
    <row r="63" ht="22.5" customHeight="1">
      <c r="A63" s="83">
        <v>46183.0</v>
      </c>
      <c r="B63" s="84" t="str">
        <f t="shared" si="1"/>
        <v>Jun 2026</v>
      </c>
      <c r="C63" s="84">
        <f t="shared" si="2"/>
        <v>24</v>
      </c>
      <c r="D63" s="85" t="s">
        <v>159</v>
      </c>
      <c r="E63" s="85" t="s">
        <v>130</v>
      </c>
      <c r="F63" s="86" t="s">
        <v>171</v>
      </c>
      <c r="G63" s="87" t="s">
        <v>66</v>
      </c>
      <c r="H63" s="88">
        <f t="shared" si="3"/>
        <v>0.11</v>
      </c>
      <c r="I63" s="89">
        <v>0.1</v>
      </c>
      <c r="J63" s="89"/>
      <c r="K63" s="89">
        <f t="shared" si="4"/>
        <v>0.01</v>
      </c>
      <c r="L63" s="84">
        <f t="shared" si="5"/>
        <v>62</v>
      </c>
      <c r="M63" s="85" t="s">
        <v>133</v>
      </c>
    </row>
    <row r="64" ht="22.5" customHeight="1">
      <c r="A64" s="83">
        <v>46183.0</v>
      </c>
      <c r="B64" s="84" t="str">
        <f t="shared" si="1"/>
        <v>Jun 2026</v>
      </c>
      <c r="C64" s="84">
        <f t="shared" si="2"/>
        <v>24</v>
      </c>
      <c r="D64" s="85" t="s">
        <v>159</v>
      </c>
      <c r="E64" s="85" t="s">
        <v>130</v>
      </c>
      <c r="F64" s="86" t="s">
        <v>171</v>
      </c>
      <c r="G64" s="87" t="s">
        <v>66</v>
      </c>
      <c r="H64" s="88">
        <f t="shared" si="3"/>
        <v>0.11</v>
      </c>
      <c r="I64" s="89">
        <v>0.1</v>
      </c>
      <c r="J64" s="89"/>
      <c r="K64" s="89">
        <f t="shared" si="4"/>
        <v>0.01</v>
      </c>
      <c r="L64" s="84">
        <f t="shared" si="5"/>
        <v>63</v>
      </c>
      <c r="M64" s="85" t="s">
        <v>133</v>
      </c>
    </row>
    <row r="65" ht="22.5" customHeight="1">
      <c r="A65" s="83">
        <v>46183.0</v>
      </c>
      <c r="B65" s="84" t="str">
        <f t="shared" si="1"/>
        <v>Jun 2026</v>
      </c>
      <c r="C65" s="84">
        <f t="shared" si="2"/>
        <v>24</v>
      </c>
      <c r="D65" s="85" t="s">
        <v>159</v>
      </c>
      <c r="E65" s="85" t="s">
        <v>130</v>
      </c>
      <c r="F65" s="86" t="s">
        <v>171</v>
      </c>
      <c r="G65" s="87" t="s">
        <v>66</v>
      </c>
      <c r="H65" s="88">
        <f t="shared" si="3"/>
        <v>0.11</v>
      </c>
      <c r="I65" s="89">
        <v>0.1</v>
      </c>
      <c r="J65" s="89"/>
      <c r="K65" s="89">
        <f t="shared" si="4"/>
        <v>0.01</v>
      </c>
      <c r="L65" s="84">
        <f t="shared" si="5"/>
        <v>64</v>
      </c>
      <c r="M65" s="85" t="s">
        <v>133</v>
      </c>
    </row>
    <row r="66" ht="22.5" customHeight="1">
      <c r="A66" s="83">
        <v>46183.0</v>
      </c>
      <c r="B66" s="84" t="str">
        <f t="shared" si="1"/>
        <v>Jun 2026</v>
      </c>
      <c r="C66" s="84">
        <f t="shared" si="2"/>
        <v>24</v>
      </c>
      <c r="D66" s="85" t="s">
        <v>159</v>
      </c>
      <c r="E66" s="85" t="s">
        <v>130</v>
      </c>
      <c r="F66" s="86" t="s">
        <v>171</v>
      </c>
      <c r="G66" s="87" t="s">
        <v>66</v>
      </c>
      <c r="H66" s="88">
        <f t="shared" si="3"/>
        <v>0.11</v>
      </c>
      <c r="I66" s="89">
        <v>0.1</v>
      </c>
      <c r="J66" s="89"/>
      <c r="K66" s="89">
        <f t="shared" si="4"/>
        <v>0.01</v>
      </c>
      <c r="L66" s="84">
        <f t="shared" si="5"/>
        <v>65</v>
      </c>
      <c r="M66" s="85" t="s">
        <v>133</v>
      </c>
    </row>
    <row r="67" ht="22.5" customHeight="1">
      <c r="A67" s="83">
        <v>46183.0</v>
      </c>
      <c r="B67" s="84" t="str">
        <f t="shared" si="1"/>
        <v>Jun 2026</v>
      </c>
      <c r="C67" s="84">
        <f t="shared" si="2"/>
        <v>24</v>
      </c>
      <c r="D67" s="85" t="s">
        <v>159</v>
      </c>
      <c r="E67" s="85" t="s">
        <v>130</v>
      </c>
      <c r="F67" s="86" t="s">
        <v>171</v>
      </c>
      <c r="G67" s="87" t="s">
        <v>66</v>
      </c>
      <c r="H67" s="88">
        <f t="shared" si="3"/>
        <v>0.11</v>
      </c>
      <c r="I67" s="89">
        <v>0.1</v>
      </c>
      <c r="J67" s="89"/>
      <c r="K67" s="89">
        <f t="shared" si="4"/>
        <v>0.01</v>
      </c>
      <c r="L67" s="84">
        <f t="shared" si="5"/>
        <v>66</v>
      </c>
      <c r="M67" s="85" t="s">
        <v>133</v>
      </c>
    </row>
    <row r="68" ht="22.5" customHeight="1">
      <c r="A68" s="83">
        <v>46183.0</v>
      </c>
      <c r="B68" s="84" t="str">
        <f t="shared" si="1"/>
        <v>Jun 2026</v>
      </c>
      <c r="C68" s="84">
        <f t="shared" si="2"/>
        <v>24</v>
      </c>
      <c r="D68" s="85" t="s">
        <v>159</v>
      </c>
      <c r="E68" s="85" t="s">
        <v>130</v>
      </c>
      <c r="F68" s="86" t="s">
        <v>171</v>
      </c>
      <c r="G68" s="87" t="s">
        <v>66</v>
      </c>
      <c r="H68" s="88">
        <f t="shared" si="3"/>
        <v>0.11</v>
      </c>
      <c r="I68" s="89">
        <v>0.1</v>
      </c>
      <c r="J68" s="89"/>
      <c r="K68" s="89">
        <f t="shared" si="4"/>
        <v>0.01</v>
      </c>
      <c r="L68" s="84">
        <f t="shared" si="5"/>
        <v>67</v>
      </c>
      <c r="M68" s="85" t="s">
        <v>133</v>
      </c>
    </row>
    <row r="69" ht="22.5" customHeight="1">
      <c r="A69" s="83">
        <v>46183.0</v>
      </c>
      <c r="B69" s="84" t="str">
        <f t="shared" si="1"/>
        <v>Jun 2026</v>
      </c>
      <c r="C69" s="84">
        <f t="shared" si="2"/>
        <v>24</v>
      </c>
      <c r="D69" s="85" t="s">
        <v>159</v>
      </c>
      <c r="E69" s="85" t="s">
        <v>130</v>
      </c>
      <c r="F69" s="86" t="s">
        <v>171</v>
      </c>
      <c r="G69" s="87" t="s">
        <v>66</v>
      </c>
      <c r="H69" s="88">
        <f t="shared" si="3"/>
        <v>0.11</v>
      </c>
      <c r="I69" s="89">
        <v>0.1</v>
      </c>
      <c r="J69" s="89"/>
      <c r="K69" s="89">
        <f t="shared" si="4"/>
        <v>0.01</v>
      </c>
      <c r="L69" s="84">
        <f t="shared" si="5"/>
        <v>68</v>
      </c>
      <c r="M69" s="85" t="s">
        <v>133</v>
      </c>
    </row>
    <row r="70" ht="22.5" customHeight="1">
      <c r="A70" s="83">
        <v>46183.0</v>
      </c>
      <c r="B70" s="84" t="str">
        <f t="shared" si="1"/>
        <v>Jun 2026</v>
      </c>
      <c r="C70" s="84">
        <f t="shared" si="2"/>
        <v>24</v>
      </c>
      <c r="D70" s="85" t="s">
        <v>159</v>
      </c>
      <c r="E70" s="85" t="s">
        <v>130</v>
      </c>
      <c r="F70" s="86" t="s">
        <v>171</v>
      </c>
      <c r="G70" s="87" t="s">
        <v>66</v>
      </c>
      <c r="H70" s="88">
        <f t="shared" si="3"/>
        <v>0.11</v>
      </c>
      <c r="I70" s="89">
        <v>0.1</v>
      </c>
      <c r="J70" s="89"/>
      <c r="K70" s="89">
        <f t="shared" si="4"/>
        <v>0.01</v>
      </c>
      <c r="L70" s="84">
        <f t="shared" si="5"/>
        <v>69</v>
      </c>
      <c r="M70" s="85" t="s">
        <v>133</v>
      </c>
    </row>
    <row r="71" ht="22.5" customHeight="1">
      <c r="A71" s="83">
        <v>46183.0</v>
      </c>
      <c r="B71" s="84" t="str">
        <f t="shared" si="1"/>
        <v>Jun 2026</v>
      </c>
      <c r="C71" s="84">
        <f t="shared" si="2"/>
        <v>24</v>
      </c>
      <c r="D71" s="85" t="s">
        <v>159</v>
      </c>
      <c r="E71" s="85" t="s">
        <v>130</v>
      </c>
      <c r="F71" s="86" t="s">
        <v>171</v>
      </c>
      <c r="G71" s="87" t="s">
        <v>66</v>
      </c>
      <c r="H71" s="88">
        <f t="shared" si="3"/>
        <v>0.11</v>
      </c>
      <c r="I71" s="89">
        <v>0.1</v>
      </c>
      <c r="J71" s="89"/>
      <c r="K71" s="89">
        <f t="shared" si="4"/>
        <v>0.01</v>
      </c>
      <c r="L71" s="84">
        <f t="shared" si="5"/>
        <v>70</v>
      </c>
      <c r="M71" s="85" t="s">
        <v>133</v>
      </c>
    </row>
    <row r="72" ht="22.5" customHeight="1">
      <c r="A72" s="83">
        <v>46183.0</v>
      </c>
      <c r="B72" s="84" t="str">
        <f t="shared" si="1"/>
        <v>Jun 2026</v>
      </c>
      <c r="C72" s="84">
        <f t="shared" si="2"/>
        <v>24</v>
      </c>
      <c r="D72" s="85" t="s">
        <v>159</v>
      </c>
      <c r="E72" s="85" t="s">
        <v>130</v>
      </c>
      <c r="F72" s="86" t="s">
        <v>171</v>
      </c>
      <c r="G72" s="87" t="s">
        <v>66</v>
      </c>
      <c r="H72" s="88">
        <f t="shared" si="3"/>
        <v>0.11</v>
      </c>
      <c r="I72" s="89">
        <v>0.1</v>
      </c>
      <c r="J72" s="89"/>
      <c r="K72" s="89">
        <f t="shared" si="4"/>
        <v>0.01</v>
      </c>
      <c r="L72" s="84">
        <f t="shared" si="5"/>
        <v>71</v>
      </c>
      <c r="M72" s="85" t="s">
        <v>133</v>
      </c>
    </row>
    <row r="73" ht="22.5" customHeight="1">
      <c r="A73" s="83">
        <v>46183.0</v>
      </c>
      <c r="B73" s="84" t="str">
        <f t="shared" si="1"/>
        <v>Jun 2026</v>
      </c>
      <c r="C73" s="84">
        <f t="shared" si="2"/>
        <v>24</v>
      </c>
      <c r="D73" s="85" t="s">
        <v>159</v>
      </c>
      <c r="E73" s="85" t="s">
        <v>130</v>
      </c>
      <c r="F73" s="86" t="s">
        <v>171</v>
      </c>
      <c r="G73" s="87" t="s">
        <v>66</v>
      </c>
      <c r="H73" s="88">
        <f t="shared" si="3"/>
        <v>0.11</v>
      </c>
      <c r="I73" s="89">
        <v>0.1</v>
      </c>
      <c r="J73" s="89"/>
      <c r="K73" s="89">
        <f t="shared" si="4"/>
        <v>0.01</v>
      </c>
      <c r="L73" s="84">
        <f t="shared" si="5"/>
        <v>72</v>
      </c>
      <c r="M73" s="85" t="s">
        <v>133</v>
      </c>
    </row>
    <row r="74" ht="22.5" customHeight="1">
      <c r="A74" s="83">
        <v>46183.0</v>
      </c>
      <c r="B74" s="84" t="str">
        <f t="shared" si="1"/>
        <v>Jun 2026</v>
      </c>
      <c r="C74" s="84">
        <f t="shared" si="2"/>
        <v>24</v>
      </c>
      <c r="D74" s="85" t="s">
        <v>159</v>
      </c>
      <c r="E74" s="85" t="s">
        <v>130</v>
      </c>
      <c r="F74" s="86" t="s">
        <v>171</v>
      </c>
      <c r="G74" s="87" t="s">
        <v>66</v>
      </c>
      <c r="H74" s="88">
        <f t="shared" si="3"/>
        <v>0.11</v>
      </c>
      <c r="I74" s="89">
        <v>0.1</v>
      </c>
      <c r="J74" s="89"/>
      <c r="K74" s="89">
        <f t="shared" si="4"/>
        <v>0.01</v>
      </c>
      <c r="L74" s="84">
        <f t="shared" si="5"/>
        <v>73</v>
      </c>
      <c r="M74" s="85" t="s">
        <v>133</v>
      </c>
    </row>
    <row r="75" ht="22.5" customHeight="1">
      <c r="A75" s="83">
        <v>46183.0</v>
      </c>
      <c r="B75" s="84" t="str">
        <f t="shared" si="1"/>
        <v>Jun 2026</v>
      </c>
      <c r="C75" s="84">
        <f t="shared" si="2"/>
        <v>24</v>
      </c>
      <c r="D75" s="85" t="s">
        <v>159</v>
      </c>
      <c r="E75" s="85" t="s">
        <v>130</v>
      </c>
      <c r="F75" s="86" t="s">
        <v>171</v>
      </c>
      <c r="G75" s="87" t="s">
        <v>66</v>
      </c>
      <c r="H75" s="88">
        <f t="shared" si="3"/>
        <v>0.11</v>
      </c>
      <c r="I75" s="89">
        <v>0.1</v>
      </c>
      <c r="J75" s="89"/>
      <c r="K75" s="89">
        <f t="shared" si="4"/>
        <v>0.01</v>
      </c>
      <c r="L75" s="84">
        <f t="shared" si="5"/>
        <v>74</v>
      </c>
      <c r="M75" s="85" t="s">
        <v>133</v>
      </c>
    </row>
    <row r="76" ht="22.5" customHeight="1">
      <c r="A76" s="83">
        <v>46183.0</v>
      </c>
      <c r="B76" s="84" t="str">
        <f t="shared" si="1"/>
        <v>Jun 2026</v>
      </c>
      <c r="C76" s="84">
        <f t="shared" si="2"/>
        <v>24</v>
      </c>
      <c r="D76" s="85" t="s">
        <v>159</v>
      </c>
      <c r="E76" s="85" t="s">
        <v>130</v>
      </c>
      <c r="F76" s="86" t="s">
        <v>171</v>
      </c>
      <c r="G76" s="87" t="s">
        <v>66</v>
      </c>
      <c r="H76" s="88">
        <f t="shared" si="3"/>
        <v>0.11</v>
      </c>
      <c r="I76" s="89">
        <v>0.1</v>
      </c>
      <c r="J76" s="89"/>
      <c r="K76" s="89">
        <f t="shared" si="4"/>
        <v>0.01</v>
      </c>
      <c r="L76" s="84">
        <f t="shared" si="5"/>
        <v>75</v>
      </c>
      <c r="M76" s="85" t="s">
        <v>133</v>
      </c>
    </row>
    <row r="77" ht="22.5" customHeight="1">
      <c r="A77" s="83">
        <v>46183.0</v>
      </c>
      <c r="B77" s="84" t="str">
        <f t="shared" si="1"/>
        <v>Jun 2026</v>
      </c>
      <c r="C77" s="84">
        <f t="shared" si="2"/>
        <v>24</v>
      </c>
      <c r="D77" s="85" t="s">
        <v>159</v>
      </c>
      <c r="E77" s="85" t="s">
        <v>130</v>
      </c>
      <c r="F77" s="86" t="s">
        <v>171</v>
      </c>
      <c r="G77" s="87" t="s">
        <v>66</v>
      </c>
      <c r="H77" s="88">
        <f t="shared" si="3"/>
        <v>0.11</v>
      </c>
      <c r="I77" s="89">
        <v>0.1</v>
      </c>
      <c r="J77" s="89"/>
      <c r="K77" s="89">
        <f t="shared" si="4"/>
        <v>0.01</v>
      </c>
      <c r="L77" s="84">
        <f t="shared" si="5"/>
        <v>76</v>
      </c>
      <c r="M77" s="85" t="s">
        <v>133</v>
      </c>
    </row>
    <row r="78" ht="22.5" customHeight="1">
      <c r="A78" s="83">
        <v>46183.0</v>
      </c>
      <c r="B78" s="84" t="str">
        <f t="shared" si="1"/>
        <v>Jun 2026</v>
      </c>
      <c r="C78" s="84">
        <f t="shared" si="2"/>
        <v>24</v>
      </c>
      <c r="D78" s="85" t="s">
        <v>159</v>
      </c>
      <c r="E78" s="85" t="s">
        <v>164</v>
      </c>
      <c r="F78" s="86" t="s">
        <v>172</v>
      </c>
      <c r="G78" s="87" t="s">
        <v>62</v>
      </c>
      <c r="H78" s="88">
        <f t="shared" si="3"/>
        <v>0.11</v>
      </c>
      <c r="I78" s="89">
        <v>0.1</v>
      </c>
      <c r="J78" s="89"/>
      <c r="K78" s="89">
        <f t="shared" si="4"/>
        <v>0.01</v>
      </c>
      <c r="L78" s="84">
        <f t="shared" si="5"/>
        <v>77</v>
      </c>
      <c r="M78" s="85" t="s">
        <v>133</v>
      </c>
    </row>
    <row r="79" ht="22.5" customHeight="1">
      <c r="A79" s="83">
        <v>46183.0</v>
      </c>
      <c r="B79" s="84" t="str">
        <f t="shared" si="1"/>
        <v>Jun 2026</v>
      </c>
      <c r="C79" s="84">
        <f t="shared" si="2"/>
        <v>24</v>
      </c>
      <c r="D79" s="85" t="s">
        <v>159</v>
      </c>
      <c r="E79" s="85" t="s">
        <v>164</v>
      </c>
      <c r="F79" s="86" t="s">
        <v>172</v>
      </c>
      <c r="G79" s="87" t="s">
        <v>62</v>
      </c>
      <c r="H79" s="88">
        <f t="shared" si="3"/>
        <v>0.11</v>
      </c>
      <c r="I79" s="89">
        <v>0.1</v>
      </c>
      <c r="J79" s="89"/>
      <c r="K79" s="89">
        <f t="shared" si="4"/>
        <v>0.01</v>
      </c>
      <c r="L79" s="84">
        <f t="shared" si="5"/>
        <v>78</v>
      </c>
      <c r="M79" s="85" t="s">
        <v>133</v>
      </c>
    </row>
    <row r="80" ht="22.5" customHeight="1">
      <c r="A80" s="83">
        <v>46183.0</v>
      </c>
      <c r="B80" s="84" t="str">
        <f t="shared" si="1"/>
        <v>Jun 2026</v>
      </c>
      <c r="C80" s="84">
        <f t="shared" si="2"/>
        <v>24</v>
      </c>
      <c r="D80" s="85" t="s">
        <v>159</v>
      </c>
      <c r="E80" s="85" t="s">
        <v>164</v>
      </c>
      <c r="F80" s="86" t="s">
        <v>172</v>
      </c>
      <c r="G80" s="87" t="s">
        <v>62</v>
      </c>
      <c r="H80" s="88">
        <f t="shared" si="3"/>
        <v>0.11</v>
      </c>
      <c r="I80" s="89">
        <v>0.1</v>
      </c>
      <c r="J80" s="89"/>
      <c r="K80" s="89">
        <f t="shared" si="4"/>
        <v>0.01</v>
      </c>
      <c r="L80" s="84">
        <f t="shared" si="5"/>
        <v>79</v>
      </c>
      <c r="M80" s="85" t="s">
        <v>133</v>
      </c>
    </row>
    <row r="81" ht="22.5" customHeight="1">
      <c r="A81" s="83">
        <v>46183.0</v>
      </c>
      <c r="B81" s="84" t="str">
        <f t="shared" si="1"/>
        <v>Jun 2026</v>
      </c>
      <c r="C81" s="84">
        <f t="shared" si="2"/>
        <v>24</v>
      </c>
      <c r="D81" s="85" t="s">
        <v>159</v>
      </c>
      <c r="E81" s="85" t="s">
        <v>164</v>
      </c>
      <c r="F81" s="86" t="s">
        <v>172</v>
      </c>
      <c r="G81" s="87" t="s">
        <v>62</v>
      </c>
      <c r="H81" s="88">
        <f t="shared" si="3"/>
        <v>0.11</v>
      </c>
      <c r="I81" s="89">
        <v>0.1</v>
      </c>
      <c r="J81" s="89"/>
      <c r="K81" s="89">
        <f t="shared" si="4"/>
        <v>0.01</v>
      </c>
      <c r="L81" s="84">
        <f t="shared" si="5"/>
        <v>80</v>
      </c>
      <c r="M81" s="85" t="s">
        <v>133</v>
      </c>
    </row>
    <row r="82" ht="22.5" customHeight="1">
      <c r="A82" s="83">
        <v>46183.0</v>
      </c>
      <c r="B82" s="84" t="str">
        <f t="shared" si="1"/>
        <v>Jun 2026</v>
      </c>
      <c r="C82" s="84">
        <f t="shared" si="2"/>
        <v>24</v>
      </c>
      <c r="D82" s="85" t="s">
        <v>159</v>
      </c>
      <c r="E82" s="85" t="s">
        <v>164</v>
      </c>
      <c r="F82" s="86" t="s">
        <v>172</v>
      </c>
      <c r="G82" s="87" t="s">
        <v>62</v>
      </c>
      <c r="H82" s="88">
        <f t="shared" si="3"/>
        <v>0.11</v>
      </c>
      <c r="I82" s="89">
        <v>0.1</v>
      </c>
      <c r="J82" s="89"/>
      <c r="K82" s="89">
        <f t="shared" si="4"/>
        <v>0.01</v>
      </c>
      <c r="L82" s="84">
        <f t="shared" si="5"/>
        <v>81</v>
      </c>
      <c r="M82" s="85" t="s">
        <v>133</v>
      </c>
    </row>
    <row r="83" ht="22.5" customHeight="1">
      <c r="A83" s="83">
        <v>46184.0</v>
      </c>
      <c r="B83" s="84" t="str">
        <f t="shared" si="1"/>
        <v>Jun 2026</v>
      </c>
      <c r="C83" s="84">
        <f t="shared" si="2"/>
        <v>24</v>
      </c>
      <c r="D83" s="85" t="s">
        <v>159</v>
      </c>
      <c r="E83" s="85" t="s">
        <v>164</v>
      </c>
      <c r="F83" s="86" t="s">
        <v>172</v>
      </c>
      <c r="G83" s="87" t="s">
        <v>62</v>
      </c>
      <c r="H83" s="88">
        <f t="shared" si="3"/>
        <v>0.11</v>
      </c>
      <c r="I83" s="89">
        <v>0.1</v>
      </c>
      <c r="J83" s="89"/>
      <c r="K83" s="89">
        <f t="shared" si="4"/>
        <v>0.01</v>
      </c>
      <c r="L83" s="84">
        <f t="shared" si="5"/>
        <v>82</v>
      </c>
      <c r="M83" s="85" t="s">
        <v>133</v>
      </c>
    </row>
    <row r="84" ht="22.5" customHeight="1">
      <c r="A84" s="83">
        <v>46184.0</v>
      </c>
      <c r="B84" s="84" t="str">
        <f t="shared" si="1"/>
        <v>Jun 2026</v>
      </c>
      <c r="C84" s="84">
        <f t="shared" si="2"/>
        <v>24</v>
      </c>
      <c r="D84" s="85" t="s">
        <v>159</v>
      </c>
      <c r="E84" s="85" t="s">
        <v>164</v>
      </c>
      <c r="F84" s="86" t="s">
        <v>172</v>
      </c>
      <c r="G84" s="87" t="s">
        <v>62</v>
      </c>
      <c r="H84" s="88">
        <f t="shared" si="3"/>
        <v>0.11</v>
      </c>
      <c r="I84" s="89">
        <v>0.1</v>
      </c>
      <c r="J84" s="89"/>
      <c r="K84" s="89">
        <f t="shared" si="4"/>
        <v>0.01</v>
      </c>
      <c r="L84" s="84">
        <f t="shared" si="5"/>
        <v>83</v>
      </c>
      <c r="M84" s="85" t="s">
        <v>133</v>
      </c>
    </row>
    <row r="85" ht="22.5" customHeight="1">
      <c r="A85" s="83">
        <v>46184.0</v>
      </c>
      <c r="B85" s="84" t="str">
        <f t="shared" si="1"/>
        <v>Jun 2026</v>
      </c>
      <c r="C85" s="84">
        <f t="shared" si="2"/>
        <v>24</v>
      </c>
      <c r="D85" s="85" t="s">
        <v>159</v>
      </c>
      <c r="E85" s="85" t="s">
        <v>164</v>
      </c>
      <c r="F85" s="86" t="s">
        <v>172</v>
      </c>
      <c r="G85" s="87" t="s">
        <v>62</v>
      </c>
      <c r="H85" s="88">
        <f t="shared" si="3"/>
        <v>0.11</v>
      </c>
      <c r="I85" s="89">
        <v>0.1</v>
      </c>
      <c r="J85" s="89"/>
      <c r="K85" s="89">
        <f t="shared" si="4"/>
        <v>0.01</v>
      </c>
      <c r="L85" s="84">
        <f t="shared" si="5"/>
        <v>84</v>
      </c>
      <c r="M85" s="85" t="s">
        <v>133</v>
      </c>
    </row>
    <row r="86" ht="22.5" customHeight="1">
      <c r="A86" s="83">
        <v>46184.0</v>
      </c>
      <c r="B86" s="84" t="str">
        <f t="shared" si="1"/>
        <v>Jun 2026</v>
      </c>
      <c r="C86" s="84">
        <f t="shared" si="2"/>
        <v>24</v>
      </c>
      <c r="D86" s="85" t="s">
        <v>159</v>
      </c>
      <c r="E86" s="85" t="s">
        <v>164</v>
      </c>
      <c r="F86" s="86" t="s">
        <v>172</v>
      </c>
      <c r="G86" s="87" t="s">
        <v>62</v>
      </c>
      <c r="H86" s="88">
        <f t="shared" si="3"/>
        <v>0.11</v>
      </c>
      <c r="I86" s="89">
        <v>0.1</v>
      </c>
      <c r="J86" s="89"/>
      <c r="K86" s="89">
        <f t="shared" si="4"/>
        <v>0.01</v>
      </c>
      <c r="L86" s="84">
        <f t="shared" si="5"/>
        <v>85</v>
      </c>
      <c r="M86" s="85" t="s">
        <v>133</v>
      </c>
    </row>
    <row r="87" ht="22.5" customHeight="1">
      <c r="A87" s="83">
        <v>46184.0</v>
      </c>
      <c r="B87" s="84" t="str">
        <f t="shared" si="1"/>
        <v>Jun 2026</v>
      </c>
      <c r="C87" s="84">
        <f t="shared" si="2"/>
        <v>24</v>
      </c>
      <c r="D87" s="85" t="s">
        <v>159</v>
      </c>
      <c r="E87" s="85" t="s">
        <v>164</v>
      </c>
      <c r="F87" s="86" t="s">
        <v>172</v>
      </c>
      <c r="G87" s="87" t="s">
        <v>62</v>
      </c>
      <c r="H87" s="88">
        <f t="shared" si="3"/>
        <v>0.11</v>
      </c>
      <c r="I87" s="89">
        <v>0.1</v>
      </c>
      <c r="J87" s="89"/>
      <c r="K87" s="89">
        <f t="shared" si="4"/>
        <v>0.01</v>
      </c>
      <c r="L87" s="84">
        <f t="shared" si="5"/>
        <v>86</v>
      </c>
      <c r="M87" s="85" t="s">
        <v>133</v>
      </c>
    </row>
    <row r="88" ht="22.5" customHeight="1">
      <c r="A88" s="83">
        <v>46184.0</v>
      </c>
      <c r="B88" s="84" t="str">
        <f t="shared" si="1"/>
        <v>Jun 2026</v>
      </c>
      <c r="C88" s="84">
        <f t="shared" si="2"/>
        <v>24</v>
      </c>
      <c r="D88" s="85" t="s">
        <v>159</v>
      </c>
      <c r="E88" s="85" t="s">
        <v>165</v>
      </c>
      <c r="F88" s="86" t="s">
        <v>173</v>
      </c>
      <c r="G88" s="87" t="s">
        <v>174</v>
      </c>
      <c r="H88" s="88">
        <f t="shared" si="3"/>
        <v>0.11</v>
      </c>
      <c r="I88" s="89">
        <v>0.1</v>
      </c>
      <c r="J88" s="89"/>
      <c r="K88" s="89">
        <f t="shared" si="4"/>
        <v>0.01</v>
      </c>
      <c r="L88" s="84">
        <f t="shared" si="5"/>
        <v>87</v>
      </c>
      <c r="M88" s="85" t="s">
        <v>175</v>
      </c>
    </row>
    <row r="89" ht="22.5" customHeight="1">
      <c r="A89" s="83">
        <v>46184.0</v>
      </c>
      <c r="B89" s="84" t="str">
        <f t="shared" si="1"/>
        <v>Jun 2026</v>
      </c>
      <c r="C89" s="84">
        <f t="shared" si="2"/>
        <v>24</v>
      </c>
      <c r="D89" s="85" t="s">
        <v>159</v>
      </c>
      <c r="E89" s="85" t="s">
        <v>165</v>
      </c>
      <c r="F89" s="86" t="s">
        <v>173</v>
      </c>
      <c r="G89" s="87" t="s">
        <v>174</v>
      </c>
      <c r="H89" s="88">
        <f t="shared" si="3"/>
        <v>0.11</v>
      </c>
      <c r="I89" s="89">
        <v>0.1</v>
      </c>
      <c r="J89" s="89"/>
      <c r="K89" s="89">
        <f t="shared" si="4"/>
        <v>0.01</v>
      </c>
      <c r="L89" s="84">
        <f t="shared" si="5"/>
        <v>88</v>
      </c>
      <c r="M89" s="85" t="s">
        <v>175</v>
      </c>
    </row>
    <row r="90" ht="22.5" customHeight="1">
      <c r="A90" s="83">
        <v>46184.0</v>
      </c>
      <c r="B90" s="84" t="str">
        <f t="shared" si="1"/>
        <v>Jun 2026</v>
      </c>
      <c r="C90" s="84">
        <f t="shared" si="2"/>
        <v>24</v>
      </c>
      <c r="D90" s="85" t="s">
        <v>159</v>
      </c>
      <c r="E90" s="85" t="s">
        <v>165</v>
      </c>
      <c r="F90" s="86" t="s">
        <v>173</v>
      </c>
      <c r="G90" s="87" t="s">
        <v>174</v>
      </c>
      <c r="H90" s="88">
        <f t="shared" si="3"/>
        <v>0.11</v>
      </c>
      <c r="I90" s="89">
        <v>0.1</v>
      </c>
      <c r="J90" s="89"/>
      <c r="K90" s="89">
        <f t="shared" si="4"/>
        <v>0.01</v>
      </c>
      <c r="L90" s="84">
        <f t="shared" si="5"/>
        <v>89</v>
      </c>
      <c r="M90" s="85" t="s">
        <v>175</v>
      </c>
    </row>
    <row r="91" ht="22.5" customHeight="1">
      <c r="A91" s="83">
        <v>46184.0</v>
      </c>
      <c r="B91" s="84" t="str">
        <f t="shared" si="1"/>
        <v>Jun 2026</v>
      </c>
      <c r="C91" s="84">
        <f t="shared" si="2"/>
        <v>24</v>
      </c>
      <c r="D91" s="85" t="s">
        <v>159</v>
      </c>
      <c r="E91" s="85" t="s">
        <v>165</v>
      </c>
      <c r="F91" s="86" t="s">
        <v>173</v>
      </c>
      <c r="G91" s="87" t="s">
        <v>174</v>
      </c>
      <c r="H91" s="88">
        <f t="shared" si="3"/>
        <v>0.11</v>
      </c>
      <c r="I91" s="89">
        <v>0.1</v>
      </c>
      <c r="J91" s="89"/>
      <c r="K91" s="89">
        <f t="shared" si="4"/>
        <v>0.01</v>
      </c>
      <c r="L91" s="84">
        <f t="shared" si="5"/>
        <v>90</v>
      </c>
      <c r="M91" s="85" t="s">
        <v>175</v>
      </c>
    </row>
    <row r="92" ht="22.5" customHeight="1">
      <c r="A92" s="83">
        <v>46184.0</v>
      </c>
      <c r="B92" s="84" t="str">
        <f t="shared" si="1"/>
        <v>Jun 2026</v>
      </c>
      <c r="C92" s="84">
        <f t="shared" si="2"/>
        <v>24</v>
      </c>
      <c r="D92" s="85" t="s">
        <v>159</v>
      </c>
      <c r="E92" s="85" t="s">
        <v>165</v>
      </c>
      <c r="F92" s="86" t="s">
        <v>173</v>
      </c>
      <c r="G92" s="87" t="s">
        <v>174</v>
      </c>
      <c r="H92" s="88">
        <f t="shared" si="3"/>
        <v>0.11</v>
      </c>
      <c r="I92" s="89">
        <v>0.1</v>
      </c>
      <c r="J92" s="89"/>
      <c r="K92" s="89">
        <f t="shared" si="4"/>
        <v>0.01</v>
      </c>
      <c r="L92" s="84">
        <f t="shared" si="5"/>
        <v>91</v>
      </c>
      <c r="M92" s="85" t="s">
        <v>175</v>
      </c>
    </row>
    <row r="93" ht="22.5" customHeight="1">
      <c r="A93" s="83">
        <v>46184.0</v>
      </c>
      <c r="B93" s="84" t="str">
        <f t="shared" si="1"/>
        <v>Jun 2026</v>
      </c>
      <c r="C93" s="84">
        <f t="shared" si="2"/>
        <v>24</v>
      </c>
      <c r="D93" s="85" t="s">
        <v>129</v>
      </c>
      <c r="E93" s="85" t="s">
        <v>130</v>
      </c>
      <c r="F93" s="86" t="s">
        <v>176</v>
      </c>
      <c r="G93" s="87" t="s">
        <v>177</v>
      </c>
      <c r="H93" s="88">
        <f t="shared" si="3"/>
        <v>1.1</v>
      </c>
      <c r="I93" s="89">
        <v>1.0</v>
      </c>
      <c r="J93" s="89"/>
      <c r="K93" s="89">
        <f t="shared" si="4"/>
        <v>0.1</v>
      </c>
      <c r="L93" s="84">
        <f t="shared" si="5"/>
        <v>92</v>
      </c>
      <c r="M93" s="85" t="s">
        <v>133</v>
      </c>
    </row>
    <row r="94" ht="22.5" customHeight="1">
      <c r="A94" s="83">
        <v>46184.0</v>
      </c>
      <c r="B94" s="84" t="str">
        <f t="shared" si="1"/>
        <v>Jun 2026</v>
      </c>
      <c r="C94" s="84">
        <f t="shared" si="2"/>
        <v>24</v>
      </c>
      <c r="D94" s="85" t="s">
        <v>129</v>
      </c>
      <c r="E94" s="85" t="s">
        <v>130</v>
      </c>
      <c r="F94" s="86" t="s">
        <v>176</v>
      </c>
      <c r="G94" s="87" t="s">
        <v>177</v>
      </c>
      <c r="H94" s="88">
        <f t="shared" si="3"/>
        <v>1.1</v>
      </c>
      <c r="I94" s="89">
        <v>1.0</v>
      </c>
      <c r="J94" s="89"/>
      <c r="K94" s="89">
        <f t="shared" si="4"/>
        <v>0.1</v>
      </c>
      <c r="L94" s="84">
        <f t="shared" si="5"/>
        <v>93</v>
      </c>
      <c r="M94" s="85" t="s">
        <v>133</v>
      </c>
    </row>
    <row r="95" ht="22.5" customHeight="1">
      <c r="A95" s="83">
        <v>46184.0</v>
      </c>
      <c r="B95" s="84" t="str">
        <f t="shared" si="1"/>
        <v>Jun 2026</v>
      </c>
      <c r="C95" s="84">
        <f t="shared" si="2"/>
        <v>24</v>
      </c>
      <c r="D95" s="85" t="s">
        <v>129</v>
      </c>
      <c r="E95" s="85" t="s">
        <v>130</v>
      </c>
      <c r="F95" s="86" t="s">
        <v>176</v>
      </c>
      <c r="G95" s="87" t="s">
        <v>177</v>
      </c>
      <c r="H95" s="88">
        <f t="shared" si="3"/>
        <v>1.1</v>
      </c>
      <c r="I95" s="89">
        <v>1.0</v>
      </c>
      <c r="J95" s="89"/>
      <c r="K95" s="89">
        <f t="shared" si="4"/>
        <v>0.1</v>
      </c>
      <c r="L95" s="84">
        <f t="shared" si="5"/>
        <v>94</v>
      </c>
      <c r="M95" s="85" t="s">
        <v>133</v>
      </c>
    </row>
    <row r="96" ht="22.5" customHeight="1">
      <c r="A96" s="83">
        <v>46184.0</v>
      </c>
      <c r="B96" s="84" t="str">
        <f t="shared" si="1"/>
        <v>Jun 2026</v>
      </c>
      <c r="C96" s="84">
        <f t="shared" si="2"/>
        <v>24</v>
      </c>
      <c r="D96" s="85" t="s">
        <v>129</v>
      </c>
      <c r="E96" s="85" t="s">
        <v>130</v>
      </c>
      <c r="F96" s="86" t="s">
        <v>176</v>
      </c>
      <c r="G96" s="87" t="s">
        <v>177</v>
      </c>
      <c r="H96" s="88">
        <f t="shared" si="3"/>
        <v>1.1</v>
      </c>
      <c r="I96" s="89">
        <v>1.0</v>
      </c>
      <c r="J96" s="89"/>
      <c r="K96" s="89">
        <f t="shared" si="4"/>
        <v>0.1</v>
      </c>
      <c r="L96" s="84">
        <f t="shared" si="5"/>
        <v>95</v>
      </c>
      <c r="M96" s="85" t="s">
        <v>133</v>
      </c>
    </row>
    <row r="97" ht="22.5" customHeight="1">
      <c r="A97" s="83">
        <v>46184.0</v>
      </c>
      <c r="B97" s="84" t="str">
        <f t="shared" si="1"/>
        <v>Jun 2026</v>
      </c>
      <c r="C97" s="84">
        <f t="shared" si="2"/>
        <v>24</v>
      </c>
      <c r="D97" s="85" t="s">
        <v>129</v>
      </c>
      <c r="E97" s="85" t="s">
        <v>130</v>
      </c>
      <c r="F97" s="86" t="s">
        <v>176</v>
      </c>
      <c r="G97" s="87" t="s">
        <v>177</v>
      </c>
      <c r="H97" s="88">
        <f t="shared" si="3"/>
        <v>1.1</v>
      </c>
      <c r="I97" s="89">
        <v>1.0</v>
      </c>
      <c r="J97" s="89"/>
      <c r="K97" s="89">
        <f t="shared" si="4"/>
        <v>0.1</v>
      </c>
      <c r="L97" s="84">
        <f t="shared" si="5"/>
        <v>96</v>
      </c>
      <c r="M97" s="85" t="s">
        <v>133</v>
      </c>
    </row>
    <row r="98" ht="22.5" customHeight="1">
      <c r="A98" s="83">
        <v>46184.0</v>
      </c>
      <c r="B98" s="84" t="str">
        <f t="shared" si="1"/>
        <v>Jun 2026</v>
      </c>
      <c r="C98" s="84">
        <f t="shared" si="2"/>
        <v>24</v>
      </c>
      <c r="D98" s="85" t="s">
        <v>129</v>
      </c>
      <c r="E98" s="85" t="s">
        <v>130</v>
      </c>
      <c r="F98" s="86" t="s">
        <v>176</v>
      </c>
      <c r="G98" s="87" t="s">
        <v>177</v>
      </c>
      <c r="H98" s="88">
        <f t="shared" si="3"/>
        <v>1.1</v>
      </c>
      <c r="I98" s="89">
        <v>1.0</v>
      </c>
      <c r="J98" s="89"/>
      <c r="K98" s="89">
        <f t="shared" si="4"/>
        <v>0.1</v>
      </c>
      <c r="L98" s="84">
        <f t="shared" si="5"/>
        <v>97</v>
      </c>
      <c r="M98" s="85" t="s">
        <v>133</v>
      </c>
    </row>
    <row r="99" ht="22.5" customHeight="1">
      <c r="A99" s="83">
        <v>46184.0</v>
      </c>
      <c r="B99" s="84" t="str">
        <f t="shared" si="1"/>
        <v>Jun 2026</v>
      </c>
      <c r="C99" s="84">
        <f t="shared" si="2"/>
        <v>24</v>
      </c>
      <c r="D99" s="85" t="s">
        <v>129</v>
      </c>
      <c r="E99" s="85" t="s">
        <v>130</v>
      </c>
      <c r="F99" s="86" t="s">
        <v>176</v>
      </c>
      <c r="G99" s="87" t="s">
        <v>177</v>
      </c>
      <c r="H99" s="88">
        <f t="shared" si="3"/>
        <v>1.1</v>
      </c>
      <c r="I99" s="89">
        <v>1.0</v>
      </c>
      <c r="J99" s="89"/>
      <c r="K99" s="89">
        <f t="shared" si="4"/>
        <v>0.1</v>
      </c>
      <c r="L99" s="84">
        <f t="shared" si="5"/>
        <v>98</v>
      </c>
      <c r="M99" s="85" t="s">
        <v>133</v>
      </c>
    </row>
    <row r="100" ht="22.5" customHeight="1">
      <c r="A100" s="83">
        <v>46184.0</v>
      </c>
      <c r="B100" s="84" t="str">
        <f t="shared" si="1"/>
        <v>Jun 2026</v>
      </c>
      <c r="C100" s="84">
        <f t="shared" si="2"/>
        <v>24</v>
      </c>
      <c r="D100" s="85" t="s">
        <v>129</v>
      </c>
      <c r="E100" s="85" t="s">
        <v>130</v>
      </c>
      <c r="F100" s="86" t="s">
        <v>176</v>
      </c>
      <c r="G100" s="87" t="s">
        <v>177</v>
      </c>
      <c r="H100" s="88">
        <f t="shared" si="3"/>
        <v>1.1</v>
      </c>
      <c r="I100" s="89">
        <v>1.0</v>
      </c>
      <c r="J100" s="89"/>
      <c r="K100" s="89">
        <f t="shared" si="4"/>
        <v>0.1</v>
      </c>
      <c r="L100" s="84">
        <f t="shared" si="5"/>
        <v>99</v>
      </c>
      <c r="M100" s="85" t="s">
        <v>133</v>
      </c>
    </row>
    <row r="101" ht="22.5" customHeight="1">
      <c r="A101" s="83">
        <v>46184.0</v>
      </c>
      <c r="B101" s="84" t="str">
        <f t="shared" si="1"/>
        <v>Jun 2026</v>
      </c>
      <c r="C101" s="84">
        <f t="shared" si="2"/>
        <v>24</v>
      </c>
      <c r="D101" s="85" t="s">
        <v>129</v>
      </c>
      <c r="E101" s="85" t="s">
        <v>130</v>
      </c>
      <c r="F101" s="86" t="s">
        <v>176</v>
      </c>
      <c r="G101" s="87" t="s">
        <v>177</v>
      </c>
      <c r="H101" s="88">
        <f t="shared" si="3"/>
        <v>1.1</v>
      </c>
      <c r="I101" s="89">
        <v>1.0</v>
      </c>
      <c r="J101" s="89"/>
      <c r="K101" s="89">
        <f t="shared" si="4"/>
        <v>0.1</v>
      </c>
      <c r="L101" s="84">
        <f t="shared" si="5"/>
        <v>100</v>
      </c>
      <c r="M101" s="85" t="s">
        <v>133</v>
      </c>
    </row>
    <row r="102" ht="22.5" customHeight="1">
      <c r="A102" s="83">
        <v>46184.0</v>
      </c>
      <c r="B102" s="84" t="str">
        <f t="shared" si="1"/>
        <v>Jun 2026</v>
      </c>
      <c r="C102" s="84">
        <f t="shared" si="2"/>
        <v>24</v>
      </c>
      <c r="D102" s="85" t="s">
        <v>129</v>
      </c>
      <c r="E102" s="85" t="s">
        <v>130</v>
      </c>
      <c r="F102" s="86" t="s">
        <v>176</v>
      </c>
      <c r="G102" s="87" t="s">
        <v>177</v>
      </c>
      <c r="H102" s="88">
        <f t="shared" si="3"/>
        <v>1.1</v>
      </c>
      <c r="I102" s="89">
        <v>1.0</v>
      </c>
      <c r="J102" s="89"/>
      <c r="K102" s="89">
        <f t="shared" si="4"/>
        <v>0.1</v>
      </c>
      <c r="L102" s="84">
        <f t="shared" si="5"/>
        <v>101</v>
      </c>
      <c r="M102" s="85" t="s">
        <v>133</v>
      </c>
    </row>
    <row r="103" ht="22.5" customHeight="1">
      <c r="A103" s="83">
        <v>46184.0</v>
      </c>
      <c r="B103" s="84" t="str">
        <f t="shared" si="1"/>
        <v>Jun 2026</v>
      </c>
      <c r="C103" s="84">
        <f t="shared" si="2"/>
        <v>24</v>
      </c>
      <c r="D103" s="85" t="s">
        <v>129</v>
      </c>
      <c r="E103" s="85" t="s">
        <v>130</v>
      </c>
      <c r="F103" s="86" t="s">
        <v>176</v>
      </c>
      <c r="G103" s="87" t="s">
        <v>177</v>
      </c>
      <c r="H103" s="88">
        <f t="shared" si="3"/>
        <v>1.1</v>
      </c>
      <c r="I103" s="89">
        <v>1.0</v>
      </c>
      <c r="J103" s="89"/>
      <c r="K103" s="89">
        <f t="shared" si="4"/>
        <v>0.1</v>
      </c>
      <c r="L103" s="84">
        <f t="shared" si="5"/>
        <v>102</v>
      </c>
      <c r="M103" s="85" t="s">
        <v>133</v>
      </c>
    </row>
    <row r="104" ht="22.5" customHeight="1">
      <c r="A104" s="83">
        <v>46184.0</v>
      </c>
      <c r="B104" s="84" t="str">
        <f t="shared" si="1"/>
        <v>Jun 2026</v>
      </c>
      <c r="C104" s="84">
        <f t="shared" si="2"/>
        <v>24</v>
      </c>
      <c r="D104" s="85" t="s">
        <v>129</v>
      </c>
      <c r="E104" s="85" t="s">
        <v>130</v>
      </c>
      <c r="F104" s="86" t="s">
        <v>176</v>
      </c>
      <c r="G104" s="87" t="s">
        <v>177</v>
      </c>
      <c r="H104" s="88">
        <f t="shared" si="3"/>
        <v>1.1</v>
      </c>
      <c r="I104" s="89">
        <v>1.0</v>
      </c>
      <c r="J104" s="89"/>
      <c r="K104" s="89">
        <f t="shared" si="4"/>
        <v>0.1</v>
      </c>
      <c r="L104" s="84">
        <f t="shared" si="5"/>
        <v>103</v>
      </c>
      <c r="M104" s="85" t="s">
        <v>133</v>
      </c>
    </row>
    <row r="105" ht="22.5" customHeight="1">
      <c r="A105" s="83">
        <v>46184.0</v>
      </c>
      <c r="B105" s="84" t="str">
        <f t="shared" si="1"/>
        <v>Jun 2026</v>
      </c>
      <c r="C105" s="84">
        <f t="shared" si="2"/>
        <v>24</v>
      </c>
      <c r="D105" s="85" t="s">
        <v>129</v>
      </c>
      <c r="E105" s="85" t="s">
        <v>130</v>
      </c>
      <c r="F105" s="86" t="s">
        <v>176</v>
      </c>
      <c r="G105" s="87" t="s">
        <v>177</v>
      </c>
      <c r="H105" s="88">
        <f t="shared" si="3"/>
        <v>1.1</v>
      </c>
      <c r="I105" s="89">
        <v>1.0</v>
      </c>
      <c r="J105" s="89"/>
      <c r="K105" s="89">
        <f t="shared" si="4"/>
        <v>0.1</v>
      </c>
      <c r="L105" s="84">
        <f t="shared" si="5"/>
        <v>104</v>
      </c>
      <c r="M105" s="85" t="s">
        <v>133</v>
      </c>
    </row>
    <row r="106" ht="22.5" customHeight="1">
      <c r="A106" s="83">
        <v>46184.0</v>
      </c>
      <c r="B106" s="84" t="str">
        <f t="shared" si="1"/>
        <v>Jun 2026</v>
      </c>
      <c r="C106" s="84">
        <f t="shared" si="2"/>
        <v>24</v>
      </c>
      <c r="D106" s="85" t="s">
        <v>129</v>
      </c>
      <c r="E106" s="85" t="s">
        <v>130</v>
      </c>
      <c r="F106" s="86" t="s">
        <v>176</v>
      </c>
      <c r="G106" s="87" t="s">
        <v>177</v>
      </c>
      <c r="H106" s="88">
        <f t="shared" si="3"/>
        <v>1.1</v>
      </c>
      <c r="I106" s="89">
        <v>1.0</v>
      </c>
      <c r="J106" s="89"/>
      <c r="K106" s="89">
        <f t="shared" si="4"/>
        <v>0.1</v>
      </c>
      <c r="L106" s="84">
        <f t="shared" si="5"/>
        <v>105</v>
      </c>
      <c r="M106" s="85" t="s">
        <v>133</v>
      </c>
    </row>
    <row r="107" ht="22.5" customHeight="1">
      <c r="A107" s="83">
        <v>46184.0</v>
      </c>
      <c r="B107" s="84" t="str">
        <f t="shared" si="1"/>
        <v>Jun 2026</v>
      </c>
      <c r="C107" s="84">
        <f t="shared" si="2"/>
        <v>24</v>
      </c>
      <c r="D107" s="85" t="s">
        <v>129</v>
      </c>
      <c r="E107" s="85" t="s">
        <v>130</v>
      </c>
      <c r="F107" s="86" t="s">
        <v>176</v>
      </c>
      <c r="G107" s="87" t="s">
        <v>177</v>
      </c>
      <c r="H107" s="88">
        <f t="shared" si="3"/>
        <v>1.1</v>
      </c>
      <c r="I107" s="89">
        <v>1.0</v>
      </c>
      <c r="J107" s="89"/>
      <c r="K107" s="89">
        <f t="shared" si="4"/>
        <v>0.1</v>
      </c>
      <c r="L107" s="84">
        <f t="shared" si="5"/>
        <v>106</v>
      </c>
      <c r="M107" s="85" t="s">
        <v>133</v>
      </c>
    </row>
    <row r="108" ht="22.5" customHeight="1">
      <c r="A108" s="83">
        <v>46185.0</v>
      </c>
      <c r="B108" s="84" t="str">
        <f t="shared" si="1"/>
        <v>Jun 2026</v>
      </c>
      <c r="C108" s="84">
        <f t="shared" si="2"/>
        <v>24</v>
      </c>
      <c r="D108" s="85" t="s">
        <v>159</v>
      </c>
      <c r="E108" s="85" t="s">
        <v>164</v>
      </c>
      <c r="F108" s="86" t="s">
        <v>172</v>
      </c>
      <c r="G108" s="87" t="s">
        <v>62</v>
      </c>
      <c r="H108" s="88">
        <f t="shared" si="3"/>
        <v>0.11</v>
      </c>
      <c r="I108" s="89">
        <v>0.1</v>
      </c>
      <c r="J108" s="89"/>
      <c r="K108" s="89">
        <f t="shared" si="4"/>
        <v>0.01</v>
      </c>
      <c r="L108" s="84">
        <f t="shared" si="5"/>
        <v>107</v>
      </c>
      <c r="M108" s="85" t="s">
        <v>133</v>
      </c>
    </row>
    <row r="109" ht="22.5" customHeight="1">
      <c r="A109" s="83">
        <v>46185.0</v>
      </c>
      <c r="B109" s="84" t="str">
        <f t="shared" si="1"/>
        <v>Jun 2026</v>
      </c>
      <c r="C109" s="84">
        <f t="shared" si="2"/>
        <v>24</v>
      </c>
      <c r="D109" s="85" t="s">
        <v>159</v>
      </c>
      <c r="E109" s="85" t="s">
        <v>164</v>
      </c>
      <c r="F109" s="86" t="s">
        <v>172</v>
      </c>
      <c r="G109" s="87" t="s">
        <v>62</v>
      </c>
      <c r="H109" s="88">
        <f t="shared" si="3"/>
        <v>0.11</v>
      </c>
      <c r="I109" s="89">
        <v>0.1</v>
      </c>
      <c r="J109" s="89"/>
      <c r="K109" s="89">
        <f t="shared" si="4"/>
        <v>0.01</v>
      </c>
      <c r="L109" s="84">
        <f t="shared" si="5"/>
        <v>108</v>
      </c>
      <c r="M109" s="85" t="s">
        <v>133</v>
      </c>
    </row>
    <row r="110" ht="22.5" customHeight="1">
      <c r="A110" s="83">
        <v>46185.0</v>
      </c>
      <c r="B110" s="84" t="str">
        <f t="shared" si="1"/>
        <v>Jun 2026</v>
      </c>
      <c r="C110" s="84">
        <f t="shared" si="2"/>
        <v>24</v>
      </c>
      <c r="D110" s="85" t="s">
        <v>159</v>
      </c>
      <c r="E110" s="85" t="s">
        <v>164</v>
      </c>
      <c r="F110" s="86" t="s">
        <v>172</v>
      </c>
      <c r="G110" s="87" t="s">
        <v>62</v>
      </c>
      <c r="H110" s="88">
        <f t="shared" si="3"/>
        <v>0.11</v>
      </c>
      <c r="I110" s="89">
        <v>0.1</v>
      </c>
      <c r="J110" s="89"/>
      <c r="K110" s="89">
        <f t="shared" si="4"/>
        <v>0.01</v>
      </c>
      <c r="L110" s="84">
        <f t="shared" si="5"/>
        <v>109</v>
      </c>
      <c r="M110" s="85" t="s">
        <v>133</v>
      </c>
    </row>
    <row r="111" ht="22.5" customHeight="1">
      <c r="A111" s="83">
        <v>46185.0</v>
      </c>
      <c r="B111" s="84" t="str">
        <f t="shared" si="1"/>
        <v>Jun 2026</v>
      </c>
      <c r="C111" s="84">
        <f t="shared" si="2"/>
        <v>24</v>
      </c>
      <c r="D111" s="85" t="s">
        <v>159</v>
      </c>
      <c r="E111" s="85" t="s">
        <v>164</v>
      </c>
      <c r="F111" s="86" t="s">
        <v>172</v>
      </c>
      <c r="G111" s="87" t="s">
        <v>62</v>
      </c>
      <c r="H111" s="88">
        <f t="shared" si="3"/>
        <v>0.11</v>
      </c>
      <c r="I111" s="89">
        <v>0.1</v>
      </c>
      <c r="J111" s="89"/>
      <c r="K111" s="89">
        <f t="shared" si="4"/>
        <v>0.01</v>
      </c>
      <c r="L111" s="84">
        <f t="shared" si="5"/>
        <v>110</v>
      </c>
      <c r="M111" s="85" t="s">
        <v>133</v>
      </c>
    </row>
    <row r="112" ht="22.5" customHeight="1">
      <c r="A112" s="83">
        <v>46185.0</v>
      </c>
      <c r="B112" s="84" t="str">
        <f t="shared" si="1"/>
        <v>Jun 2026</v>
      </c>
      <c r="C112" s="84">
        <f t="shared" si="2"/>
        <v>24</v>
      </c>
      <c r="D112" s="85" t="s">
        <v>159</v>
      </c>
      <c r="E112" s="85" t="s">
        <v>164</v>
      </c>
      <c r="F112" s="86" t="s">
        <v>172</v>
      </c>
      <c r="G112" s="87" t="s">
        <v>62</v>
      </c>
      <c r="H112" s="88">
        <f t="shared" si="3"/>
        <v>0.11</v>
      </c>
      <c r="I112" s="89">
        <v>0.1</v>
      </c>
      <c r="J112" s="89"/>
      <c r="K112" s="89">
        <f t="shared" si="4"/>
        <v>0.01</v>
      </c>
      <c r="L112" s="84">
        <f t="shared" si="5"/>
        <v>111</v>
      </c>
      <c r="M112" s="85" t="s">
        <v>175</v>
      </c>
    </row>
    <row r="113" ht="22.5" customHeight="1">
      <c r="A113" s="83">
        <v>46185.0</v>
      </c>
      <c r="B113" s="84" t="str">
        <f t="shared" si="1"/>
        <v>Jun 2026</v>
      </c>
      <c r="C113" s="84">
        <f t="shared" si="2"/>
        <v>24</v>
      </c>
      <c r="D113" s="85" t="s">
        <v>159</v>
      </c>
      <c r="E113" s="85" t="s">
        <v>164</v>
      </c>
      <c r="F113" s="86" t="s">
        <v>172</v>
      </c>
      <c r="G113" s="87" t="s">
        <v>62</v>
      </c>
      <c r="H113" s="88">
        <f t="shared" si="3"/>
        <v>0.11</v>
      </c>
      <c r="I113" s="89">
        <v>0.1</v>
      </c>
      <c r="J113" s="89"/>
      <c r="K113" s="89">
        <f t="shared" si="4"/>
        <v>0.01</v>
      </c>
      <c r="L113" s="84">
        <f t="shared" si="5"/>
        <v>112</v>
      </c>
      <c r="M113" s="85" t="s">
        <v>175</v>
      </c>
    </row>
    <row r="114" ht="22.5" customHeight="1">
      <c r="A114" s="83">
        <v>46185.0</v>
      </c>
      <c r="B114" s="84" t="str">
        <f t="shared" si="1"/>
        <v>Jun 2026</v>
      </c>
      <c r="C114" s="84">
        <f t="shared" si="2"/>
        <v>24</v>
      </c>
      <c r="D114" s="85" t="s">
        <v>159</v>
      </c>
      <c r="E114" s="85" t="s">
        <v>164</v>
      </c>
      <c r="F114" s="86" t="s">
        <v>172</v>
      </c>
      <c r="G114" s="87" t="s">
        <v>62</v>
      </c>
      <c r="H114" s="88">
        <f t="shared" si="3"/>
        <v>0.11</v>
      </c>
      <c r="I114" s="89">
        <v>0.1</v>
      </c>
      <c r="J114" s="89"/>
      <c r="K114" s="89">
        <f t="shared" si="4"/>
        <v>0.01</v>
      </c>
      <c r="L114" s="84">
        <f t="shared" si="5"/>
        <v>113</v>
      </c>
      <c r="M114" s="85" t="s">
        <v>175</v>
      </c>
    </row>
    <row r="115" ht="22.5" customHeight="1">
      <c r="A115" s="83">
        <v>46185.0</v>
      </c>
      <c r="B115" s="84" t="str">
        <f t="shared" si="1"/>
        <v>Jun 2026</v>
      </c>
      <c r="C115" s="84">
        <f t="shared" si="2"/>
        <v>24</v>
      </c>
      <c r="D115" s="85" t="s">
        <v>159</v>
      </c>
      <c r="E115" s="85" t="s">
        <v>164</v>
      </c>
      <c r="F115" s="86" t="s">
        <v>172</v>
      </c>
      <c r="G115" s="87" t="s">
        <v>62</v>
      </c>
      <c r="H115" s="88">
        <f t="shared" si="3"/>
        <v>0.11</v>
      </c>
      <c r="I115" s="89">
        <v>0.1</v>
      </c>
      <c r="J115" s="89"/>
      <c r="K115" s="89">
        <f t="shared" si="4"/>
        <v>0.01</v>
      </c>
      <c r="L115" s="84">
        <f t="shared" si="5"/>
        <v>114</v>
      </c>
      <c r="M115" s="85" t="s">
        <v>175</v>
      </c>
    </row>
    <row r="116" ht="22.5" customHeight="1">
      <c r="A116" s="83">
        <v>46185.0</v>
      </c>
      <c r="B116" s="84" t="str">
        <f t="shared" si="1"/>
        <v>Jun 2026</v>
      </c>
      <c r="C116" s="84">
        <f t="shared" si="2"/>
        <v>24</v>
      </c>
      <c r="D116" s="85" t="s">
        <v>159</v>
      </c>
      <c r="E116" s="85" t="s">
        <v>164</v>
      </c>
      <c r="F116" s="86" t="s">
        <v>172</v>
      </c>
      <c r="G116" s="87" t="s">
        <v>62</v>
      </c>
      <c r="H116" s="88">
        <f t="shared" si="3"/>
        <v>0.11</v>
      </c>
      <c r="I116" s="89">
        <v>0.1</v>
      </c>
      <c r="J116" s="89"/>
      <c r="K116" s="89">
        <f t="shared" si="4"/>
        <v>0.01</v>
      </c>
      <c r="L116" s="84">
        <f t="shared" si="5"/>
        <v>115</v>
      </c>
      <c r="M116" s="85" t="s">
        <v>175</v>
      </c>
    </row>
    <row r="117" ht="22.5" customHeight="1">
      <c r="A117" s="83">
        <v>46185.0</v>
      </c>
      <c r="B117" s="84" t="str">
        <f t="shared" si="1"/>
        <v>Jun 2026</v>
      </c>
      <c r="C117" s="84">
        <f t="shared" si="2"/>
        <v>24</v>
      </c>
      <c r="D117" s="85" t="s">
        <v>159</v>
      </c>
      <c r="E117" s="85" t="s">
        <v>164</v>
      </c>
      <c r="F117" s="86" t="s">
        <v>172</v>
      </c>
      <c r="G117" s="87" t="s">
        <v>62</v>
      </c>
      <c r="H117" s="88">
        <f t="shared" si="3"/>
        <v>0.11</v>
      </c>
      <c r="I117" s="89">
        <v>0.1</v>
      </c>
      <c r="J117" s="89"/>
      <c r="K117" s="89">
        <f t="shared" si="4"/>
        <v>0.01</v>
      </c>
      <c r="L117" s="84">
        <f t="shared" si="5"/>
        <v>116</v>
      </c>
      <c r="M117" s="85" t="s">
        <v>175</v>
      </c>
    </row>
    <row r="118" ht="22.5" customHeight="1">
      <c r="A118" s="83">
        <v>46185.0</v>
      </c>
      <c r="B118" s="84" t="str">
        <f t="shared" si="1"/>
        <v>Jun 2026</v>
      </c>
      <c r="C118" s="84">
        <f t="shared" si="2"/>
        <v>24</v>
      </c>
      <c r="D118" s="85" t="s">
        <v>129</v>
      </c>
      <c r="E118" s="85" t="s">
        <v>130</v>
      </c>
      <c r="F118" s="86" t="s">
        <v>176</v>
      </c>
      <c r="G118" s="87" t="s">
        <v>177</v>
      </c>
      <c r="H118" s="88">
        <f t="shared" si="3"/>
        <v>1.1</v>
      </c>
      <c r="I118" s="89">
        <v>1.0</v>
      </c>
      <c r="J118" s="89"/>
      <c r="K118" s="89">
        <f t="shared" si="4"/>
        <v>0.1</v>
      </c>
      <c r="L118" s="84">
        <f t="shared" si="5"/>
        <v>117</v>
      </c>
      <c r="M118" s="85" t="s">
        <v>133</v>
      </c>
    </row>
    <row r="119" ht="22.5" customHeight="1">
      <c r="A119" s="83">
        <v>46185.0</v>
      </c>
      <c r="B119" s="84" t="str">
        <f t="shared" si="1"/>
        <v>Jun 2026</v>
      </c>
      <c r="C119" s="84">
        <f t="shared" si="2"/>
        <v>24</v>
      </c>
      <c r="D119" s="85" t="s">
        <v>129</v>
      </c>
      <c r="E119" s="85" t="s">
        <v>130</v>
      </c>
      <c r="F119" s="86" t="s">
        <v>176</v>
      </c>
      <c r="G119" s="87" t="s">
        <v>177</v>
      </c>
      <c r="H119" s="88">
        <f t="shared" si="3"/>
        <v>1.1</v>
      </c>
      <c r="I119" s="89">
        <v>1.0</v>
      </c>
      <c r="J119" s="89"/>
      <c r="K119" s="89">
        <f t="shared" si="4"/>
        <v>0.1</v>
      </c>
      <c r="L119" s="84">
        <f t="shared" si="5"/>
        <v>118</v>
      </c>
      <c r="M119" s="85" t="s">
        <v>133</v>
      </c>
    </row>
    <row r="120" ht="22.5" customHeight="1">
      <c r="A120" s="83">
        <v>46185.0</v>
      </c>
      <c r="B120" s="84" t="str">
        <f t="shared" si="1"/>
        <v>Jun 2026</v>
      </c>
      <c r="C120" s="84">
        <f t="shared" si="2"/>
        <v>24</v>
      </c>
      <c r="D120" s="85" t="s">
        <v>129</v>
      </c>
      <c r="E120" s="85" t="s">
        <v>130</v>
      </c>
      <c r="F120" s="86" t="s">
        <v>176</v>
      </c>
      <c r="G120" s="87" t="s">
        <v>177</v>
      </c>
      <c r="H120" s="88">
        <f t="shared" si="3"/>
        <v>1.1</v>
      </c>
      <c r="I120" s="89">
        <v>1.0</v>
      </c>
      <c r="J120" s="89"/>
      <c r="K120" s="89">
        <f t="shared" si="4"/>
        <v>0.1</v>
      </c>
      <c r="L120" s="84">
        <f t="shared" si="5"/>
        <v>119</v>
      </c>
      <c r="M120" s="85" t="s">
        <v>133</v>
      </c>
    </row>
    <row r="121" ht="22.5" customHeight="1">
      <c r="A121" s="83">
        <v>46185.0</v>
      </c>
      <c r="B121" s="84" t="str">
        <f t="shared" si="1"/>
        <v>Jun 2026</v>
      </c>
      <c r="C121" s="84">
        <f t="shared" si="2"/>
        <v>24</v>
      </c>
      <c r="D121" s="85" t="s">
        <v>129</v>
      </c>
      <c r="E121" s="85" t="s">
        <v>130</v>
      </c>
      <c r="F121" s="86" t="s">
        <v>176</v>
      </c>
      <c r="G121" s="87" t="s">
        <v>177</v>
      </c>
      <c r="H121" s="88">
        <f t="shared" si="3"/>
        <v>1.1</v>
      </c>
      <c r="I121" s="89">
        <v>1.0</v>
      </c>
      <c r="J121" s="89"/>
      <c r="K121" s="89">
        <f t="shared" si="4"/>
        <v>0.1</v>
      </c>
      <c r="L121" s="84">
        <f t="shared" si="5"/>
        <v>120</v>
      </c>
      <c r="M121" s="85" t="s">
        <v>133</v>
      </c>
    </row>
    <row r="122" ht="22.5" customHeight="1">
      <c r="A122" s="83">
        <v>46185.0</v>
      </c>
      <c r="B122" s="84" t="str">
        <f t="shared" si="1"/>
        <v>Jun 2026</v>
      </c>
      <c r="C122" s="84">
        <f t="shared" si="2"/>
        <v>24</v>
      </c>
      <c r="D122" s="85" t="s">
        <v>129</v>
      </c>
      <c r="E122" s="85" t="s">
        <v>130</v>
      </c>
      <c r="F122" s="86" t="s">
        <v>176</v>
      </c>
      <c r="G122" s="87" t="s">
        <v>177</v>
      </c>
      <c r="H122" s="88">
        <f t="shared" si="3"/>
        <v>1.1</v>
      </c>
      <c r="I122" s="89">
        <v>1.0</v>
      </c>
      <c r="J122" s="89"/>
      <c r="K122" s="89">
        <f t="shared" si="4"/>
        <v>0.1</v>
      </c>
      <c r="L122" s="84">
        <f t="shared" si="5"/>
        <v>121</v>
      </c>
      <c r="M122" s="85" t="s">
        <v>133</v>
      </c>
    </row>
    <row r="123" ht="22.5" customHeight="1">
      <c r="A123" s="83">
        <v>46185.0</v>
      </c>
      <c r="B123" s="84" t="str">
        <f t="shared" si="1"/>
        <v>Jun 2026</v>
      </c>
      <c r="C123" s="84">
        <f t="shared" si="2"/>
        <v>24</v>
      </c>
      <c r="D123" s="85" t="s">
        <v>159</v>
      </c>
      <c r="E123" s="85" t="s">
        <v>130</v>
      </c>
      <c r="F123" s="86" t="s">
        <v>178</v>
      </c>
      <c r="G123" s="86" t="s">
        <v>74</v>
      </c>
      <c r="H123" s="88">
        <f t="shared" si="3"/>
        <v>0.11</v>
      </c>
      <c r="I123" s="89">
        <v>0.1</v>
      </c>
      <c r="J123" s="89"/>
      <c r="K123" s="89">
        <f t="shared" si="4"/>
        <v>0.01</v>
      </c>
      <c r="L123" s="84">
        <f t="shared" si="5"/>
        <v>122</v>
      </c>
      <c r="M123" s="85" t="s">
        <v>175</v>
      </c>
    </row>
    <row r="124" ht="22.5" customHeight="1">
      <c r="A124" s="83">
        <v>46185.0</v>
      </c>
      <c r="B124" s="84" t="str">
        <f t="shared" si="1"/>
        <v>Jun 2026</v>
      </c>
      <c r="C124" s="84">
        <f t="shared" si="2"/>
        <v>24</v>
      </c>
      <c r="D124" s="85" t="s">
        <v>159</v>
      </c>
      <c r="E124" s="85" t="s">
        <v>130</v>
      </c>
      <c r="F124" s="86" t="s">
        <v>178</v>
      </c>
      <c r="G124" s="86" t="s">
        <v>74</v>
      </c>
      <c r="H124" s="88">
        <f t="shared" si="3"/>
        <v>0.11</v>
      </c>
      <c r="I124" s="89">
        <v>0.1</v>
      </c>
      <c r="J124" s="89"/>
      <c r="K124" s="89">
        <f t="shared" si="4"/>
        <v>0.01</v>
      </c>
      <c r="L124" s="84">
        <f t="shared" si="5"/>
        <v>123</v>
      </c>
      <c r="M124" s="85" t="s">
        <v>175</v>
      </c>
    </row>
    <row r="125" ht="22.5" customHeight="1">
      <c r="A125" s="83">
        <v>46185.0</v>
      </c>
      <c r="B125" s="84" t="str">
        <f t="shared" si="1"/>
        <v>Jun 2026</v>
      </c>
      <c r="C125" s="84">
        <f t="shared" si="2"/>
        <v>24</v>
      </c>
      <c r="D125" s="85" t="s">
        <v>159</v>
      </c>
      <c r="E125" s="85" t="s">
        <v>130</v>
      </c>
      <c r="F125" s="86" t="s">
        <v>178</v>
      </c>
      <c r="G125" s="86" t="s">
        <v>74</v>
      </c>
      <c r="H125" s="88">
        <f t="shared" si="3"/>
        <v>0.11</v>
      </c>
      <c r="I125" s="89">
        <v>0.1</v>
      </c>
      <c r="J125" s="89"/>
      <c r="K125" s="89">
        <f t="shared" si="4"/>
        <v>0.01</v>
      </c>
      <c r="L125" s="84">
        <f t="shared" si="5"/>
        <v>124</v>
      </c>
      <c r="M125" s="85" t="s">
        <v>175</v>
      </c>
    </row>
    <row r="126" ht="22.5" customHeight="1">
      <c r="A126" s="83">
        <v>46185.0</v>
      </c>
      <c r="B126" s="84" t="str">
        <f t="shared" si="1"/>
        <v>Jun 2026</v>
      </c>
      <c r="C126" s="84">
        <f t="shared" si="2"/>
        <v>24</v>
      </c>
      <c r="D126" s="85" t="s">
        <v>159</v>
      </c>
      <c r="E126" s="85" t="s">
        <v>130</v>
      </c>
      <c r="F126" s="86" t="s">
        <v>178</v>
      </c>
      <c r="G126" s="86" t="s">
        <v>74</v>
      </c>
      <c r="H126" s="88">
        <f t="shared" si="3"/>
        <v>0.11</v>
      </c>
      <c r="I126" s="89">
        <v>0.1</v>
      </c>
      <c r="J126" s="89"/>
      <c r="K126" s="89">
        <f t="shared" si="4"/>
        <v>0.01</v>
      </c>
      <c r="L126" s="84">
        <f t="shared" si="5"/>
        <v>125</v>
      </c>
      <c r="M126" s="85" t="s">
        <v>175</v>
      </c>
    </row>
    <row r="127" ht="22.5" customHeight="1">
      <c r="A127" s="83">
        <v>46185.0</v>
      </c>
      <c r="B127" s="84" t="str">
        <f t="shared" si="1"/>
        <v>Jun 2026</v>
      </c>
      <c r="C127" s="84">
        <f t="shared" si="2"/>
        <v>24</v>
      </c>
      <c r="D127" s="85" t="s">
        <v>159</v>
      </c>
      <c r="E127" s="85" t="s">
        <v>130</v>
      </c>
      <c r="F127" s="86" t="s">
        <v>178</v>
      </c>
      <c r="G127" s="86" t="s">
        <v>74</v>
      </c>
      <c r="H127" s="88">
        <f t="shared" si="3"/>
        <v>0.11</v>
      </c>
      <c r="I127" s="89">
        <v>0.1</v>
      </c>
      <c r="J127" s="89"/>
      <c r="K127" s="89">
        <f t="shared" si="4"/>
        <v>0.01</v>
      </c>
      <c r="L127" s="84">
        <f t="shared" si="5"/>
        <v>126</v>
      </c>
      <c r="M127" s="85" t="s">
        <v>175</v>
      </c>
    </row>
    <row r="128" ht="22.5" customHeight="1">
      <c r="A128" s="83">
        <v>46185.0</v>
      </c>
      <c r="B128" s="84" t="str">
        <f t="shared" si="1"/>
        <v>Jun 2026</v>
      </c>
      <c r="C128" s="84">
        <f t="shared" si="2"/>
        <v>24</v>
      </c>
      <c r="D128" s="85" t="s">
        <v>159</v>
      </c>
      <c r="E128" s="85" t="s">
        <v>130</v>
      </c>
      <c r="F128" s="86" t="s">
        <v>178</v>
      </c>
      <c r="G128" s="86" t="s">
        <v>74</v>
      </c>
      <c r="H128" s="88">
        <f t="shared" si="3"/>
        <v>0.11</v>
      </c>
      <c r="I128" s="89">
        <v>0.1</v>
      </c>
      <c r="J128" s="89"/>
      <c r="K128" s="89">
        <f t="shared" si="4"/>
        <v>0.01</v>
      </c>
      <c r="L128" s="84">
        <f t="shared" si="5"/>
        <v>127</v>
      </c>
      <c r="M128" s="85" t="s">
        <v>175</v>
      </c>
    </row>
    <row r="129" ht="22.5" customHeight="1">
      <c r="A129" s="83">
        <v>46185.0</v>
      </c>
      <c r="B129" s="84" t="str">
        <f t="shared" si="1"/>
        <v>Jun 2026</v>
      </c>
      <c r="C129" s="84">
        <f t="shared" si="2"/>
        <v>24</v>
      </c>
      <c r="D129" s="85" t="s">
        <v>159</v>
      </c>
      <c r="E129" s="85" t="s">
        <v>130</v>
      </c>
      <c r="F129" s="86" t="s">
        <v>178</v>
      </c>
      <c r="G129" s="86" t="s">
        <v>74</v>
      </c>
      <c r="H129" s="88">
        <f t="shared" si="3"/>
        <v>0.11</v>
      </c>
      <c r="I129" s="89">
        <v>0.1</v>
      </c>
      <c r="J129" s="89"/>
      <c r="K129" s="89">
        <f t="shared" si="4"/>
        <v>0.01</v>
      </c>
      <c r="L129" s="84">
        <f t="shared" si="5"/>
        <v>128</v>
      </c>
      <c r="M129" s="85" t="s">
        <v>175</v>
      </c>
    </row>
    <row r="130" ht="22.5" customHeight="1">
      <c r="A130" s="83">
        <v>46185.0</v>
      </c>
      <c r="B130" s="84" t="str">
        <f t="shared" si="1"/>
        <v>Jun 2026</v>
      </c>
      <c r="C130" s="84">
        <f t="shared" si="2"/>
        <v>24</v>
      </c>
      <c r="D130" s="85" t="s">
        <v>159</v>
      </c>
      <c r="E130" s="85" t="s">
        <v>130</v>
      </c>
      <c r="F130" s="86" t="s">
        <v>178</v>
      </c>
      <c r="G130" s="86" t="s">
        <v>74</v>
      </c>
      <c r="H130" s="88">
        <f t="shared" si="3"/>
        <v>0.11</v>
      </c>
      <c r="I130" s="89">
        <v>0.1</v>
      </c>
      <c r="J130" s="89"/>
      <c r="K130" s="89">
        <f t="shared" si="4"/>
        <v>0.01</v>
      </c>
      <c r="L130" s="84">
        <f t="shared" si="5"/>
        <v>129</v>
      </c>
      <c r="M130" s="85" t="s">
        <v>175</v>
      </c>
    </row>
    <row r="131" ht="22.5" customHeight="1">
      <c r="A131" s="83">
        <v>46185.0</v>
      </c>
      <c r="B131" s="84" t="str">
        <f t="shared" si="1"/>
        <v>Jun 2026</v>
      </c>
      <c r="C131" s="84">
        <f t="shared" si="2"/>
        <v>24</v>
      </c>
      <c r="D131" s="85" t="s">
        <v>159</v>
      </c>
      <c r="E131" s="85" t="s">
        <v>130</v>
      </c>
      <c r="F131" s="86" t="s">
        <v>178</v>
      </c>
      <c r="G131" s="86" t="s">
        <v>74</v>
      </c>
      <c r="H131" s="88">
        <f t="shared" si="3"/>
        <v>0.11</v>
      </c>
      <c r="I131" s="89">
        <v>0.1</v>
      </c>
      <c r="J131" s="89"/>
      <c r="K131" s="89">
        <f t="shared" si="4"/>
        <v>0.01</v>
      </c>
      <c r="L131" s="84">
        <f t="shared" si="5"/>
        <v>130</v>
      </c>
      <c r="M131" s="85" t="s">
        <v>175</v>
      </c>
    </row>
    <row r="132" ht="22.5" customHeight="1">
      <c r="A132" s="83">
        <v>46185.0</v>
      </c>
      <c r="B132" s="84" t="str">
        <f t="shared" si="1"/>
        <v>Jun 2026</v>
      </c>
      <c r="C132" s="84">
        <f t="shared" si="2"/>
        <v>24</v>
      </c>
      <c r="D132" s="85" t="s">
        <v>159</v>
      </c>
      <c r="E132" s="85" t="s">
        <v>130</v>
      </c>
      <c r="F132" s="86" t="s">
        <v>178</v>
      </c>
      <c r="G132" s="86" t="s">
        <v>74</v>
      </c>
      <c r="H132" s="88">
        <f t="shared" si="3"/>
        <v>0.11</v>
      </c>
      <c r="I132" s="89">
        <v>0.1</v>
      </c>
      <c r="J132" s="89"/>
      <c r="K132" s="89">
        <f t="shared" si="4"/>
        <v>0.01</v>
      </c>
      <c r="L132" s="84">
        <f t="shared" si="5"/>
        <v>131</v>
      </c>
      <c r="M132" s="85" t="s">
        <v>175</v>
      </c>
    </row>
    <row r="133" ht="22.5" customHeight="1">
      <c r="A133" s="83">
        <v>46185.0</v>
      </c>
      <c r="B133" s="84" t="str">
        <f t="shared" si="1"/>
        <v>Jun 2026</v>
      </c>
      <c r="C133" s="84">
        <f t="shared" si="2"/>
        <v>24</v>
      </c>
      <c r="D133" s="85" t="s">
        <v>159</v>
      </c>
      <c r="E133" s="85" t="s">
        <v>130</v>
      </c>
      <c r="F133" s="86" t="s">
        <v>178</v>
      </c>
      <c r="G133" s="86" t="s">
        <v>74</v>
      </c>
      <c r="H133" s="88">
        <f t="shared" si="3"/>
        <v>0.11</v>
      </c>
      <c r="I133" s="89">
        <v>0.1</v>
      </c>
      <c r="J133" s="89"/>
      <c r="K133" s="89">
        <f t="shared" si="4"/>
        <v>0.01</v>
      </c>
      <c r="L133" s="84">
        <f t="shared" si="5"/>
        <v>132</v>
      </c>
      <c r="M133" s="85" t="s">
        <v>175</v>
      </c>
    </row>
    <row r="134" ht="22.5" customHeight="1">
      <c r="A134" s="83">
        <v>46185.0</v>
      </c>
      <c r="B134" s="84" t="str">
        <f t="shared" si="1"/>
        <v>Jun 2026</v>
      </c>
      <c r="C134" s="84">
        <f t="shared" si="2"/>
        <v>24</v>
      </c>
      <c r="D134" s="85" t="s">
        <v>159</v>
      </c>
      <c r="E134" s="85" t="s">
        <v>130</v>
      </c>
      <c r="F134" s="86" t="s">
        <v>178</v>
      </c>
      <c r="G134" s="86" t="s">
        <v>74</v>
      </c>
      <c r="H134" s="88">
        <f t="shared" si="3"/>
        <v>0.11</v>
      </c>
      <c r="I134" s="89">
        <v>0.1</v>
      </c>
      <c r="J134" s="89"/>
      <c r="K134" s="89">
        <f t="shared" si="4"/>
        <v>0.01</v>
      </c>
      <c r="L134" s="84">
        <f t="shared" si="5"/>
        <v>133</v>
      </c>
      <c r="M134" s="85" t="s">
        <v>175</v>
      </c>
    </row>
    <row r="135" ht="22.5" customHeight="1">
      <c r="A135" s="83">
        <v>46185.0</v>
      </c>
      <c r="B135" s="84" t="str">
        <f t="shared" si="1"/>
        <v>Jun 2026</v>
      </c>
      <c r="C135" s="84">
        <f t="shared" si="2"/>
        <v>24</v>
      </c>
      <c r="D135" s="85" t="s">
        <v>159</v>
      </c>
      <c r="E135" s="85" t="s">
        <v>130</v>
      </c>
      <c r="F135" s="86" t="s">
        <v>178</v>
      </c>
      <c r="G135" s="86" t="s">
        <v>74</v>
      </c>
      <c r="H135" s="88">
        <f t="shared" si="3"/>
        <v>0.11</v>
      </c>
      <c r="I135" s="89">
        <v>0.1</v>
      </c>
      <c r="J135" s="89"/>
      <c r="K135" s="89">
        <f t="shared" si="4"/>
        <v>0.01</v>
      </c>
      <c r="L135" s="84">
        <f t="shared" si="5"/>
        <v>134</v>
      </c>
      <c r="M135" s="85" t="s">
        <v>175</v>
      </c>
    </row>
    <row r="136" ht="22.5" customHeight="1">
      <c r="A136" s="83">
        <v>46185.0</v>
      </c>
      <c r="B136" s="84" t="str">
        <f t="shared" si="1"/>
        <v>Jun 2026</v>
      </c>
      <c r="C136" s="84">
        <f t="shared" si="2"/>
        <v>24</v>
      </c>
      <c r="D136" s="85" t="s">
        <v>159</v>
      </c>
      <c r="E136" s="85" t="s">
        <v>130</v>
      </c>
      <c r="F136" s="86" t="s">
        <v>178</v>
      </c>
      <c r="G136" s="86" t="s">
        <v>74</v>
      </c>
      <c r="H136" s="88">
        <f t="shared" si="3"/>
        <v>0.11</v>
      </c>
      <c r="I136" s="89">
        <v>0.1</v>
      </c>
      <c r="J136" s="89"/>
      <c r="K136" s="89">
        <f t="shared" si="4"/>
        <v>0.01</v>
      </c>
      <c r="L136" s="84">
        <f t="shared" si="5"/>
        <v>135</v>
      </c>
      <c r="M136" s="85" t="s">
        <v>175</v>
      </c>
    </row>
    <row r="137" ht="22.5" customHeight="1">
      <c r="A137" s="83">
        <v>46185.0</v>
      </c>
      <c r="B137" s="84" t="str">
        <f t="shared" si="1"/>
        <v>Jun 2026</v>
      </c>
      <c r="C137" s="84">
        <f t="shared" si="2"/>
        <v>24</v>
      </c>
      <c r="D137" s="85" t="s">
        <v>159</v>
      </c>
      <c r="E137" s="85" t="s">
        <v>130</v>
      </c>
      <c r="F137" s="86" t="s">
        <v>178</v>
      </c>
      <c r="G137" s="86" t="s">
        <v>74</v>
      </c>
      <c r="H137" s="88">
        <f t="shared" si="3"/>
        <v>0.11</v>
      </c>
      <c r="I137" s="89">
        <v>0.1</v>
      </c>
      <c r="J137" s="89"/>
      <c r="K137" s="89">
        <f t="shared" si="4"/>
        <v>0.01</v>
      </c>
      <c r="L137" s="84">
        <f t="shared" si="5"/>
        <v>136</v>
      </c>
      <c r="M137" s="85" t="s">
        <v>175</v>
      </c>
    </row>
    <row r="138" ht="22.5" customHeight="1">
      <c r="A138" s="83">
        <v>46185.0</v>
      </c>
      <c r="B138" s="84" t="str">
        <f t="shared" si="1"/>
        <v>Jun 2026</v>
      </c>
      <c r="C138" s="84">
        <f t="shared" si="2"/>
        <v>24</v>
      </c>
      <c r="D138" s="85" t="s">
        <v>159</v>
      </c>
      <c r="E138" s="85" t="s">
        <v>165</v>
      </c>
      <c r="F138" s="86" t="s">
        <v>173</v>
      </c>
      <c r="G138" s="87" t="s">
        <v>174</v>
      </c>
      <c r="H138" s="88">
        <f t="shared" si="3"/>
        <v>0.11</v>
      </c>
      <c r="I138" s="89">
        <v>0.1</v>
      </c>
      <c r="J138" s="89"/>
      <c r="K138" s="89">
        <f t="shared" si="4"/>
        <v>0.01</v>
      </c>
      <c r="L138" s="84">
        <f t="shared" si="5"/>
        <v>137</v>
      </c>
      <c r="M138" s="85" t="s">
        <v>175</v>
      </c>
    </row>
    <row r="139" ht="22.5" customHeight="1">
      <c r="A139" s="83">
        <v>46185.0</v>
      </c>
      <c r="B139" s="84" t="str">
        <f t="shared" si="1"/>
        <v>Jun 2026</v>
      </c>
      <c r="C139" s="84">
        <f t="shared" si="2"/>
        <v>24</v>
      </c>
      <c r="D139" s="85" t="s">
        <v>159</v>
      </c>
      <c r="E139" s="85" t="s">
        <v>165</v>
      </c>
      <c r="F139" s="86" t="s">
        <v>173</v>
      </c>
      <c r="G139" s="87" t="s">
        <v>174</v>
      </c>
      <c r="H139" s="88">
        <f t="shared" si="3"/>
        <v>0.11</v>
      </c>
      <c r="I139" s="89">
        <v>0.1</v>
      </c>
      <c r="J139" s="89"/>
      <c r="K139" s="89">
        <f t="shared" si="4"/>
        <v>0.01</v>
      </c>
      <c r="L139" s="84">
        <f t="shared" si="5"/>
        <v>138</v>
      </c>
      <c r="M139" s="85" t="s">
        <v>175</v>
      </c>
    </row>
    <row r="140" ht="22.5" customHeight="1">
      <c r="A140" s="83">
        <v>46185.0</v>
      </c>
      <c r="B140" s="84" t="str">
        <f t="shared" si="1"/>
        <v>Jun 2026</v>
      </c>
      <c r="C140" s="84">
        <f t="shared" si="2"/>
        <v>24</v>
      </c>
      <c r="D140" s="85" t="s">
        <v>159</v>
      </c>
      <c r="E140" s="85" t="s">
        <v>165</v>
      </c>
      <c r="F140" s="86" t="s">
        <v>173</v>
      </c>
      <c r="G140" s="87" t="s">
        <v>174</v>
      </c>
      <c r="H140" s="88">
        <f t="shared" si="3"/>
        <v>0.11</v>
      </c>
      <c r="I140" s="89">
        <v>0.1</v>
      </c>
      <c r="J140" s="89"/>
      <c r="K140" s="89">
        <f t="shared" si="4"/>
        <v>0.01</v>
      </c>
      <c r="L140" s="84">
        <f t="shared" si="5"/>
        <v>139</v>
      </c>
      <c r="M140" s="85" t="s">
        <v>175</v>
      </c>
    </row>
    <row r="141" ht="22.5" customHeight="1">
      <c r="A141" s="83">
        <v>46185.0</v>
      </c>
      <c r="B141" s="84" t="str">
        <f t="shared" si="1"/>
        <v>Jun 2026</v>
      </c>
      <c r="C141" s="84">
        <f t="shared" si="2"/>
        <v>24</v>
      </c>
      <c r="D141" s="85" t="s">
        <v>159</v>
      </c>
      <c r="E141" s="85" t="s">
        <v>165</v>
      </c>
      <c r="F141" s="86" t="s">
        <v>178</v>
      </c>
      <c r="G141" s="86" t="s">
        <v>74</v>
      </c>
      <c r="H141" s="88">
        <f t="shared" si="3"/>
        <v>0.11</v>
      </c>
      <c r="I141" s="89">
        <v>0.1</v>
      </c>
      <c r="J141" s="89"/>
      <c r="K141" s="89">
        <f t="shared" si="4"/>
        <v>0.01</v>
      </c>
      <c r="L141" s="84">
        <f t="shared" si="5"/>
        <v>140</v>
      </c>
      <c r="M141" s="85" t="s">
        <v>175</v>
      </c>
    </row>
    <row r="142" ht="22.5" customHeight="1">
      <c r="A142" s="83">
        <v>46185.0</v>
      </c>
      <c r="B142" s="84" t="str">
        <f t="shared" si="1"/>
        <v>Jun 2026</v>
      </c>
      <c r="C142" s="84">
        <f t="shared" si="2"/>
        <v>24</v>
      </c>
      <c r="D142" s="85" t="s">
        <v>159</v>
      </c>
      <c r="E142" s="85" t="s">
        <v>165</v>
      </c>
      <c r="F142" s="86" t="s">
        <v>178</v>
      </c>
      <c r="G142" s="86" t="s">
        <v>74</v>
      </c>
      <c r="H142" s="88">
        <f t="shared" si="3"/>
        <v>0.11</v>
      </c>
      <c r="I142" s="89">
        <v>0.1</v>
      </c>
      <c r="J142" s="89"/>
      <c r="K142" s="89">
        <f t="shared" si="4"/>
        <v>0.01</v>
      </c>
      <c r="L142" s="84">
        <f t="shared" si="5"/>
        <v>141</v>
      </c>
      <c r="M142" s="85" t="s">
        <v>175</v>
      </c>
    </row>
    <row r="143" ht="22.5" customHeight="1">
      <c r="A143" s="83">
        <v>46185.0</v>
      </c>
      <c r="B143" s="84" t="str">
        <f t="shared" si="1"/>
        <v>Jun 2026</v>
      </c>
      <c r="C143" s="84">
        <f t="shared" si="2"/>
        <v>24</v>
      </c>
      <c r="D143" s="85" t="s">
        <v>159</v>
      </c>
      <c r="E143" s="85" t="s">
        <v>165</v>
      </c>
      <c r="F143" s="86" t="s">
        <v>173</v>
      </c>
      <c r="G143" s="87" t="s">
        <v>174</v>
      </c>
      <c r="H143" s="88">
        <f t="shared" si="3"/>
        <v>0.11</v>
      </c>
      <c r="I143" s="89">
        <v>0.1</v>
      </c>
      <c r="J143" s="89"/>
      <c r="K143" s="89">
        <f t="shared" si="4"/>
        <v>0.01</v>
      </c>
      <c r="L143" s="84">
        <f t="shared" si="5"/>
        <v>142</v>
      </c>
      <c r="M143" s="85" t="s">
        <v>175</v>
      </c>
    </row>
    <row r="144" ht="22.5" customHeight="1">
      <c r="A144" s="83">
        <v>46185.0</v>
      </c>
      <c r="B144" s="84" t="str">
        <f t="shared" si="1"/>
        <v>Jun 2026</v>
      </c>
      <c r="C144" s="84">
        <f t="shared" si="2"/>
        <v>24</v>
      </c>
      <c r="D144" s="85" t="s">
        <v>159</v>
      </c>
      <c r="E144" s="85" t="s">
        <v>165</v>
      </c>
      <c r="F144" s="86" t="s">
        <v>173</v>
      </c>
      <c r="G144" s="87" t="s">
        <v>174</v>
      </c>
      <c r="H144" s="88">
        <f t="shared" si="3"/>
        <v>0.11</v>
      </c>
      <c r="I144" s="89">
        <v>0.1</v>
      </c>
      <c r="J144" s="89"/>
      <c r="K144" s="89">
        <f t="shared" si="4"/>
        <v>0.01</v>
      </c>
      <c r="L144" s="84">
        <f t="shared" si="5"/>
        <v>143</v>
      </c>
      <c r="M144" s="85" t="s">
        <v>175</v>
      </c>
    </row>
    <row r="145" ht="22.5" customHeight="1">
      <c r="A145" s="83">
        <v>46185.0</v>
      </c>
      <c r="B145" s="84" t="str">
        <f t="shared" si="1"/>
        <v>Jun 2026</v>
      </c>
      <c r="C145" s="84">
        <f t="shared" si="2"/>
        <v>24</v>
      </c>
      <c r="D145" s="85" t="s">
        <v>159</v>
      </c>
      <c r="E145" s="85" t="s">
        <v>165</v>
      </c>
      <c r="F145" s="86" t="s">
        <v>173</v>
      </c>
      <c r="G145" s="87" t="s">
        <v>174</v>
      </c>
      <c r="H145" s="88">
        <f t="shared" si="3"/>
        <v>0.11</v>
      </c>
      <c r="I145" s="89">
        <v>0.1</v>
      </c>
      <c r="J145" s="89"/>
      <c r="K145" s="89">
        <f t="shared" si="4"/>
        <v>0.01</v>
      </c>
      <c r="L145" s="84">
        <f t="shared" si="5"/>
        <v>144</v>
      </c>
      <c r="M145" s="85" t="s">
        <v>175</v>
      </c>
    </row>
    <row r="146" ht="22.5" customHeight="1">
      <c r="A146" s="83">
        <v>46185.0</v>
      </c>
      <c r="B146" s="84" t="str">
        <f t="shared" si="1"/>
        <v>Jun 2026</v>
      </c>
      <c r="C146" s="84">
        <f t="shared" si="2"/>
        <v>24</v>
      </c>
      <c r="D146" s="85" t="s">
        <v>159</v>
      </c>
      <c r="E146" s="85" t="s">
        <v>165</v>
      </c>
      <c r="F146" s="86" t="s">
        <v>178</v>
      </c>
      <c r="G146" s="86" t="s">
        <v>74</v>
      </c>
      <c r="H146" s="88">
        <f t="shared" si="3"/>
        <v>0.11</v>
      </c>
      <c r="I146" s="89">
        <v>0.1</v>
      </c>
      <c r="J146" s="89"/>
      <c r="K146" s="89">
        <f t="shared" si="4"/>
        <v>0.01</v>
      </c>
      <c r="L146" s="84">
        <f t="shared" si="5"/>
        <v>145</v>
      </c>
      <c r="M146" s="85" t="s">
        <v>175</v>
      </c>
    </row>
    <row r="147" ht="22.5" customHeight="1">
      <c r="A147" s="83">
        <v>46185.0</v>
      </c>
      <c r="B147" s="84" t="str">
        <f t="shared" si="1"/>
        <v>Jun 2026</v>
      </c>
      <c r="C147" s="84">
        <f t="shared" si="2"/>
        <v>24</v>
      </c>
      <c r="D147" s="85" t="s">
        <v>159</v>
      </c>
      <c r="E147" s="85" t="s">
        <v>165</v>
      </c>
      <c r="F147" s="86" t="s">
        <v>173</v>
      </c>
      <c r="G147" s="87" t="s">
        <v>174</v>
      </c>
      <c r="H147" s="88">
        <f t="shared" si="3"/>
        <v>0.11</v>
      </c>
      <c r="I147" s="89">
        <v>0.1</v>
      </c>
      <c r="J147" s="89"/>
      <c r="K147" s="89">
        <f t="shared" si="4"/>
        <v>0.01</v>
      </c>
      <c r="L147" s="84">
        <f t="shared" si="5"/>
        <v>146</v>
      </c>
      <c r="M147" s="85" t="s">
        <v>175</v>
      </c>
    </row>
    <row r="148" ht="22.5" customHeight="1">
      <c r="A148" s="83">
        <v>46185.0</v>
      </c>
      <c r="B148" s="84" t="str">
        <f t="shared" si="1"/>
        <v>Jun 2026</v>
      </c>
      <c r="C148" s="84">
        <f t="shared" si="2"/>
        <v>24</v>
      </c>
      <c r="D148" s="85" t="s">
        <v>159</v>
      </c>
      <c r="E148" s="85" t="s">
        <v>165</v>
      </c>
      <c r="F148" s="86" t="s">
        <v>173</v>
      </c>
      <c r="G148" s="87" t="s">
        <v>174</v>
      </c>
      <c r="H148" s="88">
        <f t="shared" si="3"/>
        <v>0.11</v>
      </c>
      <c r="I148" s="89">
        <v>0.1</v>
      </c>
      <c r="J148" s="89"/>
      <c r="K148" s="89">
        <f t="shared" si="4"/>
        <v>0.01</v>
      </c>
      <c r="L148" s="84">
        <f t="shared" si="5"/>
        <v>147</v>
      </c>
      <c r="M148" s="85" t="s">
        <v>175</v>
      </c>
    </row>
    <row r="149" ht="22.5" customHeight="1">
      <c r="A149" s="83">
        <v>46185.0</v>
      </c>
      <c r="B149" s="84" t="str">
        <f t="shared" si="1"/>
        <v>Jun 2026</v>
      </c>
      <c r="C149" s="84">
        <f t="shared" si="2"/>
        <v>24</v>
      </c>
      <c r="D149" s="85" t="s">
        <v>159</v>
      </c>
      <c r="E149" s="85" t="s">
        <v>165</v>
      </c>
      <c r="F149" s="86" t="s">
        <v>173</v>
      </c>
      <c r="G149" s="87" t="s">
        <v>174</v>
      </c>
      <c r="H149" s="88">
        <f t="shared" si="3"/>
        <v>0.11</v>
      </c>
      <c r="I149" s="89">
        <v>0.1</v>
      </c>
      <c r="J149" s="89"/>
      <c r="K149" s="89">
        <f t="shared" si="4"/>
        <v>0.01</v>
      </c>
      <c r="L149" s="84">
        <f t="shared" si="5"/>
        <v>148</v>
      </c>
      <c r="M149" s="85" t="s">
        <v>175</v>
      </c>
    </row>
    <row r="150" ht="22.5" customHeight="1">
      <c r="A150" s="83">
        <v>46185.0</v>
      </c>
      <c r="B150" s="84" t="str">
        <f t="shared" si="1"/>
        <v>Jun 2026</v>
      </c>
      <c r="C150" s="84">
        <f t="shared" si="2"/>
        <v>24</v>
      </c>
      <c r="D150" s="85" t="s">
        <v>159</v>
      </c>
      <c r="E150" s="85" t="s">
        <v>165</v>
      </c>
      <c r="F150" s="86" t="s">
        <v>173</v>
      </c>
      <c r="G150" s="87" t="s">
        <v>174</v>
      </c>
      <c r="H150" s="88">
        <f t="shared" si="3"/>
        <v>0.11</v>
      </c>
      <c r="I150" s="89">
        <v>0.1</v>
      </c>
      <c r="J150" s="89"/>
      <c r="K150" s="89">
        <f t="shared" si="4"/>
        <v>0.01</v>
      </c>
      <c r="L150" s="84">
        <f t="shared" si="5"/>
        <v>149</v>
      </c>
      <c r="M150" s="85" t="s">
        <v>175</v>
      </c>
    </row>
    <row r="151" ht="22.5" customHeight="1">
      <c r="A151" s="83">
        <v>46185.0</v>
      </c>
      <c r="B151" s="84" t="str">
        <f t="shared" si="1"/>
        <v>Jun 2026</v>
      </c>
      <c r="C151" s="84">
        <f t="shared" si="2"/>
        <v>24</v>
      </c>
      <c r="D151" s="85" t="s">
        <v>159</v>
      </c>
      <c r="E151" s="85" t="s">
        <v>165</v>
      </c>
      <c r="F151" s="86" t="s">
        <v>229</v>
      </c>
      <c r="G151" s="86" t="s">
        <v>213</v>
      </c>
      <c r="H151" s="88">
        <f t="shared" si="3"/>
        <v>0.11</v>
      </c>
      <c r="I151" s="89">
        <v>0.1</v>
      </c>
      <c r="J151" s="89"/>
      <c r="K151" s="89">
        <f t="shared" si="4"/>
        <v>0.01</v>
      </c>
      <c r="L151" s="84">
        <f t="shared" si="5"/>
        <v>150</v>
      </c>
      <c r="M151" s="85" t="s">
        <v>175</v>
      </c>
    </row>
    <row r="152" ht="22.5" customHeight="1">
      <c r="A152" s="83">
        <v>46185.0</v>
      </c>
      <c r="B152" s="84" t="str">
        <f t="shared" si="1"/>
        <v>Jun 2026</v>
      </c>
      <c r="C152" s="84">
        <f t="shared" si="2"/>
        <v>24</v>
      </c>
      <c r="D152" s="85" t="s">
        <v>159</v>
      </c>
      <c r="E152" s="85" t="s">
        <v>165</v>
      </c>
      <c r="F152" s="86" t="s">
        <v>229</v>
      </c>
      <c r="G152" s="86" t="s">
        <v>213</v>
      </c>
      <c r="H152" s="88">
        <f t="shared" si="3"/>
        <v>0.11</v>
      </c>
      <c r="I152" s="89">
        <v>0.1</v>
      </c>
      <c r="J152" s="89"/>
      <c r="K152" s="89">
        <f t="shared" si="4"/>
        <v>0.01</v>
      </c>
      <c r="L152" s="84">
        <f t="shared" si="5"/>
        <v>151</v>
      </c>
      <c r="M152" s="85" t="s">
        <v>175</v>
      </c>
    </row>
    <row r="153" ht="22.5" customHeight="1">
      <c r="A153" s="83">
        <v>46185.0</v>
      </c>
      <c r="B153" s="84" t="str">
        <f t="shared" si="1"/>
        <v>Jun 2026</v>
      </c>
      <c r="C153" s="84">
        <f t="shared" si="2"/>
        <v>24</v>
      </c>
      <c r="D153" s="85" t="s">
        <v>159</v>
      </c>
      <c r="E153" s="85" t="s">
        <v>165</v>
      </c>
      <c r="F153" s="86" t="s">
        <v>229</v>
      </c>
      <c r="G153" s="86" t="s">
        <v>213</v>
      </c>
      <c r="H153" s="88">
        <f t="shared" si="3"/>
        <v>0.11</v>
      </c>
      <c r="I153" s="89">
        <v>0.1</v>
      </c>
      <c r="J153" s="89"/>
      <c r="K153" s="89">
        <f t="shared" si="4"/>
        <v>0.01</v>
      </c>
      <c r="L153" s="84">
        <f t="shared" si="5"/>
        <v>152</v>
      </c>
      <c r="M153" s="85" t="s">
        <v>175</v>
      </c>
    </row>
    <row r="154" ht="22.5" customHeight="1">
      <c r="A154" s="83">
        <v>46185.0</v>
      </c>
      <c r="B154" s="84" t="str">
        <f t="shared" si="1"/>
        <v>Jun 2026</v>
      </c>
      <c r="C154" s="84">
        <f t="shared" si="2"/>
        <v>24</v>
      </c>
      <c r="D154" s="85" t="s">
        <v>159</v>
      </c>
      <c r="E154" s="85" t="s">
        <v>165</v>
      </c>
      <c r="F154" s="86" t="s">
        <v>229</v>
      </c>
      <c r="G154" s="86" t="s">
        <v>213</v>
      </c>
      <c r="H154" s="88">
        <f t="shared" si="3"/>
        <v>0.11</v>
      </c>
      <c r="I154" s="89">
        <v>0.1</v>
      </c>
      <c r="J154" s="89"/>
      <c r="K154" s="89">
        <f t="shared" si="4"/>
        <v>0.01</v>
      </c>
      <c r="L154" s="84">
        <f t="shared" si="5"/>
        <v>153</v>
      </c>
      <c r="M154" s="85" t="s">
        <v>175</v>
      </c>
    </row>
    <row r="155" ht="22.5" customHeight="1">
      <c r="A155" s="83">
        <v>46185.0</v>
      </c>
      <c r="B155" s="84" t="str">
        <f t="shared" si="1"/>
        <v>Jun 2026</v>
      </c>
      <c r="C155" s="84">
        <f t="shared" si="2"/>
        <v>24</v>
      </c>
      <c r="D155" s="85" t="s">
        <v>159</v>
      </c>
      <c r="E155" s="85" t="s">
        <v>165</v>
      </c>
      <c r="F155" s="86" t="s">
        <v>229</v>
      </c>
      <c r="G155" s="86" t="s">
        <v>213</v>
      </c>
      <c r="H155" s="88">
        <f t="shared" si="3"/>
        <v>0.11</v>
      </c>
      <c r="I155" s="89">
        <v>0.1</v>
      </c>
      <c r="J155" s="89"/>
      <c r="K155" s="89">
        <f t="shared" si="4"/>
        <v>0.01</v>
      </c>
      <c r="L155" s="84">
        <f t="shared" si="5"/>
        <v>154</v>
      </c>
      <c r="M155" s="85" t="s">
        <v>175</v>
      </c>
    </row>
    <row r="156" ht="22.5" customHeight="1">
      <c r="A156" s="83">
        <v>46185.0</v>
      </c>
      <c r="B156" s="84" t="str">
        <f t="shared" si="1"/>
        <v>Jun 2026</v>
      </c>
      <c r="C156" s="84">
        <f t="shared" si="2"/>
        <v>24</v>
      </c>
      <c r="D156" s="85" t="s">
        <v>159</v>
      </c>
      <c r="E156" s="85" t="s">
        <v>165</v>
      </c>
      <c r="F156" s="86" t="s">
        <v>229</v>
      </c>
      <c r="G156" s="86" t="s">
        <v>213</v>
      </c>
      <c r="H156" s="88">
        <f t="shared" si="3"/>
        <v>0.11</v>
      </c>
      <c r="I156" s="89">
        <v>0.1</v>
      </c>
      <c r="J156" s="89"/>
      <c r="K156" s="89">
        <f t="shared" si="4"/>
        <v>0.01</v>
      </c>
      <c r="L156" s="84">
        <f t="shared" si="5"/>
        <v>155</v>
      </c>
      <c r="M156" s="85" t="s">
        <v>175</v>
      </c>
    </row>
    <row r="157" ht="22.5" customHeight="1">
      <c r="A157" s="83">
        <v>46185.0</v>
      </c>
      <c r="B157" s="84" t="str">
        <f t="shared" si="1"/>
        <v>Jun 2026</v>
      </c>
      <c r="C157" s="84">
        <f t="shared" si="2"/>
        <v>24</v>
      </c>
      <c r="D157" s="85" t="s">
        <v>159</v>
      </c>
      <c r="E157" s="85" t="s">
        <v>165</v>
      </c>
      <c r="F157" s="86" t="s">
        <v>229</v>
      </c>
      <c r="G157" s="86" t="s">
        <v>213</v>
      </c>
      <c r="H157" s="88">
        <f t="shared" si="3"/>
        <v>0.11</v>
      </c>
      <c r="I157" s="89">
        <v>0.1</v>
      </c>
      <c r="J157" s="89"/>
      <c r="K157" s="89">
        <f t="shared" si="4"/>
        <v>0.01</v>
      </c>
      <c r="L157" s="84">
        <f t="shared" si="5"/>
        <v>156</v>
      </c>
      <c r="M157" s="85" t="s">
        <v>175</v>
      </c>
    </row>
    <row r="158" ht="22.5" customHeight="1">
      <c r="A158" s="83">
        <v>46185.0</v>
      </c>
      <c r="B158" s="84" t="str">
        <f t="shared" si="1"/>
        <v>Jun 2026</v>
      </c>
      <c r="C158" s="84">
        <f t="shared" si="2"/>
        <v>24</v>
      </c>
      <c r="D158" s="85" t="s">
        <v>159</v>
      </c>
      <c r="E158" s="85" t="s">
        <v>165</v>
      </c>
      <c r="F158" s="86" t="s">
        <v>229</v>
      </c>
      <c r="G158" s="86" t="s">
        <v>213</v>
      </c>
      <c r="H158" s="88">
        <f t="shared" si="3"/>
        <v>0.11</v>
      </c>
      <c r="I158" s="89">
        <v>0.1</v>
      </c>
      <c r="J158" s="89"/>
      <c r="K158" s="89">
        <f t="shared" si="4"/>
        <v>0.01</v>
      </c>
      <c r="L158" s="84">
        <f t="shared" si="5"/>
        <v>157</v>
      </c>
      <c r="M158" s="85" t="s">
        <v>175</v>
      </c>
    </row>
    <row r="159" ht="22.5" customHeight="1">
      <c r="A159" s="83">
        <v>46185.0</v>
      </c>
      <c r="B159" s="84" t="str">
        <f t="shared" si="1"/>
        <v>Jun 2026</v>
      </c>
      <c r="C159" s="84">
        <f t="shared" si="2"/>
        <v>24</v>
      </c>
      <c r="D159" s="85" t="s">
        <v>159</v>
      </c>
      <c r="E159" s="85" t="s">
        <v>165</v>
      </c>
      <c r="F159" s="86" t="s">
        <v>229</v>
      </c>
      <c r="G159" s="86" t="s">
        <v>213</v>
      </c>
      <c r="H159" s="88">
        <f t="shared" si="3"/>
        <v>0.11</v>
      </c>
      <c r="I159" s="89">
        <v>0.1</v>
      </c>
      <c r="J159" s="89"/>
      <c r="K159" s="89">
        <f t="shared" si="4"/>
        <v>0.01</v>
      </c>
      <c r="L159" s="84">
        <f t="shared" si="5"/>
        <v>158</v>
      </c>
      <c r="M159" s="85" t="s">
        <v>175</v>
      </c>
    </row>
    <row r="160" ht="22.5" customHeight="1">
      <c r="A160" s="83">
        <v>46185.0</v>
      </c>
      <c r="B160" s="84" t="str">
        <f t="shared" si="1"/>
        <v>Jun 2026</v>
      </c>
      <c r="C160" s="84">
        <f t="shared" si="2"/>
        <v>24</v>
      </c>
      <c r="D160" s="85" t="s">
        <v>159</v>
      </c>
      <c r="E160" s="85" t="s">
        <v>165</v>
      </c>
      <c r="F160" s="86" t="s">
        <v>229</v>
      </c>
      <c r="G160" s="86" t="s">
        <v>213</v>
      </c>
      <c r="H160" s="88">
        <f t="shared" si="3"/>
        <v>0.11</v>
      </c>
      <c r="I160" s="89">
        <v>0.1</v>
      </c>
      <c r="J160" s="89"/>
      <c r="K160" s="89">
        <f t="shared" si="4"/>
        <v>0.01</v>
      </c>
      <c r="L160" s="84">
        <f t="shared" si="5"/>
        <v>159</v>
      </c>
      <c r="M160" s="85" t="s">
        <v>175</v>
      </c>
    </row>
    <row r="161" ht="22.5" customHeight="1">
      <c r="A161" s="83">
        <v>46185.0</v>
      </c>
      <c r="B161" s="84" t="str">
        <f t="shared" si="1"/>
        <v>Jun 2026</v>
      </c>
      <c r="C161" s="84">
        <f t="shared" si="2"/>
        <v>24</v>
      </c>
      <c r="D161" s="85" t="s">
        <v>159</v>
      </c>
      <c r="E161" s="85" t="s">
        <v>165</v>
      </c>
      <c r="F161" s="86" t="s">
        <v>229</v>
      </c>
      <c r="G161" s="86" t="s">
        <v>213</v>
      </c>
      <c r="H161" s="88">
        <f t="shared" si="3"/>
        <v>0.11</v>
      </c>
      <c r="I161" s="89">
        <v>0.1</v>
      </c>
      <c r="J161" s="89"/>
      <c r="K161" s="89">
        <f t="shared" si="4"/>
        <v>0.01</v>
      </c>
      <c r="L161" s="84">
        <f t="shared" si="5"/>
        <v>160</v>
      </c>
      <c r="M161" s="85" t="s">
        <v>175</v>
      </c>
    </row>
    <row r="162" ht="22.5" customHeight="1">
      <c r="A162" s="83">
        <v>46185.0</v>
      </c>
      <c r="B162" s="84" t="str">
        <f t="shared" si="1"/>
        <v>Jun 2026</v>
      </c>
      <c r="C162" s="84">
        <f t="shared" si="2"/>
        <v>24</v>
      </c>
      <c r="D162" s="85" t="s">
        <v>159</v>
      </c>
      <c r="E162" s="85" t="s">
        <v>165</v>
      </c>
      <c r="F162" s="86" t="s">
        <v>229</v>
      </c>
      <c r="G162" s="86" t="s">
        <v>213</v>
      </c>
      <c r="H162" s="88">
        <f t="shared" si="3"/>
        <v>0.11</v>
      </c>
      <c r="I162" s="89">
        <v>0.1</v>
      </c>
      <c r="J162" s="89"/>
      <c r="K162" s="89">
        <f t="shared" si="4"/>
        <v>0.01</v>
      </c>
      <c r="L162" s="84">
        <f t="shared" si="5"/>
        <v>161</v>
      </c>
      <c r="M162" s="85" t="s">
        <v>175</v>
      </c>
    </row>
    <row r="163" ht="22.5" customHeight="1">
      <c r="A163" s="83">
        <v>46185.0</v>
      </c>
      <c r="B163" s="84" t="str">
        <f t="shared" si="1"/>
        <v>Jun 2026</v>
      </c>
      <c r="C163" s="84">
        <f t="shared" si="2"/>
        <v>24</v>
      </c>
      <c r="D163" s="85" t="s">
        <v>159</v>
      </c>
      <c r="E163" s="85" t="s">
        <v>165</v>
      </c>
      <c r="F163" s="86" t="s">
        <v>229</v>
      </c>
      <c r="G163" s="86" t="s">
        <v>213</v>
      </c>
      <c r="H163" s="88">
        <f t="shared" si="3"/>
        <v>0.11</v>
      </c>
      <c r="I163" s="89">
        <v>0.1</v>
      </c>
      <c r="J163" s="89"/>
      <c r="K163" s="89">
        <f t="shared" si="4"/>
        <v>0.01</v>
      </c>
      <c r="L163" s="84">
        <f t="shared" si="5"/>
        <v>162</v>
      </c>
      <c r="M163" s="85" t="s">
        <v>175</v>
      </c>
    </row>
    <row r="164" ht="22.5" customHeight="1">
      <c r="A164" s="83">
        <v>46185.0</v>
      </c>
      <c r="B164" s="84" t="str">
        <f t="shared" si="1"/>
        <v>Jun 2026</v>
      </c>
      <c r="C164" s="84">
        <f t="shared" si="2"/>
        <v>24</v>
      </c>
      <c r="D164" s="85" t="s">
        <v>159</v>
      </c>
      <c r="E164" s="85" t="s">
        <v>165</v>
      </c>
      <c r="F164" s="86" t="s">
        <v>229</v>
      </c>
      <c r="G164" s="86" t="s">
        <v>213</v>
      </c>
      <c r="H164" s="88">
        <f t="shared" si="3"/>
        <v>0.11</v>
      </c>
      <c r="I164" s="89">
        <v>0.1</v>
      </c>
      <c r="J164" s="89"/>
      <c r="K164" s="89">
        <f t="shared" si="4"/>
        <v>0.01</v>
      </c>
      <c r="L164" s="84">
        <f t="shared" si="5"/>
        <v>163</v>
      </c>
      <c r="M164" s="85" t="s">
        <v>175</v>
      </c>
    </row>
    <row r="165" ht="22.5" customHeight="1">
      <c r="A165" s="83">
        <v>46185.0</v>
      </c>
      <c r="B165" s="84" t="str">
        <f t="shared" si="1"/>
        <v>Jun 2026</v>
      </c>
      <c r="C165" s="84">
        <f t="shared" si="2"/>
        <v>24</v>
      </c>
      <c r="D165" s="85" t="s">
        <v>159</v>
      </c>
      <c r="E165" s="85" t="s">
        <v>165</v>
      </c>
      <c r="F165" s="86" t="s">
        <v>229</v>
      </c>
      <c r="G165" s="86" t="s">
        <v>213</v>
      </c>
      <c r="H165" s="88">
        <f t="shared" si="3"/>
        <v>0.11</v>
      </c>
      <c r="I165" s="89">
        <v>0.1</v>
      </c>
      <c r="J165" s="89"/>
      <c r="K165" s="89">
        <f t="shared" si="4"/>
        <v>0.01</v>
      </c>
      <c r="L165" s="84">
        <f t="shared" si="5"/>
        <v>164</v>
      </c>
      <c r="M165" s="85" t="s">
        <v>175</v>
      </c>
    </row>
    <row r="166" ht="22.5" customHeight="1">
      <c r="A166" s="83">
        <v>46186.0</v>
      </c>
      <c r="B166" s="84" t="str">
        <f t="shared" si="1"/>
        <v>Jun 2026</v>
      </c>
      <c r="C166" s="84">
        <f t="shared" si="2"/>
        <v>24</v>
      </c>
      <c r="D166" s="85" t="s">
        <v>129</v>
      </c>
      <c r="E166" s="85" t="s">
        <v>164</v>
      </c>
      <c r="F166" s="86" t="s">
        <v>176</v>
      </c>
      <c r="G166" s="87" t="s">
        <v>177</v>
      </c>
      <c r="H166" s="88">
        <f t="shared" si="3"/>
        <v>1.1</v>
      </c>
      <c r="I166" s="89">
        <v>1.0</v>
      </c>
      <c r="J166" s="89"/>
      <c r="K166" s="89">
        <f t="shared" si="4"/>
        <v>0.1</v>
      </c>
      <c r="L166" s="84">
        <f t="shared" si="5"/>
        <v>165</v>
      </c>
      <c r="M166" s="85" t="s">
        <v>133</v>
      </c>
    </row>
    <row r="167" ht="22.5" customHeight="1">
      <c r="A167" s="83">
        <v>46186.0</v>
      </c>
      <c r="B167" s="84" t="str">
        <f t="shared" si="1"/>
        <v>Jun 2026</v>
      </c>
      <c r="C167" s="84">
        <f t="shared" si="2"/>
        <v>24</v>
      </c>
      <c r="D167" s="85" t="s">
        <v>129</v>
      </c>
      <c r="E167" s="85" t="s">
        <v>164</v>
      </c>
      <c r="F167" s="86" t="s">
        <v>176</v>
      </c>
      <c r="G167" s="87" t="s">
        <v>177</v>
      </c>
      <c r="H167" s="88">
        <f t="shared" si="3"/>
        <v>1.1</v>
      </c>
      <c r="I167" s="89">
        <v>1.0</v>
      </c>
      <c r="J167" s="89"/>
      <c r="K167" s="89">
        <f t="shared" si="4"/>
        <v>0.1</v>
      </c>
      <c r="L167" s="84">
        <f t="shared" si="5"/>
        <v>166</v>
      </c>
      <c r="M167" s="85" t="s">
        <v>133</v>
      </c>
    </row>
    <row r="168" ht="22.5" customHeight="1">
      <c r="A168" s="83">
        <v>46186.0</v>
      </c>
      <c r="B168" s="84" t="str">
        <f t="shared" si="1"/>
        <v>Jun 2026</v>
      </c>
      <c r="C168" s="84">
        <f t="shared" si="2"/>
        <v>24</v>
      </c>
      <c r="D168" s="85" t="s">
        <v>129</v>
      </c>
      <c r="E168" s="85" t="s">
        <v>164</v>
      </c>
      <c r="F168" s="86" t="s">
        <v>176</v>
      </c>
      <c r="G168" s="87" t="s">
        <v>177</v>
      </c>
      <c r="H168" s="88">
        <f t="shared" si="3"/>
        <v>1.1</v>
      </c>
      <c r="I168" s="89">
        <v>1.0</v>
      </c>
      <c r="J168" s="89"/>
      <c r="K168" s="89">
        <f t="shared" si="4"/>
        <v>0.1</v>
      </c>
      <c r="L168" s="84">
        <f t="shared" si="5"/>
        <v>167</v>
      </c>
      <c r="M168" s="85" t="s">
        <v>133</v>
      </c>
    </row>
    <row r="169" ht="22.5" customHeight="1">
      <c r="A169" s="83">
        <v>46186.0</v>
      </c>
      <c r="B169" s="84" t="str">
        <f t="shared" si="1"/>
        <v>Jun 2026</v>
      </c>
      <c r="C169" s="84">
        <f t="shared" si="2"/>
        <v>24</v>
      </c>
      <c r="D169" s="85" t="s">
        <v>129</v>
      </c>
      <c r="E169" s="85" t="s">
        <v>164</v>
      </c>
      <c r="F169" s="86" t="s">
        <v>176</v>
      </c>
      <c r="G169" s="87" t="s">
        <v>177</v>
      </c>
      <c r="H169" s="88">
        <f t="shared" si="3"/>
        <v>1.1</v>
      </c>
      <c r="I169" s="89">
        <v>1.0</v>
      </c>
      <c r="J169" s="89"/>
      <c r="K169" s="89">
        <f t="shared" si="4"/>
        <v>0.1</v>
      </c>
      <c r="L169" s="84">
        <f t="shared" si="5"/>
        <v>168</v>
      </c>
      <c r="M169" s="85" t="s">
        <v>133</v>
      </c>
    </row>
    <row r="170" ht="22.5" customHeight="1">
      <c r="A170" s="83">
        <v>46186.0</v>
      </c>
      <c r="B170" s="84" t="str">
        <f t="shared" si="1"/>
        <v>Jun 2026</v>
      </c>
      <c r="C170" s="84">
        <f t="shared" si="2"/>
        <v>24</v>
      </c>
      <c r="D170" s="85" t="s">
        <v>129</v>
      </c>
      <c r="E170" s="85" t="s">
        <v>164</v>
      </c>
      <c r="F170" s="86" t="s">
        <v>176</v>
      </c>
      <c r="G170" s="87" t="s">
        <v>177</v>
      </c>
      <c r="H170" s="88">
        <f t="shared" si="3"/>
        <v>1.1</v>
      </c>
      <c r="I170" s="89">
        <v>1.0</v>
      </c>
      <c r="J170" s="89"/>
      <c r="K170" s="89">
        <f t="shared" si="4"/>
        <v>0.1</v>
      </c>
      <c r="L170" s="84">
        <f t="shared" si="5"/>
        <v>169</v>
      </c>
      <c r="M170" s="85" t="s">
        <v>133</v>
      </c>
    </row>
    <row r="171" ht="22.5" customHeight="1">
      <c r="A171" s="83">
        <v>46186.0</v>
      </c>
      <c r="B171" s="84" t="str">
        <f t="shared" si="1"/>
        <v>Jun 2026</v>
      </c>
      <c r="C171" s="84">
        <f t="shared" si="2"/>
        <v>24</v>
      </c>
      <c r="D171" s="85" t="s">
        <v>129</v>
      </c>
      <c r="E171" s="85" t="s">
        <v>164</v>
      </c>
      <c r="F171" s="86" t="s">
        <v>176</v>
      </c>
      <c r="G171" s="87" t="s">
        <v>177</v>
      </c>
      <c r="H171" s="88">
        <f t="shared" si="3"/>
        <v>1.1</v>
      </c>
      <c r="I171" s="89">
        <v>1.0</v>
      </c>
      <c r="J171" s="89"/>
      <c r="K171" s="89">
        <f t="shared" si="4"/>
        <v>0.1</v>
      </c>
      <c r="L171" s="84">
        <f t="shared" si="5"/>
        <v>170</v>
      </c>
      <c r="M171" s="85" t="s">
        <v>133</v>
      </c>
    </row>
    <row r="172" ht="22.5" customHeight="1">
      <c r="A172" s="83">
        <v>46186.0</v>
      </c>
      <c r="B172" s="84" t="str">
        <f t="shared" si="1"/>
        <v>Jun 2026</v>
      </c>
      <c r="C172" s="84">
        <f t="shared" si="2"/>
        <v>24</v>
      </c>
      <c r="D172" s="85" t="s">
        <v>129</v>
      </c>
      <c r="E172" s="85" t="s">
        <v>164</v>
      </c>
      <c r="F172" s="86" t="s">
        <v>176</v>
      </c>
      <c r="G172" s="87" t="s">
        <v>177</v>
      </c>
      <c r="H172" s="88">
        <f t="shared" si="3"/>
        <v>1.1</v>
      </c>
      <c r="I172" s="89">
        <v>1.0</v>
      </c>
      <c r="J172" s="89"/>
      <c r="K172" s="89">
        <f t="shared" si="4"/>
        <v>0.1</v>
      </c>
      <c r="L172" s="84">
        <f t="shared" si="5"/>
        <v>171</v>
      </c>
      <c r="M172" s="85" t="s">
        <v>133</v>
      </c>
    </row>
    <row r="173" ht="22.5" customHeight="1">
      <c r="A173" s="83">
        <v>46186.0</v>
      </c>
      <c r="B173" s="84" t="str">
        <f t="shared" si="1"/>
        <v>Jun 2026</v>
      </c>
      <c r="C173" s="84">
        <f t="shared" si="2"/>
        <v>24</v>
      </c>
      <c r="D173" s="85" t="s">
        <v>129</v>
      </c>
      <c r="E173" s="85" t="s">
        <v>164</v>
      </c>
      <c r="F173" s="86" t="s">
        <v>176</v>
      </c>
      <c r="G173" s="87" t="s">
        <v>177</v>
      </c>
      <c r="H173" s="88">
        <f t="shared" si="3"/>
        <v>1.1</v>
      </c>
      <c r="I173" s="89">
        <v>1.0</v>
      </c>
      <c r="J173" s="89"/>
      <c r="K173" s="89">
        <f t="shared" si="4"/>
        <v>0.1</v>
      </c>
      <c r="L173" s="84">
        <f t="shared" si="5"/>
        <v>172</v>
      </c>
      <c r="M173" s="85" t="s">
        <v>133</v>
      </c>
    </row>
    <row r="174" ht="22.5" customHeight="1">
      <c r="A174" s="83">
        <v>46186.0</v>
      </c>
      <c r="B174" s="84" t="str">
        <f t="shared" si="1"/>
        <v>Jun 2026</v>
      </c>
      <c r="C174" s="84">
        <f t="shared" si="2"/>
        <v>24</v>
      </c>
      <c r="D174" s="85" t="s">
        <v>129</v>
      </c>
      <c r="E174" s="85" t="s">
        <v>164</v>
      </c>
      <c r="F174" s="86" t="s">
        <v>176</v>
      </c>
      <c r="G174" s="87" t="s">
        <v>177</v>
      </c>
      <c r="H174" s="88">
        <f t="shared" si="3"/>
        <v>1.1</v>
      </c>
      <c r="I174" s="89">
        <v>1.0</v>
      </c>
      <c r="J174" s="89"/>
      <c r="K174" s="89">
        <f t="shared" si="4"/>
        <v>0.1</v>
      </c>
      <c r="L174" s="84">
        <f t="shared" si="5"/>
        <v>173</v>
      </c>
      <c r="M174" s="85" t="s">
        <v>133</v>
      </c>
    </row>
    <row r="175" ht="22.5" customHeight="1">
      <c r="A175" s="83">
        <v>46186.0</v>
      </c>
      <c r="B175" s="84" t="str">
        <f t="shared" si="1"/>
        <v>Jun 2026</v>
      </c>
      <c r="C175" s="84">
        <f t="shared" si="2"/>
        <v>24</v>
      </c>
      <c r="D175" s="85" t="s">
        <v>129</v>
      </c>
      <c r="E175" s="85" t="s">
        <v>164</v>
      </c>
      <c r="F175" s="86" t="s">
        <v>176</v>
      </c>
      <c r="G175" s="87" t="s">
        <v>177</v>
      </c>
      <c r="H175" s="88">
        <f t="shared" si="3"/>
        <v>1.1</v>
      </c>
      <c r="I175" s="89">
        <v>1.0</v>
      </c>
      <c r="J175" s="89"/>
      <c r="K175" s="89">
        <f t="shared" si="4"/>
        <v>0.1</v>
      </c>
      <c r="L175" s="84">
        <f t="shared" si="5"/>
        <v>174</v>
      </c>
      <c r="M175" s="85" t="s">
        <v>133</v>
      </c>
    </row>
    <row r="176" ht="22.5" customHeight="1">
      <c r="A176" s="83">
        <v>46186.0</v>
      </c>
      <c r="B176" s="84" t="str">
        <f t="shared" si="1"/>
        <v>Jun 2026</v>
      </c>
      <c r="C176" s="84">
        <f t="shared" si="2"/>
        <v>24</v>
      </c>
      <c r="D176" s="85" t="s">
        <v>159</v>
      </c>
      <c r="E176" s="85" t="s">
        <v>165</v>
      </c>
      <c r="F176" s="86" t="s">
        <v>230</v>
      </c>
      <c r="G176" s="87" t="s">
        <v>209</v>
      </c>
      <c r="H176" s="88">
        <f t="shared" si="3"/>
        <v>0.11</v>
      </c>
      <c r="I176" s="89">
        <v>0.1</v>
      </c>
      <c r="J176" s="89"/>
      <c r="K176" s="89">
        <f t="shared" si="4"/>
        <v>0.01</v>
      </c>
      <c r="L176" s="84">
        <f t="shared" si="5"/>
        <v>175</v>
      </c>
      <c r="M176" s="85" t="s">
        <v>181</v>
      </c>
    </row>
    <row r="177" ht="22.5" customHeight="1">
      <c r="A177" s="83">
        <v>46186.0</v>
      </c>
      <c r="B177" s="84" t="str">
        <f t="shared" si="1"/>
        <v>Jun 2026</v>
      </c>
      <c r="C177" s="84">
        <f t="shared" si="2"/>
        <v>24</v>
      </c>
      <c r="D177" s="85" t="s">
        <v>159</v>
      </c>
      <c r="E177" s="85" t="s">
        <v>165</v>
      </c>
      <c r="F177" s="86" t="s">
        <v>230</v>
      </c>
      <c r="G177" s="87" t="s">
        <v>209</v>
      </c>
      <c r="H177" s="88">
        <f t="shared" si="3"/>
        <v>0.11</v>
      </c>
      <c r="I177" s="89">
        <v>0.1</v>
      </c>
      <c r="J177" s="89"/>
      <c r="K177" s="89">
        <f t="shared" si="4"/>
        <v>0.01</v>
      </c>
      <c r="L177" s="84">
        <f t="shared" si="5"/>
        <v>176</v>
      </c>
      <c r="M177" s="85" t="s">
        <v>181</v>
      </c>
    </row>
    <row r="178" ht="22.5" customHeight="1">
      <c r="A178" s="83">
        <v>46186.0</v>
      </c>
      <c r="B178" s="84" t="str">
        <f t="shared" si="1"/>
        <v>Jun 2026</v>
      </c>
      <c r="C178" s="84">
        <f t="shared" si="2"/>
        <v>24</v>
      </c>
      <c r="D178" s="85" t="s">
        <v>159</v>
      </c>
      <c r="E178" s="85" t="s">
        <v>165</v>
      </c>
      <c r="F178" s="86" t="s">
        <v>230</v>
      </c>
      <c r="G178" s="87" t="s">
        <v>209</v>
      </c>
      <c r="H178" s="88">
        <f t="shared" si="3"/>
        <v>0.11</v>
      </c>
      <c r="I178" s="89">
        <v>0.1</v>
      </c>
      <c r="J178" s="89"/>
      <c r="K178" s="89">
        <f t="shared" si="4"/>
        <v>0.01</v>
      </c>
      <c r="L178" s="84">
        <f t="shared" si="5"/>
        <v>177</v>
      </c>
      <c r="M178" s="85" t="s">
        <v>181</v>
      </c>
    </row>
    <row r="179" ht="22.5" customHeight="1">
      <c r="A179" s="83">
        <v>46186.0</v>
      </c>
      <c r="B179" s="84" t="str">
        <f t="shared" si="1"/>
        <v>Jun 2026</v>
      </c>
      <c r="C179" s="84">
        <f t="shared" si="2"/>
        <v>24</v>
      </c>
      <c r="D179" s="85" t="s">
        <v>159</v>
      </c>
      <c r="E179" s="85" t="s">
        <v>165</v>
      </c>
      <c r="F179" s="86" t="s">
        <v>230</v>
      </c>
      <c r="G179" s="87" t="s">
        <v>209</v>
      </c>
      <c r="H179" s="88">
        <f t="shared" si="3"/>
        <v>0.11</v>
      </c>
      <c r="I179" s="89">
        <v>0.1</v>
      </c>
      <c r="J179" s="89"/>
      <c r="K179" s="89">
        <f t="shared" si="4"/>
        <v>0.01</v>
      </c>
      <c r="L179" s="84">
        <f t="shared" si="5"/>
        <v>178</v>
      </c>
      <c r="M179" s="85" t="s">
        <v>181</v>
      </c>
    </row>
    <row r="180" ht="22.5" customHeight="1">
      <c r="A180" s="83">
        <v>46186.0</v>
      </c>
      <c r="B180" s="84" t="str">
        <f t="shared" si="1"/>
        <v>Jun 2026</v>
      </c>
      <c r="C180" s="84">
        <f t="shared" si="2"/>
        <v>24</v>
      </c>
      <c r="D180" s="85" t="s">
        <v>159</v>
      </c>
      <c r="E180" s="85" t="s">
        <v>165</v>
      </c>
      <c r="F180" s="86" t="s">
        <v>230</v>
      </c>
      <c r="G180" s="87" t="s">
        <v>209</v>
      </c>
      <c r="H180" s="88">
        <f t="shared" si="3"/>
        <v>0.11</v>
      </c>
      <c r="I180" s="89">
        <v>0.1</v>
      </c>
      <c r="J180" s="89"/>
      <c r="K180" s="89">
        <f t="shared" si="4"/>
        <v>0.01</v>
      </c>
      <c r="L180" s="84">
        <f t="shared" si="5"/>
        <v>179</v>
      </c>
      <c r="M180" s="85" t="s">
        <v>181</v>
      </c>
    </row>
    <row r="181" ht="22.5" customHeight="1">
      <c r="A181" s="83">
        <v>46186.0</v>
      </c>
      <c r="B181" s="84" t="str">
        <f t="shared" si="1"/>
        <v>Jun 2026</v>
      </c>
      <c r="C181" s="84">
        <f t="shared" si="2"/>
        <v>24</v>
      </c>
      <c r="D181" s="85" t="s">
        <v>159</v>
      </c>
      <c r="E181" s="85" t="s">
        <v>165</v>
      </c>
      <c r="F181" s="86" t="s">
        <v>230</v>
      </c>
      <c r="G181" s="87" t="s">
        <v>209</v>
      </c>
      <c r="H181" s="88">
        <f t="shared" si="3"/>
        <v>0.11</v>
      </c>
      <c r="I181" s="89">
        <v>0.1</v>
      </c>
      <c r="J181" s="89"/>
      <c r="K181" s="89">
        <f t="shared" si="4"/>
        <v>0.01</v>
      </c>
      <c r="L181" s="84">
        <f t="shared" si="5"/>
        <v>180</v>
      </c>
      <c r="M181" s="85" t="s">
        <v>181</v>
      </c>
    </row>
    <row r="182" ht="22.5" customHeight="1">
      <c r="A182" s="83">
        <v>46186.0</v>
      </c>
      <c r="B182" s="84" t="str">
        <f t="shared" si="1"/>
        <v>Jun 2026</v>
      </c>
      <c r="C182" s="84">
        <f t="shared" si="2"/>
        <v>24</v>
      </c>
      <c r="D182" s="85" t="s">
        <v>159</v>
      </c>
      <c r="E182" s="85" t="s">
        <v>165</v>
      </c>
      <c r="F182" s="86" t="s">
        <v>230</v>
      </c>
      <c r="G182" s="87" t="s">
        <v>209</v>
      </c>
      <c r="H182" s="88">
        <f t="shared" si="3"/>
        <v>0.11</v>
      </c>
      <c r="I182" s="89">
        <v>0.1</v>
      </c>
      <c r="J182" s="89"/>
      <c r="K182" s="89">
        <f t="shared" si="4"/>
        <v>0.01</v>
      </c>
      <c r="L182" s="84">
        <f t="shared" si="5"/>
        <v>181</v>
      </c>
      <c r="M182" s="85" t="s">
        <v>181</v>
      </c>
    </row>
    <row r="183" ht="22.5" customHeight="1">
      <c r="A183" s="83">
        <v>46186.0</v>
      </c>
      <c r="B183" s="84" t="str">
        <f t="shared" si="1"/>
        <v>Jun 2026</v>
      </c>
      <c r="C183" s="84">
        <f t="shared" si="2"/>
        <v>24</v>
      </c>
      <c r="D183" s="85" t="s">
        <v>159</v>
      </c>
      <c r="E183" s="85" t="s">
        <v>165</v>
      </c>
      <c r="F183" s="86" t="s">
        <v>230</v>
      </c>
      <c r="G183" s="87" t="s">
        <v>209</v>
      </c>
      <c r="H183" s="88">
        <f t="shared" si="3"/>
        <v>0.11</v>
      </c>
      <c r="I183" s="89">
        <v>0.1</v>
      </c>
      <c r="J183" s="89"/>
      <c r="K183" s="89">
        <f t="shared" si="4"/>
        <v>0.01</v>
      </c>
      <c r="L183" s="84">
        <f t="shared" si="5"/>
        <v>182</v>
      </c>
      <c r="M183" s="85" t="s">
        <v>181</v>
      </c>
    </row>
    <row r="184" ht="22.5" customHeight="1">
      <c r="A184" s="83">
        <v>46186.0</v>
      </c>
      <c r="B184" s="84" t="str">
        <f t="shared" si="1"/>
        <v>Jun 2026</v>
      </c>
      <c r="C184" s="84">
        <f t="shared" si="2"/>
        <v>24</v>
      </c>
      <c r="D184" s="85" t="s">
        <v>159</v>
      </c>
      <c r="E184" s="85" t="s">
        <v>165</v>
      </c>
      <c r="F184" s="86" t="s">
        <v>230</v>
      </c>
      <c r="G184" s="87" t="s">
        <v>209</v>
      </c>
      <c r="H184" s="88">
        <f t="shared" si="3"/>
        <v>0.11</v>
      </c>
      <c r="I184" s="89">
        <v>0.1</v>
      </c>
      <c r="J184" s="89"/>
      <c r="K184" s="89">
        <f t="shared" si="4"/>
        <v>0.01</v>
      </c>
      <c r="L184" s="84">
        <f t="shared" si="5"/>
        <v>183</v>
      </c>
      <c r="M184" s="85" t="s">
        <v>181</v>
      </c>
    </row>
    <row r="185" ht="22.5" customHeight="1">
      <c r="A185" s="83">
        <v>46186.0</v>
      </c>
      <c r="B185" s="84" t="str">
        <f t="shared" si="1"/>
        <v>Jun 2026</v>
      </c>
      <c r="C185" s="84">
        <f t="shared" si="2"/>
        <v>24</v>
      </c>
      <c r="D185" s="85" t="s">
        <v>159</v>
      </c>
      <c r="E185" s="85" t="s">
        <v>165</v>
      </c>
      <c r="F185" s="86" t="s">
        <v>230</v>
      </c>
      <c r="G185" s="87" t="s">
        <v>209</v>
      </c>
      <c r="H185" s="88">
        <f t="shared" si="3"/>
        <v>0.11</v>
      </c>
      <c r="I185" s="89">
        <v>0.1</v>
      </c>
      <c r="J185" s="89"/>
      <c r="K185" s="89">
        <f t="shared" si="4"/>
        <v>0.01</v>
      </c>
      <c r="L185" s="84">
        <f t="shared" si="5"/>
        <v>184</v>
      </c>
      <c r="M185" s="85" t="s">
        <v>181</v>
      </c>
    </row>
    <row r="186" ht="22.5" customHeight="1">
      <c r="A186" s="83">
        <v>46186.0</v>
      </c>
      <c r="B186" s="84" t="str">
        <f t="shared" si="1"/>
        <v>Jun 2026</v>
      </c>
      <c r="C186" s="84">
        <f t="shared" si="2"/>
        <v>24</v>
      </c>
      <c r="D186" s="85" t="s">
        <v>159</v>
      </c>
      <c r="E186" s="85" t="s">
        <v>165</v>
      </c>
      <c r="F186" s="86" t="s">
        <v>230</v>
      </c>
      <c r="G186" s="87" t="s">
        <v>209</v>
      </c>
      <c r="H186" s="88">
        <f t="shared" si="3"/>
        <v>0.11</v>
      </c>
      <c r="I186" s="89">
        <v>0.1</v>
      </c>
      <c r="J186" s="89"/>
      <c r="K186" s="89">
        <f t="shared" si="4"/>
        <v>0.01</v>
      </c>
      <c r="L186" s="84">
        <f t="shared" si="5"/>
        <v>185</v>
      </c>
      <c r="M186" s="85" t="s">
        <v>181</v>
      </c>
    </row>
    <row r="187" ht="22.5" customHeight="1">
      <c r="A187" s="83">
        <v>46186.0</v>
      </c>
      <c r="B187" s="84" t="str">
        <f t="shared" si="1"/>
        <v>Jun 2026</v>
      </c>
      <c r="C187" s="84">
        <f t="shared" si="2"/>
        <v>24</v>
      </c>
      <c r="D187" s="85" t="s">
        <v>159</v>
      </c>
      <c r="E187" s="85" t="s">
        <v>165</v>
      </c>
      <c r="F187" s="86" t="s">
        <v>230</v>
      </c>
      <c r="G187" s="87" t="s">
        <v>209</v>
      </c>
      <c r="H187" s="88">
        <f t="shared" si="3"/>
        <v>0.11</v>
      </c>
      <c r="I187" s="89">
        <v>0.1</v>
      </c>
      <c r="J187" s="89"/>
      <c r="K187" s="89">
        <f t="shared" si="4"/>
        <v>0.01</v>
      </c>
      <c r="L187" s="84">
        <f t="shared" si="5"/>
        <v>186</v>
      </c>
      <c r="M187" s="85" t="s">
        <v>181</v>
      </c>
    </row>
    <row r="188" ht="22.5" customHeight="1">
      <c r="A188" s="83">
        <v>46186.0</v>
      </c>
      <c r="B188" s="84" t="str">
        <f t="shared" si="1"/>
        <v>Jun 2026</v>
      </c>
      <c r="C188" s="84">
        <f t="shared" si="2"/>
        <v>24</v>
      </c>
      <c r="D188" s="85" t="s">
        <v>159</v>
      </c>
      <c r="E188" s="85" t="s">
        <v>165</v>
      </c>
      <c r="F188" s="86" t="s">
        <v>230</v>
      </c>
      <c r="G188" s="87" t="s">
        <v>209</v>
      </c>
      <c r="H188" s="88">
        <f t="shared" si="3"/>
        <v>0.11</v>
      </c>
      <c r="I188" s="89">
        <v>0.1</v>
      </c>
      <c r="J188" s="89"/>
      <c r="K188" s="89">
        <f t="shared" si="4"/>
        <v>0.01</v>
      </c>
      <c r="L188" s="84">
        <f t="shared" si="5"/>
        <v>187</v>
      </c>
      <c r="M188" s="85" t="s">
        <v>181</v>
      </c>
    </row>
    <row r="189" ht="22.5" customHeight="1">
      <c r="A189" s="83">
        <v>46186.0</v>
      </c>
      <c r="B189" s="84" t="str">
        <f t="shared" si="1"/>
        <v>Jun 2026</v>
      </c>
      <c r="C189" s="84">
        <f t="shared" si="2"/>
        <v>24</v>
      </c>
      <c r="D189" s="85" t="s">
        <v>159</v>
      </c>
      <c r="E189" s="85" t="s">
        <v>165</v>
      </c>
      <c r="F189" s="86" t="s">
        <v>230</v>
      </c>
      <c r="G189" s="87" t="s">
        <v>209</v>
      </c>
      <c r="H189" s="88">
        <f t="shared" si="3"/>
        <v>0.11</v>
      </c>
      <c r="I189" s="89">
        <v>0.1</v>
      </c>
      <c r="J189" s="89"/>
      <c r="K189" s="89">
        <f t="shared" si="4"/>
        <v>0.01</v>
      </c>
      <c r="L189" s="84">
        <f t="shared" si="5"/>
        <v>188</v>
      </c>
      <c r="M189" s="85" t="s">
        <v>181</v>
      </c>
    </row>
    <row r="190" ht="22.5" customHeight="1">
      <c r="A190" s="83">
        <v>46186.0</v>
      </c>
      <c r="B190" s="84" t="str">
        <f t="shared" si="1"/>
        <v>Jun 2026</v>
      </c>
      <c r="C190" s="84">
        <f t="shared" si="2"/>
        <v>24</v>
      </c>
      <c r="D190" s="85" t="s">
        <v>159</v>
      </c>
      <c r="E190" s="85" t="s">
        <v>165</v>
      </c>
      <c r="F190" s="86" t="s">
        <v>230</v>
      </c>
      <c r="G190" s="87" t="s">
        <v>209</v>
      </c>
      <c r="H190" s="88">
        <f t="shared" si="3"/>
        <v>0.11</v>
      </c>
      <c r="I190" s="89">
        <v>0.1</v>
      </c>
      <c r="J190" s="89"/>
      <c r="K190" s="89">
        <f t="shared" si="4"/>
        <v>0.01</v>
      </c>
      <c r="L190" s="84">
        <f t="shared" si="5"/>
        <v>189</v>
      </c>
      <c r="M190" s="85" t="s">
        <v>181</v>
      </c>
    </row>
    <row r="191" ht="22.5" customHeight="1">
      <c r="A191" s="83">
        <v>46186.0</v>
      </c>
      <c r="B191" s="84" t="str">
        <f t="shared" si="1"/>
        <v>Jun 2026</v>
      </c>
      <c r="C191" s="84">
        <f t="shared" si="2"/>
        <v>24</v>
      </c>
      <c r="D191" s="85" t="s">
        <v>159</v>
      </c>
      <c r="E191" s="85" t="s">
        <v>165</v>
      </c>
      <c r="F191" s="86" t="s">
        <v>231</v>
      </c>
      <c r="G191" s="87" t="s">
        <v>208</v>
      </c>
      <c r="H191" s="88">
        <f t="shared" si="3"/>
        <v>0.11</v>
      </c>
      <c r="I191" s="89">
        <v>0.1</v>
      </c>
      <c r="J191" s="89"/>
      <c r="K191" s="89">
        <f t="shared" si="4"/>
        <v>0.01</v>
      </c>
      <c r="L191" s="84">
        <f t="shared" si="5"/>
        <v>190</v>
      </c>
      <c r="M191" s="85" t="s">
        <v>181</v>
      </c>
    </row>
    <row r="192" ht="22.5" customHeight="1">
      <c r="A192" s="83">
        <v>46186.0</v>
      </c>
      <c r="B192" s="84" t="str">
        <f t="shared" si="1"/>
        <v>Jun 2026</v>
      </c>
      <c r="C192" s="84">
        <f t="shared" si="2"/>
        <v>24</v>
      </c>
      <c r="D192" s="85" t="s">
        <v>159</v>
      </c>
      <c r="E192" s="85" t="s">
        <v>165</v>
      </c>
      <c r="F192" s="86" t="s">
        <v>231</v>
      </c>
      <c r="G192" s="87" t="s">
        <v>208</v>
      </c>
      <c r="H192" s="88">
        <f t="shared" si="3"/>
        <v>0.11</v>
      </c>
      <c r="I192" s="89">
        <v>0.1</v>
      </c>
      <c r="J192" s="89"/>
      <c r="K192" s="89">
        <f t="shared" si="4"/>
        <v>0.01</v>
      </c>
      <c r="L192" s="84">
        <f t="shared" si="5"/>
        <v>191</v>
      </c>
      <c r="M192" s="85" t="s">
        <v>181</v>
      </c>
    </row>
    <row r="193" ht="22.5" customHeight="1">
      <c r="A193" s="83">
        <v>46186.0</v>
      </c>
      <c r="B193" s="84" t="str">
        <f t="shared" si="1"/>
        <v>Jun 2026</v>
      </c>
      <c r="C193" s="84">
        <f t="shared" si="2"/>
        <v>24</v>
      </c>
      <c r="D193" s="85" t="s">
        <v>159</v>
      </c>
      <c r="E193" s="85" t="s">
        <v>165</v>
      </c>
      <c r="F193" s="86" t="s">
        <v>231</v>
      </c>
      <c r="G193" s="87" t="s">
        <v>208</v>
      </c>
      <c r="H193" s="88">
        <f t="shared" si="3"/>
        <v>0.11</v>
      </c>
      <c r="I193" s="89">
        <v>0.1</v>
      </c>
      <c r="J193" s="89"/>
      <c r="K193" s="89">
        <f t="shared" si="4"/>
        <v>0.01</v>
      </c>
      <c r="L193" s="84">
        <f t="shared" si="5"/>
        <v>192</v>
      </c>
      <c r="M193" s="85" t="s">
        <v>181</v>
      </c>
    </row>
    <row r="194" ht="22.5" customHeight="1">
      <c r="A194" s="83">
        <v>46186.0</v>
      </c>
      <c r="B194" s="84" t="str">
        <f t="shared" si="1"/>
        <v>Jun 2026</v>
      </c>
      <c r="C194" s="84">
        <f t="shared" si="2"/>
        <v>24</v>
      </c>
      <c r="D194" s="85" t="s">
        <v>159</v>
      </c>
      <c r="E194" s="85" t="s">
        <v>165</v>
      </c>
      <c r="F194" s="86" t="s">
        <v>231</v>
      </c>
      <c r="G194" s="87" t="s">
        <v>208</v>
      </c>
      <c r="H194" s="88">
        <f t="shared" si="3"/>
        <v>0.11</v>
      </c>
      <c r="I194" s="89">
        <v>0.1</v>
      </c>
      <c r="J194" s="89"/>
      <c r="K194" s="89">
        <f t="shared" si="4"/>
        <v>0.01</v>
      </c>
      <c r="L194" s="84">
        <f t="shared" si="5"/>
        <v>193</v>
      </c>
      <c r="M194" s="85" t="s">
        <v>181</v>
      </c>
    </row>
    <row r="195" ht="22.5" customHeight="1">
      <c r="A195" s="83">
        <v>46186.0</v>
      </c>
      <c r="B195" s="84" t="str">
        <f t="shared" si="1"/>
        <v>Jun 2026</v>
      </c>
      <c r="C195" s="84">
        <f t="shared" si="2"/>
        <v>24</v>
      </c>
      <c r="D195" s="85" t="s">
        <v>159</v>
      </c>
      <c r="E195" s="85" t="s">
        <v>165</v>
      </c>
      <c r="F195" s="86" t="s">
        <v>231</v>
      </c>
      <c r="G195" s="87" t="s">
        <v>208</v>
      </c>
      <c r="H195" s="88">
        <f t="shared" si="3"/>
        <v>0.11</v>
      </c>
      <c r="I195" s="89">
        <v>0.1</v>
      </c>
      <c r="J195" s="89"/>
      <c r="K195" s="89">
        <f t="shared" si="4"/>
        <v>0.01</v>
      </c>
      <c r="L195" s="84">
        <f t="shared" si="5"/>
        <v>194</v>
      </c>
      <c r="M195" s="85" t="s">
        <v>181</v>
      </c>
    </row>
    <row r="196" ht="22.5" customHeight="1">
      <c r="A196" s="83">
        <v>46186.0</v>
      </c>
      <c r="B196" s="84" t="str">
        <f t="shared" si="1"/>
        <v>Jun 2026</v>
      </c>
      <c r="C196" s="84">
        <f t="shared" si="2"/>
        <v>24</v>
      </c>
      <c r="D196" s="85" t="s">
        <v>159</v>
      </c>
      <c r="E196" s="85" t="s">
        <v>165</v>
      </c>
      <c r="F196" s="86" t="s">
        <v>231</v>
      </c>
      <c r="G196" s="87" t="s">
        <v>208</v>
      </c>
      <c r="H196" s="88">
        <f t="shared" si="3"/>
        <v>0.11</v>
      </c>
      <c r="I196" s="89">
        <v>0.1</v>
      </c>
      <c r="J196" s="89"/>
      <c r="K196" s="89">
        <f t="shared" si="4"/>
        <v>0.01</v>
      </c>
      <c r="L196" s="84">
        <f t="shared" si="5"/>
        <v>195</v>
      </c>
      <c r="M196" s="85" t="s">
        <v>181</v>
      </c>
    </row>
    <row r="197" ht="22.5" customHeight="1">
      <c r="A197" s="83">
        <v>46186.0</v>
      </c>
      <c r="B197" s="84" t="str">
        <f t="shared" si="1"/>
        <v>Jun 2026</v>
      </c>
      <c r="C197" s="84">
        <f t="shared" si="2"/>
        <v>24</v>
      </c>
      <c r="D197" s="85" t="s">
        <v>159</v>
      </c>
      <c r="E197" s="85" t="s">
        <v>165</v>
      </c>
      <c r="F197" s="86" t="s">
        <v>231</v>
      </c>
      <c r="G197" s="87" t="s">
        <v>208</v>
      </c>
      <c r="H197" s="88">
        <f t="shared" si="3"/>
        <v>0.11</v>
      </c>
      <c r="I197" s="89">
        <v>0.1</v>
      </c>
      <c r="J197" s="89"/>
      <c r="K197" s="89">
        <f t="shared" si="4"/>
        <v>0.01</v>
      </c>
      <c r="L197" s="84">
        <f t="shared" si="5"/>
        <v>196</v>
      </c>
      <c r="M197" s="85" t="s">
        <v>181</v>
      </c>
    </row>
    <row r="198" ht="22.5" customHeight="1">
      <c r="A198" s="83">
        <v>46186.0</v>
      </c>
      <c r="B198" s="84" t="str">
        <f t="shared" si="1"/>
        <v>Jun 2026</v>
      </c>
      <c r="C198" s="84">
        <f t="shared" si="2"/>
        <v>24</v>
      </c>
      <c r="D198" s="85" t="s">
        <v>159</v>
      </c>
      <c r="E198" s="85" t="s">
        <v>165</v>
      </c>
      <c r="F198" s="86" t="s">
        <v>231</v>
      </c>
      <c r="G198" s="87" t="s">
        <v>208</v>
      </c>
      <c r="H198" s="88">
        <f t="shared" si="3"/>
        <v>0.11</v>
      </c>
      <c r="I198" s="89">
        <v>0.1</v>
      </c>
      <c r="J198" s="89"/>
      <c r="K198" s="89">
        <f t="shared" si="4"/>
        <v>0.01</v>
      </c>
      <c r="L198" s="84">
        <f t="shared" si="5"/>
        <v>197</v>
      </c>
      <c r="M198" s="85" t="s">
        <v>181</v>
      </c>
    </row>
    <row r="199" ht="22.5" customHeight="1">
      <c r="A199" s="83">
        <v>46186.0</v>
      </c>
      <c r="B199" s="84" t="str">
        <f t="shared" si="1"/>
        <v>Jun 2026</v>
      </c>
      <c r="C199" s="84">
        <f t="shared" si="2"/>
        <v>24</v>
      </c>
      <c r="D199" s="85" t="s">
        <v>159</v>
      </c>
      <c r="E199" s="85" t="s">
        <v>165</v>
      </c>
      <c r="F199" s="86" t="s">
        <v>231</v>
      </c>
      <c r="G199" s="87" t="s">
        <v>208</v>
      </c>
      <c r="H199" s="88">
        <f t="shared" si="3"/>
        <v>0.11</v>
      </c>
      <c r="I199" s="89">
        <v>0.1</v>
      </c>
      <c r="J199" s="89"/>
      <c r="K199" s="89">
        <f t="shared" si="4"/>
        <v>0.01</v>
      </c>
      <c r="L199" s="84">
        <f t="shared" si="5"/>
        <v>198</v>
      </c>
      <c r="M199" s="85" t="s">
        <v>181</v>
      </c>
    </row>
    <row r="200" ht="22.5" customHeight="1">
      <c r="A200" s="83">
        <v>46186.0</v>
      </c>
      <c r="B200" s="84" t="str">
        <f t="shared" si="1"/>
        <v>Jun 2026</v>
      </c>
      <c r="C200" s="84">
        <f t="shared" si="2"/>
        <v>24</v>
      </c>
      <c r="D200" s="85" t="s">
        <v>159</v>
      </c>
      <c r="E200" s="85" t="s">
        <v>165</v>
      </c>
      <c r="F200" s="86" t="s">
        <v>231</v>
      </c>
      <c r="G200" s="87" t="s">
        <v>208</v>
      </c>
      <c r="H200" s="88">
        <f t="shared" si="3"/>
        <v>0.11</v>
      </c>
      <c r="I200" s="89">
        <v>0.1</v>
      </c>
      <c r="J200" s="89"/>
      <c r="K200" s="89">
        <f t="shared" si="4"/>
        <v>0.01</v>
      </c>
      <c r="L200" s="84">
        <f t="shared" si="5"/>
        <v>199</v>
      </c>
      <c r="M200" s="85" t="s">
        <v>181</v>
      </c>
    </row>
    <row r="201" ht="22.5" customHeight="1">
      <c r="A201" s="83">
        <v>46186.0</v>
      </c>
      <c r="B201" s="84" t="str">
        <f t="shared" si="1"/>
        <v>Jun 2026</v>
      </c>
      <c r="C201" s="84">
        <f t="shared" si="2"/>
        <v>24</v>
      </c>
      <c r="D201" s="85" t="s">
        <v>159</v>
      </c>
      <c r="E201" s="85" t="s">
        <v>165</v>
      </c>
      <c r="F201" s="86" t="s">
        <v>231</v>
      </c>
      <c r="G201" s="87" t="s">
        <v>208</v>
      </c>
      <c r="H201" s="88">
        <f t="shared" si="3"/>
        <v>0.11</v>
      </c>
      <c r="I201" s="89">
        <v>0.1</v>
      </c>
      <c r="J201" s="89"/>
      <c r="K201" s="89">
        <f t="shared" si="4"/>
        <v>0.01</v>
      </c>
      <c r="L201" s="84">
        <f t="shared" si="5"/>
        <v>200</v>
      </c>
      <c r="M201" s="85" t="s">
        <v>181</v>
      </c>
    </row>
    <row r="202" ht="22.5" customHeight="1">
      <c r="A202" s="83">
        <v>46186.0</v>
      </c>
      <c r="B202" s="84" t="str">
        <f t="shared" si="1"/>
        <v>Jun 2026</v>
      </c>
      <c r="C202" s="84">
        <f t="shared" si="2"/>
        <v>24</v>
      </c>
      <c r="D202" s="85" t="s">
        <v>159</v>
      </c>
      <c r="E202" s="85" t="s">
        <v>165</v>
      </c>
      <c r="F202" s="86" t="s">
        <v>231</v>
      </c>
      <c r="G202" s="87" t="s">
        <v>208</v>
      </c>
      <c r="H202" s="88">
        <f t="shared" si="3"/>
        <v>0.11</v>
      </c>
      <c r="I202" s="89">
        <v>0.1</v>
      </c>
      <c r="J202" s="89"/>
      <c r="K202" s="89">
        <f t="shared" si="4"/>
        <v>0.01</v>
      </c>
      <c r="L202" s="84">
        <f t="shared" si="5"/>
        <v>201</v>
      </c>
      <c r="M202" s="85" t="s">
        <v>181</v>
      </c>
    </row>
    <row r="203" ht="22.5" customHeight="1">
      <c r="A203" s="83">
        <v>46186.0</v>
      </c>
      <c r="B203" s="84" t="str">
        <f t="shared" si="1"/>
        <v>Jun 2026</v>
      </c>
      <c r="C203" s="84">
        <f t="shared" si="2"/>
        <v>24</v>
      </c>
      <c r="D203" s="85" t="s">
        <v>159</v>
      </c>
      <c r="E203" s="85" t="s">
        <v>165</v>
      </c>
      <c r="F203" s="86" t="s">
        <v>231</v>
      </c>
      <c r="G203" s="87" t="s">
        <v>208</v>
      </c>
      <c r="H203" s="88">
        <f t="shared" si="3"/>
        <v>0.11</v>
      </c>
      <c r="I203" s="89">
        <v>0.1</v>
      </c>
      <c r="J203" s="89"/>
      <c r="K203" s="89">
        <f t="shared" si="4"/>
        <v>0.01</v>
      </c>
      <c r="L203" s="84">
        <f t="shared" si="5"/>
        <v>202</v>
      </c>
      <c r="M203" s="85" t="s">
        <v>181</v>
      </c>
    </row>
    <row r="204" ht="22.5" customHeight="1">
      <c r="A204" s="83">
        <v>46186.0</v>
      </c>
      <c r="B204" s="84" t="str">
        <f t="shared" si="1"/>
        <v>Jun 2026</v>
      </c>
      <c r="C204" s="84">
        <f t="shared" si="2"/>
        <v>24</v>
      </c>
      <c r="D204" s="85" t="s">
        <v>159</v>
      </c>
      <c r="E204" s="85" t="s">
        <v>165</v>
      </c>
      <c r="F204" s="86" t="s">
        <v>231</v>
      </c>
      <c r="G204" s="87" t="s">
        <v>208</v>
      </c>
      <c r="H204" s="88">
        <f t="shared" si="3"/>
        <v>0.11</v>
      </c>
      <c r="I204" s="89">
        <v>0.1</v>
      </c>
      <c r="J204" s="89"/>
      <c r="K204" s="89">
        <f t="shared" si="4"/>
        <v>0.01</v>
      </c>
      <c r="L204" s="84">
        <f t="shared" si="5"/>
        <v>203</v>
      </c>
      <c r="M204" s="85" t="s">
        <v>181</v>
      </c>
    </row>
    <row r="205" ht="22.5" customHeight="1">
      <c r="A205" s="83">
        <v>46186.0</v>
      </c>
      <c r="B205" s="84" t="str">
        <f t="shared" si="1"/>
        <v>Jun 2026</v>
      </c>
      <c r="C205" s="84">
        <f t="shared" si="2"/>
        <v>24</v>
      </c>
      <c r="D205" s="85" t="s">
        <v>159</v>
      </c>
      <c r="E205" s="85" t="s">
        <v>165</v>
      </c>
      <c r="F205" s="86" t="s">
        <v>231</v>
      </c>
      <c r="G205" s="87" t="s">
        <v>208</v>
      </c>
      <c r="H205" s="88">
        <f t="shared" si="3"/>
        <v>0.11</v>
      </c>
      <c r="I205" s="89">
        <v>0.1</v>
      </c>
      <c r="J205" s="89"/>
      <c r="K205" s="89">
        <f t="shared" si="4"/>
        <v>0.01</v>
      </c>
      <c r="L205" s="84">
        <f t="shared" si="5"/>
        <v>204</v>
      </c>
      <c r="M205" s="85" t="s">
        <v>181</v>
      </c>
    </row>
    <row r="206" ht="22.5" customHeight="1">
      <c r="A206" s="83">
        <v>46186.0</v>
      </c>
      <c r="B206" s="84" t="str">
        <f t="shared" si="1"/>
        <v>Jun 2026</v>
      </c>
      <c r="C206" s="84">
        <f t="shared" si="2"/>
        <v>24</v>
      </c>
      <c r="D206" s="85" t="s">
        <v>161</v>
      </c>
      <c r="E206" s="85" t="s">
        <v>130</v>
      </c>
      <c r="F206" s="86" t="s">
        <v>232</v>
      </c>
      <c r="G206" s="87" t="s">
        <v>75</v>
      </c>
      <c r="H206" s="88">
        <f t="shared" si="3"/>
        <v>1.1</v>
      </c>
      <c r="I206" s="89">
        <v>1.0</v>
      </c>
      <c r="J206" s="89"/>
      <c r="K206" s="89">
        <f t="shared" si="4"/>
        <v>0.1</v>
      </c>
      <c r="L206" s="84">
        <f t="shared" si="5"/>
        <v>205</v>
      </c>
      <c r="M206" s="85" t="s">
        <v>133</v>
      </c>
    </row>
    <row r="207" ht="22.5" customHeight="1">
      <c r="A207" s="83">
        <v>46186.0</v>
      </c>
      <c r="B207" s="84" t="str">
        <f t="shared" si="1"/>
        <v>Jun 2026</v>
      </c>
      <c r="C207" s="84">
        <f t="shared" si="2"/>
        <v>24</v>
      </c>
      <c r="D207" s="85" t="s">
        <v>161</v>
      </c>
      <c r="E207" s="85" t="s">
        <v>130</v>
      </c>
      <c r="F207" s="86" t="s">
        <v>232</v>
      </c>
      <c r="G207" s="87" t="s">
        <v>75</v>
      </c>
      <c r="H207" s="88">
        <f t="shared" si="3"/>
        <v>1.1</v>
      </c>
      <c r="I207" s="89">
        <v>1.0</v>
      </c>
      <c r="J207" s="89"/>
      <c r="K207" s="89">
        <f t="shared" si="4"/>
        <v>0.1</v>
      </c>
      <c r="L207" s="84">
        <f t="shared" si="5"/>
        <v>206</v>
      </c>
      <c r="M207" s="85" t="s">
        <v>133</v>
      </c>
    </row>
    <row r="208" ht="22.5" customHeight="1">
      <c r="A208" s="83">
        <v>46186.0</v>
      </c>
      <c r="B208" s="84" t="str">
        <f t="shared" si="1"/>
        <v>Jun 2026</v>
      </c>
      <c r="C208" s="84">
        <f t="shared" si="2"/>
        <v>24</v>
      </c>
      <c r="D208" s="85" t="s">
        <v>161</v>
      </c>
      <c r="E208" s="85" t="s">
        <v>130</v>
      </c>
      <c r="F208" s="86" t="s">
        <v>232</v>
      </c>
      <c r="G208" s="87" t="s">
        <v>75</v>
      </c>
      <c r="H208" s="88">
        <f t="shared" si="3"/>
        <v>1.1</v>
      </c>
      <c r="I208" s="89">
        <v>1.0</v>
      </c>
      <c r="J208" s="89"/>
      <c r="K208" s="89">
        <f t="shared" si="4"/>
        <v>0.1</v>
      </c>
      <c r="L208" s="84">
        <f t="shared" si="5"/>
        <v>207</v>
      </c>
      <c r="M208" s="85" t="s">
        <v>133</v>
      </c>
    </row>
    <row r="209" ht="22.5" customHeight="1">
      <c r="A209" s="83">
        <v>46186.0</v>
      </c>
      <c r="B209" s="84" t="str">
        <f t="shared" si="1"/>
        <v>Jun 2026</v>
      </c>
      <c r="C209" s="84">
        <f t="shared" si="2"/>
        <v>24</v>
      </c>
      <c r="D209" s="85" t="s">
        <v>161</v>
      </c>
      <c r="E209" s="85" t="s">
        <v>130</v>
      </c>
      <c r="F209" s="86" t="s">
        <v>232</v>
      </c>
      <c r="G209" s="87" t="s">
        <v>75</v>
      </c>
      <c r="H209" s="88">
        <f t="shared" si="3"/>
        <v>1.1</v>
      </c>
      <c r="I209" s="89">
        <v>1.0</v>
      </c>
      <c r="J209" s="89"/>
      <c r="K209" s="89">
        <f t="shared" si="4"/>
        <v>0.1</v>
      </c>
      <c r="L209" s="84">
        <f t="shared" si="5"/>
        <v>208</v>
      </c>
      <c r="M209" s="85" t="s">
        <v>133</v>
      </c>
    </row>
    <row r="210" ht="22.5" customHeight="1">
      <c r="A210" s="83">
        <v>46186.0</v>
      </c>
      <c r="B210" s="84" t="str">
        <f t="shared" si="1"/>
        <v>Jun 2026</v>
      </c>
      <c r="C210" s="84">
        <f t="shared" si="2"/>
        <v>24</v>
      </c>
      <c r="D210" s="85" t="s">
        <v>161</v>
      </c>
      <c r="E210" s="85" t="s">
        <v>130</v>
      </c>
      <c r="F210" s="86" t="s">
        <v>232</v>
      </c>
      <c r="G210" s="87" t="s">
        <v>75</v>
      </c>
      <c r="H210" s="88">
        <f t="shared" si="3"/>
        <v>1.1</v>
      </c>
      <c r="I210" s="89">
        <v>1.0</v>
      </c>
      <c r="J210" s="89"/>
      <c r="K210" s="89">
        <f t="shared" si="4"/>
        <v>0.1</v>
      </c>
      <c r="L210" s="84">
        <f t="shared" si="5"/>
        <v>209</v>
      </c>
      <c r="M210" s="85" t="s">
        <v>133</v>
      </c>
    </row>
    <row r="211" ht="22.5" customHeight="1">
      <c r="A211" s="83">
        <v>46186.0</v>
      </c>
      <c r="B211" s="84" t="str">
        <f t="shared" si="1"/>
        <v>Jun 2026</v>
      </c>
      <c r="C211" s="84">
        <f t="shared" si="2"/>
        <v>24</v>
      </c>
      <c r="D211" s="85" t="s">
        <v>161</v>
      </c>
      <c r="E211" s="85" t="s">
        <v>130</v>
      </c>
      <c r="F211" s="86" t="s">
        <v>232</v>
      </c>
      <c r="G211" s="87" t="s">
        <v>75</v>
      </c>
      <c r="H211" s="88">
        <f t="shared" si="3"/>
        <v>1.1</v>
      </c>
      <c r="I211" s="89">
        <v>1.0</v>
      </c>
      <c r="J211" s="89"/>
      <c r="K211" s="89">
        <f t="shared" si="4"/>
        <v>0.1</v>
      </c>
      <c r="L211" s="84">
        <f t="shared" si="5"/>
        <v>210</v>
      </c>
      <c r="M211" s="85" t="s">
        <v>133</v>
      </c>
    </row>
    <row r="212" ht="22.5" customHeight="1">
      <c r="A212" s="83">
        <v>46186.0</v>
      </c>
      <c r="B212" s="84" t="str">
        <f t="shared" si="1"/>
        <v>Jun 2026</v>
      </c>
      <c r="C212" s="84">
        <f t="shared" si="2"/>
        <v>24</v>
      </c>
      <c r="D212" s="85" t="s">
        <v>161</v>
      </c>
      <c r="E212" s="85" t="s">
        <v>130</v>
      </c>
      <c r="F212" s="86" t="s">
        <v>232</v>
      </c>
      <c r="G212" s="87" t="s">
        <v>75</v>
      </c>
      <c r="H212" s="88">
        <f t="shared" si="3"/>
        <v>1.1</v>
      </c>
      <c r="I212" s="89">
        <v>1.0</v>
      </c>
      <c r="J212" s="89"/>
      <c r="K212" s="89">
        <f t="shared" si="4"/>
        <v>0.1</v>
      </c>
      <c r="L212" s="84">
        <f t="shared" si="5"/>
        <v>211</v>
      </c>
      <c r="M212" s="85" t="s">
        <v>133</v>
      </c>
    </row>
    <row r="213" ht="22.5" customHeight="1">
      <c r="A213" s="83">
        <v>46186.0</v>
      </c>
      <c r="B213" s="84" t="str">
        <f t="shared" si="1"/>
        <v>Jun 2026</v>
      </c>
      <c r="C213" s="84">
        <f t="shared" si="2"/>
        <v>24</v>
      </c>
      <c r="D213" s="85" t="s">
        <v>161</v>
      </c>
      <c r="E213" s="85" t="s">
        <v>130</v>
      </c>
      <c r="F213" s="86" t="s">
        <v>232</v>
      </c>
      <c r="G213" s="87" t="s">
        <v>75</v>
      </c>
      <c r="H213" s="88">
        <f t="shared" si="3"/>
        <v>1.1</v>
      </c>
      <c r="I213" s="89">
        <v>1.0</v>
      </c>
      <c r="J213" s="89"/>
      <c r="K213" s="89">
        <f t="shared" si="4"/>
        <v>0.1</v>
      </c>
      <c r="L213" s="84">
        <f t="shared" si="5"/>
        <v>212</v>
      </c>
      <c r="M213" s="85" t="s">
        <v>133</v>
      </c>
    </row>
    <row r="214" ht="22.5" customHeight="1">
      <c r="A214" s="83">
        <v>46186.0</v>
      </c>
      <c r="B214" s="84" t="str">
        <f t="shared" si="1"/>
        <v>Jun 2026</v>
      </c>
      <c r="C214" s="84">
        <f t="shared" si="2"/>
        <v>24</v>
      </c>
      <c r="D214" s="85" t="s">
        <v>161</v>
      </c>
      <c r="E214" s="85" t="s">
        <v>130</v>
      </c>
      <c r="F214" s="86" t="s">
        <v>232</v>
      </c>
      <c r="G214" s="87" t="s">
        <v>75</v>
      </c>
      <c r="H214" s="88">
        <f t="shared" si="3"/>
        <v>1.1</v>
      </c>
      <c r="I214" s="89">
        <v>1.0</v>
      </c>
      <c r="J214" s="89"/>
      <c r="K214" s="89">
        <f t="shared" si="4"/>
        <v>0.1</v>
      </c>
      <c r="L214" s="84">
        <f t="shared" si="5"/>
        <v>213</v>
      </c>
      <c r="M214" s="85" t="s">
        <v>133</v>
      </c>
    </row>
    <row r="215" ht="22.5" customHeight="1">
      <c r="A215" s="83">
        <v>46186.0</v>
      </c>
      <c r="B215" s="84" t="str">
        <f t="shared" si="1"/>
        <v>Jun 2026</v>
      </c>
      <c r="C215" s="84">
        <f t="shared" si="2"/>
        <v>24</v>
      </c>
      <c r="D215" s="85" t="s">
        <v>161</v>
      </c>
      <c r="E215" s="85" t="s">
        <v>130</v>
      </c>
      <c r="F215" s="86" t="s">
        <v>232</v>
      </c>
      <c r="G215" s="87" t="s">
        <v>75</v>
      </c>
      <c r="H215" s="88">
        <f t="shared" si="3"/>
        <v>1.1</v>
      </c>
      <c r="I215" s="89">
        <v>1.0</v>
      </c>
      <c r="J215" s="89"/>
      <c r="K215" s="89">
        <f t="shared" si="4"/>
        <v>0.1</v>
      </c>
      <c r="L215" s="84">
        <f t="shared" si="5"/>
        <v>214</v>
      </c>
      <c r="M215" s="85" t="s">
        <v>133</v>
      </c>
    </row>
    <row r="216" ht="22.5" customHeight="1">
      <c r="A216" s="83">
        <v>46186.0</v>
      </c>
      <c r="B216" s="84" t="str">
        <f t="shared" si="1"/>
        <v>Jun 2026</v>
      </c>
      <c r="C216" s="84">
        <f t="shared" si="2"/>
        <v>24</v>
      </c>
      <c r="D216" s="85" t="s">
        <v>161</v>
      </c>
      <c r="E216" s="85" t="s">
        <v>130</v>
      </c>
      <c r="F216" s="86" t="s">
        <v>232</v>
      </c>
      <c r="G216" s="87" t="s">
        <v>75</v>
      </c>
      <c r="H216" s="88">
        <f t="shared" si="3"/>
        <v>1.1</v>
      </c>
      <c r="I216" s="89">
        <v>1.0</v>
      </c>
      <c r="J216" s="89"/>
      <c r="K216" s="89">
        <f t="shared" si="4"/>
        <v>0.1</v>
      </c>
      <c r="L216" s="84">
        <f t="shared" si="5"/>
        <v>215</v>
      </c>
      <c r="M216" s="85" t="s">
        <v>133</v>
      </c>
    </row>
    <row r="217" ht="22.5" customHeight="1">
      <c r="A217" s="83">
        <v>46186.0</v>
      </c>
      <c r="B217" s="84" t="str">
        <f t="shared" si="1"/>
        <v>Jun 2026</v>
      </c>
      <c r="C217" s="84">
        <f t="shared" si="2"/>
        <v>24</v>
      </c>
      <c r="D217" s="85" t="s">
        <v>161</v>
      </c>
      <c r="E217" s="85" t="s">
        <v>130</v>
      </c>
      <c r="F217" s="86" t="s">
        <v>232</v>
      </c>
      <c r="G217" s="87" t="s">
        <v>75</v>
      </c>
      <c r="H217" s="88">
        <f t="shared" si="3"/>
        <v>1.1</v>
      </c>
      <c r="I217" s="89">
        <v>1.0</v>
      </c>
      <c r="J217" s="89"/>
      <c r="K217" s="89">
        <f t="shared" si="4"/>
        <v>0.1</v>
      </c>
      <c r="L217" s="84">
        <f t="shared" si="5"/>
        <v>216</v>
      </c>
      <c r="M217" s="85" t="s">
        <v>133</v>
      </c>
    </row>
    <row r="218" ht="22.5" customHeight="1">
      <c r="A218" s="83">
        <v>46186.0</v>
      </c>
      <c r="B218" s="84" t="str">
        <f t="shared" si="1"/>
        <v>Jun 2026</v>
      </c>
      <c r="C218" s="84">
        <f t="shared" si="2"/>
        <v>24</v>
      </c>
      <c r="D218" s="85" t="s">
        <v>161</v>
      </c>
      <c r="E218" s="85" t="s">
        <v>130</v>
      </c>
      <c r="F218" s="86" t="s">
        <v>232</v>
      </c>
      <c r="G218" s="87" t="s">
        <v>75</v>
      </c>
      <c r="H218" s="88">
        <f t="shared" si="3"/>
        <v>1.1</v>
      </c>
      <c r="I218" s="89">
        <v>1.0</v>
      </c>
      <c r="J218" s="89"/>
      <c r="K218" s="89">
        <f t="shared" si="4"/>
        <v>0.1</v>
      </c>
      <c r="L218" s="84">
        <f t="shared" si="5"/>
        <v>217</v>
      </c>
      <c r="M218" s="85" t="s">
        <v>133</v>
      </c>
    </row>
    <row r="219" ht="22.5" customHeight="1">
      <c r="A219" s="83">
        <v>46186.0</v>
      </c>
      <c r="B219" s="84" t="str">
        <f t="shared" si="1"/>
        <v>Jun 2026</v>
      </c>
      <c r="C219" s="84">
        <f t="shared" si="2"/>
        <v>24</v>
      </c>
      <c r="D219" s="85" t="s">
        <v>161</v>
      </c>
      <c r="E219" s="85" t="s">
        <v>130</v>
      </c>
      <c r="F219" s="86" t="s">
        <v>232</v>
      </c>
      <c r="G219" s="87" t="s">
        <v>75</v>
      </c>
      <c r="H219" s="88">
        <f t="shared" si="3"/>
        <v>1.1</v>
      </c>
      <c r="I219" s="89">
        <v>1.0</v>
      </c>
      <c r="J219" s="89"/>
      <c r="K219" s="89">
        <f t="shared" si="4"/>
        <v>0.1</v>
      </c>
      <c r="L219" s="84">
        <f t="shared" si="5"/>
        <v>218</v>
      </c>
      <c r="M219" s="85" t="s">
        <v>133</v>
      </c>
    </row>
    <row r="220" ht="22.5" customHeight="1">
      <c r="A220" s="83">
        <v>46186.0</v>
      </c>
      <c r="B220" s="84" t="str">
        <f t="shared" si="1"/>
        <v>Jun 2026</v>
      </c>
      <c r="C220" s="84">
        <f t="shared" si="2"/>
        <v>24</v>
      </c>
      <c r="D220" s="85" t="s">
        <v>161</v>
      </c>
      <c r="E220" s="85" t="s">
        <v>130</v>
      </c>
      <c r="F220" s="86" t="s">
        <v>232</v>
      </c>
      <c r="G220" s="87" t="s">
        <v>75</v>
      </c>
      <c r="H220" s="88">
        <f t="shared" si="3"/>
        <v>1.1</v>
      </c>
      <c r="I220" s="89">
        <v>1.0</v>
      </c>
      <c r="J220" s="89"/>
      <c r="K220" s="89">
        <f t="shared" si="4"/>
        <v>0.1</v>
      </c>
      <c r="L220" s="84">
        <f t="shared" si="5"/>
        <v>219</v>
      </c>
      <c r="M220" s="85" t="s">
        <v>133</v>
      </c>
    </row>
    <row r="221" ht="22.5" customHeight="1">
      <c r="A221" s="83">
        <v>46186.0</v>
      </c>
      <c r="B221" s="84" t="str">
        <f t="shared" si="1"/>
        <v>Jun 2026</v>
      </c>
      <c r="C221" s="84">
        <f t="shared" si="2"/>
        <v>24</v>
      </c>
      <c r="D221" s="85" t="s">
        <v>161</v>
      </c>
      <c r="E221" s="85" t="s">
        <v>130</v>
      </c>
      <c r="F221" s="86" t="s">
        <v>232</v>
      </c>
      <c r="G221" s="87" t="s">
        <v>75</v>
      </c>
      <c r="H221" s="88">
        <f t="shared" si="3"/>
        <v>1.1</v>
      </c>
      <c r="I221" s="89">
        <v>1.0</v>
      </c>
      <c r="J221" s="89"/>
      <c r="K221" s="89">
        <f t="shared" si="4"/>
        <v>0.1</v>
      </c>
      <c r="L221" s="84">
        <f t="shared" si="5"/>
        <v>220</v>
      </c>
      <c r="M221" s="85" t="s">
        <v>133</v>
      </c>
    </row>
    <row r="222" ht="22.5" customHeight="1">
      <c r="A222" s="83">
        <v>46186.0</v>
      </c>
      <c r="B222" s="84" t="str">
        <f t="shared" si="1"/>
        <v>Jun 2026</v>
      </c>
      <c r="C222" s="84">
        <f t="shared" si="2"/>
        <v>24</v>
      </c>
      <c r="D222" s="85" t="s">
        <v>161</v>
      </c>
      <c r="E222" s="85" t="s">
        <v>130</v>
      </c>
      <c r="F222" s="86" t="s">
        <v>232</v>
      </c>
      <c r="G222" s="87" t="s">
        <v>75</v>
      </c>
      <c r="H222" s="88">
        <f t="shared" si="3"/>
        <v>1.1</v>
      </c>
      <c r="I222" s="89">
        <v>1.0</v>
      </c>
      <c r="J222" s="89"/>
      <c r="K222" s="89">
        <f t="shared" si="4"/>
        <v>0.1</v>
      </c>
      <c r="L222" s="84">
        <f t="shared" si="5"/>
        <v>221</v>
      </c>
      <c r="M222" s="85" t="s">
        <v>133</v>
      </c>
    </row>
    <row r="223" ht="22.5" customHeight="1">
      <c r="A223" s="83">
        <v>46186.0</v>
      </c>
      <c r="B223" s="84" t="str">
        <f t="shared" si="1"/>
        <v>Jun 2026</v>
      </c>
      <c r="C223" s="84">
        <f t="shared" si="2"/>
        <v>24</v>
      </c>
      <c r="D223" s="85" t="s">
        <v>161</v>
      </c>
      <c r="E223" s="85" t="s">
        <v>130</v>
      </c>
      <c r="F223" s="86" t="s">
        <v>232</v>
      </c>
      <c r="G223" s="87" t="s">
        <v>75</v>
      </c>
      <c r="H223" s="88">
        <f t="shared" si="3"/>
        <v>1.1</v>
      </c>
      <c r="I223" s="89">
        <v>1.0</v>
      </c>
      <c r="J223" s="89"/>
      <c r="K223" s="89">
        <f t="shared" si="4"/>
        <v>0.1</v>
      </c>
      <c r="L223" s="84">
        <f t="shared" si="5"/>
        <v>222</v>
      </c>
      <c r="M223" s="85" t="s">
        <v>133</v>
      </c>
    </row>
    <row r="224" ht="22.5" customHeight="1">
      <c r="A224" s="83">
        <v>46186.0</v>
      </c>
      <c r="B224" s="84" t="str">
        <f t="shared" si="1"/>
        <v>Jun 2026</v>
      </c>
      <c r="C224" s="84">
        <f t="shared" si="2"/>
        <v>24</v>
      </c>
      <c r="D224" s="85" t="s">
        <v>161</v>
      </c>
      <c r="E224" s="85" t="s">
        <v>130</v>
      </c>
      <c r="F224" s="86" t="s">
        <v>232</v>
      </c>
      <c r="G224" s="87" t="s">
        <v>75</v>
      </c>
      <c r="H224" s="88">
        <f t="shared" si="3"/>
        <v>1.1</v>
      </c>
      <c r="I224" s="89">
        <v>1.0</v>
      </c>
      <c r="J224" s="89"/>
      <c r="K224" s="89">
        <f t="shared" si="4"/>
        <v>0.1</v>
      </c>
      <c r="L224" s="84">
        <f t="shared" si="5"/>
        <v>223</v>
      </c>
      <c r="M224" s="85" t="s">
        <v>133</v>
      </c>
    </row>
    <row r="225" ht="22.5" customHeight="1">
      <c r="A225" s="83">
        <v>46186.0</v>
      </c>
      <c r="B225" s="84" t="str">
        <f t="shared" si="1"/>
        <v>Jun 2026</v>
      </c>
      <c r="C225" s="84">
        <f t="shared" si="2"/>
        <v>24</v>
      </c>
      <c r="D225" s="85" t="s">
        <v>161</v>
      </c>
      <c r="E225" s="85" t="s">
        <v>130</v>
      </c>
      <c r="F225" s="86" t="s">
        <v>232</v>
      </c>
      <c r="G225" s="87" t="s">
        <v>75</v>
      </c>
      <c r="H225" s="88">
        <f t="shared" si="3"/>
        <v>1.1</v>
      </c>
      <c r="I225" s="89">
        <v>1.0</v>
      </c>
      <c r="J225" s="89"/>
      <c r="K225" s="89">
        <f t="shared" si="4"/>
        <v>0.1</v>
      </c>
      <c r="L225" s="84">
        <f t="shared" si="5"/>
        <v>224</v>
      </c>
      <c r="M225" s="85" t="s">
        <v>133</v>
      </c>
    </row>
    <row r="226" ht="22.5" customHeight="1">
      <c r="A226" s="83">
        <v>46186.0</v>
      </c>
      <c r="B226" s="84" t="str">
        <f t="shared" si="1"/>
        <v>Jun 2026</v>
      </c>
      <c r="C226" s="84">
        <f t="shared" si="2"/>
        <v>24</v>
      </c>
      <c r="D226" s="85" t="s">
        <v>161</v>
      </c>
      <c r="E226" s="85" t="s">
        <v>130</v>
      </c>
      <c r="F226" s="86" t="s">
        <v>232</v>
      </c>
      <c r="G226" s="87" t="s">
        <v>75</v>
      </c>
      <c r="H226" s="88">
        <f t="shared" si="3"/>
        <v>1.1</v>
      </c>
      <c r="I226" s="89">
        <v>1.0</v>
      </c>
      <c r="J226" s="89"/>
      <c r="K226" s="89">
        <f t="shared" si="4"/>
        <v>0.1</v>
      </c>
      <c r="L226" s="84">
        <f t="shared" si="5"/>
        <v>225</v>
      </c>
      <c r="M226" s="85" t="s">
        <v>133</v>
      </c>
    </row>
    <row r="227" ht="22.5" customHeight="1">
      <c r="A227" s="83">
        <v>46186.0</v>
      </c>
      <c r="B227" s="84" t="str">
        <f t="shared" si="1"/>
        <v>Jun 2026</v>
      </c>
      <c r="C227" s="84">
        <f t="shared" si="2"/>
        <v>24</v>
      </c>
      <c r="D227" s="85" t="s">
        <v>161</v>
      </c>
      <c r="E227" s="85" t="s">
        <v>130</v>
      </c>
      <c r="F227" s="86" t="s">
        <v>232</v>
      </c>
      <c r="G227" s="87" t="s">
        <v>75</v>
      </c>
      <c r="H227" s="88">
        <f t="shared" si="3"/>
        <v>1.1</v>
      </c>
      <c r="I227" s="89">
        <v>1.0</v>
      </c>
      <c r="J227" s="89"/>
      <c r="K227" s="89">
        <f t="shared" si="4"/>
        <v>0.1</v>
      </c>
      <c r="L227" s="84">
        <f t="shared" si="5"/>
        <v>226</v>
      </c>
      <c r="M227" s="85" t="s">
        <v>133</v>
      </c>
    </row>
    <row r="228" ht="22.5" customHeight="1">
      <c r="A228" s="83">
        <v>46186.0</v>
      </c>
      <c r="B228" s="84" t="str">
        <f t="shared" si="1"/>
        <v>Jun 2026</v>
      </c>
      <c r="C228" s="84">
        <f t="shared" si="2"/>
        <v>24</v>
      </c>
      <c r="D228" s="85" t="s">
        <v>161</v>
      </c>
      <c r="E228" s="85" t="s">
        <v>130</v>
      </c>
      <c r="F228" s="86" t="s">
        <v>232</v>
      </c>
      <c r="G228" s="87" t="s">
        <v>75</v>
      </c>
      <c r="H228" s="88">
        <f t="shared" si="3"/>
        <v>1.1</v>
      </c>
      <c r="I228" s="89">
        <v>1.0</v>
      </c>
      <c r="J228" s="89"/>
      <c r="K228" s="89">
        <f t="shared" si="4"/>
        <v>0.1</v>
      </c>
      <c r="L228" s="84">
        <f t="shared" si="5"/>
        <v>227</v>
      </c>
      <c r="M228" s="85" t="s">
        <v>133</v>
      </c>
    </row>
    <row r="229" ht="22.5" customHeight="1">
      <c r="A229" s="83">
        <v>46186.0</v>
      </c>
      <c r="B229" s="84" t="str">
        <f t="shared" si="1"/>
        <v>Jun 2026</v>
      </c>
      <c r="C229" s="84">
        <f t="shared" si="2"/>
        <v>24</v>
      </c>
      <c r="D229" s="85" t="s">
        <v>161</v>
      </c>
      <c r="E229" s="85" t="s">
        <v>130</v>
      </c>
      <c r="F229" s="86" t="s">
        <v>232</v>
      </c>
      <c r="G229" s="87" t="s">
        <v>75</v>
      </c>
      <c r="H229" s="88">
        <f t="shared" si="3"/>
        <v>1.1</v>
      </c>
      <c r="I229" s="89">
        <v>1.0</v>
      </c>
      <c r="J229" s="89"/>
      <c r="K229" s="89">
        <f t="shared" si="4"/>
        <v>0.1</v>
      </c>
      <c r="L229" s="84">
        <f t="shared" si="5"/>
        <v>228</v>
      </c>
      <c r="M229" s="85" t="s">
        <v>133</v>
      </c>
    </row>
    <row r="230" ht="22.5" customHeight="1">
      <c r="A230" s="83">
        <v>46186.0</v>
      </c>
      <c r="B230" s="84" t="str">
        <f t="shared" si="1"/>
        <v>Jun 2026</v>
      </c>
      <c r="C230" s="84">
        <f t="shared" si="2"/>
        <v>24</v>
      </c>
      <c r="D230" s="85" t="s">
        <v>161</v>
      </c>
      <c r="E230" s="85" t="s">
        <v>130</v>
      </c>
      <c r="F230" s="86" t="s">
        <v>232</v>
      </c>
      <c r="G230" s="87" t="s">
        <v>75</v>
      </c>
      <c r="H230" s="88">
        <f t="shared" si="3"/>
        <v>1.1</v>
      </c>
      <c r="I230" s="89">
        <v>1.0</v>
      </c>
      <c r="J230" s="89"/>
      <c r="K230" s="89">
        <f t="shared" si="4"/>
        <v>0.1</v>
      </c>
      <c r="L230" s="84">
        <f t="shared" si="5"/>
        <v>229</v>
      </c>
      <c r="M230" s="85" t="s">
        <v>133</v>
      </c>
    </row>
    <row r="231" ht="22.5" customHeight="1">
      <c r="A231" s="83">
        <v>46186.0</v>
      </c>
      <c r="B231" s="84" t="str">
        <f t="shared" si="1"/>
        <v>Jun 2026</v>
      </c>
      <c r="C231" s="84">
        <f t="shared" si="2"/>
        <v>24</v>
      </c>
      <c r="D231" s="85" t="s">
        <v>161</v>
      </c>
      <c r="E231" s="85" t="s">
        <v>130</v>
      </c>
      <c r="F231" s="86" t="s">
        <v>232</v>
      </c>
      <c r="G231" s="87" t="s">
        <v>75</v>
      </c>
      <c r="H231" s="88">
        <f t="shared" si="3"/>
        <v>1.1</v>
      </c>
      <c r="I231" s="89">
        <v>1.0</v>
      </c>
      <c r="J231" s="89"/>
      <c r="K231" s="89">
        <f t="shared" si="4"/>
        <v>0.1</v>
      </c>
      <c r="L231" s="84">
        <f t="shared" si="5"/>
        <v>230</v>
      </c>
      <c r="M231" s="85" t="s">
        <v>133</v>
      </c>
    </row>
    <row r="232" ht="22.5" customHeight="1">
      <c r="A232" s="83">
        <v>46186.0</v>
      </c>
      <c r="B232" s="84" t="str">
        <f t="shared" si="1"/>
        <v>Jun 2026</v>
      </c>
      <c r="C232" s="84">
        <f t="shared" si="2"/>
        <v>24</v>
      </c>
      <c r="D232" s="85" t="s">
        <v>161</v>
      </c>
      <c r="E232" s="85" t="s">
        <v>130</v>
      </c>
      <c r="F232" s="86" t="s">
        <v>232</v>
      </c>
      <c r="G232" s="87" t="s">
        <v>75</v>
      </c>
      <c r="H232" s="88">
        <f t="shared" si="3"/>
        <v>1.1</v>
      </c>
      <c r="I232" s="89">
        <v>1.0</v>
      </c>
      <c r="J232" s="89"/>
      <c r="K232" s="89">
        <f t="shared" si="4"/>
        <v>0.1</v>
      </c>
      <c r="L232" s="84">
        <f t="shared" si="5"/>
        <v>231</v>
      </c>
      <c r="M232" s="85" t="s">
        <v>133</v>
      </c>
    </row>
    <row r="233" ht="22.5" customHeight="1">
      <c r="A233" s="83">
        <v>46186.0</v>
      </c>
      <c r="B233" s="84" t="str">
        <f t="shared" si="1"/>
        <v>Jun 2026</v>
      </c>
      <c r="C233" s="84">
        <f t="shared" si="2"/>
        <v>24</v>
      </c>
      <c r="D233" s="85" t="s">
        <v>161</v>
      </c>
      <c r="E233" s="85" t="s">
        <v>130</v>
      </c>
      <c r="F233" s="86" t="s">
        <v>232</v>
      </c>
      <c r="G233" s="87" t="s">
        <v>75</v>
      </c>
      <c r="H233" s="88">
        <f t="shared" si="3"/>
        <v>1.1</v>
      </c>
      <c r="I233" s="89">
        <v>1.0</v>
      </c>
      <c r="J233" s="89"/>
      <c r="K233" s="89">
        <f t="shared" si="4"/>
        <v>0.1</v>
      </c>
      <c r="L233" s="84">
        <f t="shared" si="5"/>
        <v>232</v>
      </c>
      <c r="M233" s="85" t="s">
        <v>133</v>
      </c>
    </row>
    <row r="234" ht="22.5" customHeight="1">
      <c r="A234" s="83">
        <v>46186.0</v>
      </c>
      <c r="B234" s="84" t="str">
        <f t="shared" si="1"/>
        <v>Jun 2026</v>
      </c>
      <c r="C234" s="84">
        <f t="shared" si="2"/>
        <v>24</v>
      </c>
      <c r="D234" s="85" t="s">
        <v>161</v>
      </c>
      <c r="E234" s="85" t="s">
        <v>130</v>
      </c>
      <c r="F234" s="86" t="s">
        <v>232</v>
      </c>
      <c r="G234" s="87" t="s">
        <v>75</v>
      </c>
      <c r="H234" s="88">
        <f t="shared" si="3"/>
        <v>1.1</v>
      </c>
      <c r="I234" s="89">
        <v>1.0</v>
      </c>
      <c r="J234" s="89"/>
      <c r="K234" s="89">
        <f t="shared" si="4"/>
        <v>0.1</v>
      </c>
      <c r="L234" s="84">
        <f t="shared" si="5"/>
        <v>233</v>
      </c>
      <c r="M234" s="85" t="s">
        <v>133</v>
      </c>
    </row>
    <row r="235" ht="22.5" customHeight="1">
      <c r="A235" s="83">
        <v>46186.0</v>
      </c>
      <c r="B235" s="84" t="str">
        <f t="shared" si="1"/>
        <v>Jun 2026</v>
      </c>
      <c r="C235" s="84">
        <f t="shared" si="2"/>
        <v>24</v>
      </c>
      <c r="D235" s="85" t="s">
        <v>161</v>
      </c>
      <c r="E235" s="85" t="s">
        <v>130</v>
      </c>
      <c r="F235" s="86" t="s">
        <v>232</v>
      </c>
      <c r="G235" s="87" t="s">
        <v>75</v>
      </c>
      <c r="H235" s="88">
        <f t="shared" si="3"/>
        <v>1.1</v>
      </c>
      <c r="I235" s="89">
        <v>1.0</v>
      </c>
      <c r="J235" s="89"/>
      <c r="K235" s="89">
        <f t="shared" si="4"/>
        <v>0.1</v>
      </c>
      <c r="L235" s="84">
        <f t="shared" si="5"/>
        <v>234</v>
      </c>
      <c r="M235" s="85" t="s">
        <v>133</v>
      </c>
    </row>
    <row r="236" ht="22.5" customHeight="1">
      <c r="A236" s="83">
        <v>46187.0</v>
      </c>
      <c r="B236" s="84" t="str">
        <f t="shared" si="1"/>
        <v>Jun 2026</v>
      </c>
      <c r="C236" s="84">
        <f t="shared" si="2"/>
        <v>25</v>
      </c>
      <c r="D236" s="85" t="s">
        <v>159</v>
      </c>
      <c r="E236" s="85" t="s">
        <v>167</v>
      </c>
      <c r="F236" s="86" t="s">
        <v>233</v>
      </c>
      <c r="G236" s="87" t="s">
        <v>210</v>
      </c>
      <c r="H236" s="88">
        <f t="shared" si="3"/>
        <v>0.11</v>
      </c>
      <c r="I236" s="89">
        <v>0.1</v>
      </c>
      <c r="J236" s="89"/>
      <c r="K236" s="89">
        <f t="shared" si="4"/>
        <v>0.01</v>
      </c>
      <c r="L236" s="84">
        <f t="shared" si="5"/>
        <v>235</v>
      </c>
      <c r="M236" s="85" t="s">
        <v>181</v>
      </c>
    </row>
    <row r="237" ht="22.5" customHeight="1">
      <c r="A237" s="83">
        <v>46187.0</v>
      </c>
      <c r="B237" s="84" t="str">
        <f t="shared" si="1"/>
        <v>Jun 2026</v>
      </c>
      <c r="C237" s="84">
        <f t="shared" si="2"/>
        <v>25</v>
      </c>
      <c r="D237" s="85" t="s">
        <v>159</v>
      </c>
      <c r="E237" s="85" t="s">
        <v>167</v>
      </c>
      <c r="F237" s="86" t="s">
        <v>234</v>
      </c>
      <c r="G237" s="87" t="s">
        <v>211</v>
      </c>
      <c r="H237" s="88">
        <f t="shared" si="3"/>
        <v>0.11</v>
      </c>
      <c r="I237" s="89">
        <v>0.1</v>
      </c>
      <c r="J237" s="89"/>
      <c r="K237" s="89">
        <f t="shared" si="4"/>
        <v>0.01</v>
      </c>
      <c r="L237" s="84">
        <f t="shared" si="5"/>
        <v>236</v>
      </c>
      <c r="M237" s="85" t="s">
        <v>181</v>
      </c>
    </row>
    <row r="238" ht="22.5" customHeight="1">
      <c r="A238" s="83">
        <v>46187.0</v>
      </c>
      <c r="B238" s="84" t="str">
        <f t="shared" si="1"/>
        <v>Jun 2026</v>
      </c>
      <c r="C238" s="84">
        <f t="shared" si="2"/>
        <v>25</v>
      </c>
      <c r="D238" s="85" t="s">
        <v>159</v>
      </c>
      <c r="E238" s="85" t="s">
        <v>167</v>
      </c>
      <c r="F238" s="86" t="s">
        <v>173</v>
      </c>
      <c r="G238" s="87" t="s">
        <v>174</v>
      </c>
      <c r="H238" s="88">
        <f t="shared" si="3"/>
        <v>0.11</v>
      </c>
      <c r="I238" s="89">
        <v>0.1</v>
      </c>
      <c r="J238" s="89"/>
      <c r="K238" s="89">
        <f t="shared" si="4"/>
        <v>0.01</v>
      </c>
      <c r="L238" s="84">
        <f t="shared" si="5"/>
        <v>237</v>
      </c>
      <c r="M238" s="85" t="s">
        <v>181</v>
      </c>
    </row>
    <row r="239" ht="22.5" customHeight="1">
      <c r="A239" s="83">
        <v>46187.0</v>
      </c>
      <c r="B239" s="84" t="str">
        <f t="shared" si="1"/>
        <v>Jun 2026</v>
      </c>
      <c r="C239" s="84">
        <f t="shared" si="2"/>
        <v>25</v>
      </c>
      <c r="D239" s="85" t="s">
        <v>159</v>
      </c>
      <c r="E239" s="85" t="s">
        <v>167</v>
      </c>
      <c r="F239" s="86" t="s">
        <v>229</v>
      </c>
      <c r="G239" s="86" t="s">
        <v>213</v>
      </c>
      <c r="H239" s="88">
        <f t="shared" si="3"/>
        <v>0.11</v>
      </c>
      <c r="I239" s="89">
        <v>0.1</v>
      </c>
      <c r="J239" s="89"/>
      <c r="K239" s="89">
        <f t="shared" si="4"/>
        <v>0.01</v>
      </c>
      <c r="L239" s="84">
        <f t="shared" si="5"/>
        <v>238</v>
      </c>
      <c r="M239" s="85" t="s">
        <v>181</v>
      </c>
    </row>
    <row r="240" ht="22.5" customHeight="1">
      <c r="A240" s="83">
        <v>46187.0</v>
      </c>
      <c r="B240" s="84" t="str">
        <f t="shared" si="1"/>
        <v>Jun 2026</v>
      </c>
      <c r="C240" s="84">
        <f t="shared" si="2"/>
        <v>25</v>
      </c>
      <c r="D240" s="85" t="s">
        <v>159</v>
      </c>
      <c r="E240" s="85" t="s">
        <v>167</v>
      </c>
      <c r="F240" s="86" t="s">
        <v>178</v>
      </c>
      <c r="G240" s="86" t="s">
        <v>74</v>
      </c>
      <c r="H240" s="88">
        <f t="shared" si="3"/>
        <v>0.11</v>
      </c>
      <c r="I240" s="89">
        <v>0.1</v>
      </c>
      <c r="J240" s="89"/>
      <c r="K240" s="89">
        <f t="shared" si="4"/>
        <v>0.01</v>
      </c>
      <c r="L240" s="84">
        <f t="shared" si="5"/>
        <v>239</v>
      </c>
      <c r="M240" s="85" t="s">
        <v>181</v>
      </c>
    </row>
    <row r="241" ht="22.5" customHeight="1">
      <c r="A241" s="83">
        <v>46187.0</v>
      </c>
      <c r="B241" s="84" t="str">
        <f t="shared" si="1"/>
        <v>Jun 2026</v>
      </c>
      <c r="C241" s="84">
        <f t="shared" si="2"/>
        <v>25</v>
      </c>
      <c r="D241" s="85" t="s">
        <v>159</v>
      </c>
      <c r="E241" s="85" t="s">
        <v>167</v>
      </c>
      <c r="F241" s="86" t="s">
        <v>172</v>
      </c>
      <c r="G241" s="87" t="s">
        <v>62</v>
      </c>
      <c r="H241" s="88">
        <f t="shared" si="3"/>
        <v>0.11</v>
      </c>
      <c r="I241" s="89">
        <v>0.1</v>
      </c>
      <c r="J241" s="89"/>
      <c r="K241" s="89">
        <f t="shared" si="4"/>
        <v>0.01</v>
      </c>
      <c r="L241" s="84">
        <f t="shared" si="5"/>
        <v>240</v>
      </c>
      <c r="M241" s="85" t="s">
        <v>181</v>
      </c>
    </row>
    <row r="242" ht="22.5" customHeight="1">
      <c r="A242" s="83">
        <v>46187.0</v>
      </c>
      <c r="B242" s="84" t="str">
        <f t="shared" si="1"/>
        <v>Jun 2026</v>
      </c>
      <c r="C242" s="84">
        <f t="shared" si="2"/>
        <v>25</v>
      </c>
      <c r="D242" s="85" t="s">
        <v>159</v>
      </c>
      <c r="E242" s="85" t="s">
        <v>167</v>
      </c>
      <c r="F242" s="86" t="s">
        <v>235</v>
      </c>
      <c r="G242" s="87" t="s">
        <v>214</v>
      </c>
      <c r="H242" s="88">
        <f t="shared" si="3"/>
        <v>0.11</v>
      </c>
      <c r="I242" s="89">
        <v>0.1</v>
      </c>
      <c r="J242" s="89"/>
      <c r="K242" s="89">
        <f t="shared" si="4"/>
        <v>0.01</v>
      </c>
      <c r="L242" s="84">
        <f t="shared" si="5"/>
        <v>241</v>
      </c>
      <c r="M242" s="85" t="s">
        <v>181</v>
      </c>
    </row>
    <row r="243" ht="22.5" customHeight="1">
      <c r="A243" s="83">
        <v>46187.0</v>
      </c>
      <c r="B243" s="84" t="str">
        <f t="shared" si="1"/>
        <v>Jun 2026</v>
      </c>
      <c r="C243" s="84">
        <f t="shared" si="2"/>
        <v>25</v>
      </c>
      <c r="D243" s="85" t="s">
        <v>159</v>
      </c>
      <c r="E243" s="85" t="s">
        <v>167</v>
      </c>
      <c r="F243" s="86" t="s">
        <v>236</v>
      </c>
      <c r="G243" s="87" t="s">
        <v>170</v>
      </c>
      <c r="H243" s="88">
        <f t="shared" si="3"/>
        <v>0.11</v>
      </c>
      <c r="I243" s="89">
        <v>0.1</v>
      </c>
      <c r="J243" s="89"/>
      <c r="K243" s="89">
        <f t="shared" si="4"/>
        <v>0.01</v>
      </c>
      <c r="L243" s="84">
        <f t="shared" si="5"/>
        <v>242</v>
      </c>
      <c r="M243" s="85" t="s">
        <v>181</v>
      </c>
    </row>
    <row r="244" ht="22.5" customHeight="1">
      <c r="A244" s="83">
        <v>46187.0</v>
      </c>
      <c r="B244" s="84" t="str">
        <f t="shared" si="1"/>
        <v>Jun 2026</v>
      </c>
      <c r="C244" s="84">
        <f t="shared" si="2"/>
        <v>25</v>
      </c>
      <c r="D244" s="85" t="s">
        <v>159</v>
      </c>
      <c r="E244" s="85" t="s">
        <v>167</v>
      </c>
      <c r="F244" s="86" t="s">
        <v>237</v>
      </c>
      <c r="G244" s="87" t="s">
        <v>212</v>
      </c>
      <c r="H244" s="88">
        <f t="shared" si="3"/>
        <v>0.11</v>
      </c>
      <c r="I244" s="89">
        <v>0.1</v>
      </c>
      <c r="J244" s="89"/>
      <c r="K244" s="89">
        <f t="shared" si="4"/>
        <v>0.01</v>
      </c>
      <c r="L244" s="84">
        <f t="shared" si="5"/>
        <v>243</v>
      </c>
      <c r="M244" s="85" t="s">
        <v>181</v>
      </c>
    </row>
    <row r="245" ht="22.5" customHeight="1">
      <c r="A245" s="83">
        <v>46187.0</v>
      </c>
      <c r="B245" s="84" t="str">
        <f t="shared" si="1"/>
        <v>Jun 2026</v>
      </c>
      <c r="C245" s="84">
        <f t="shared" si="2"/>
        <v>25</v>
      </c>
      <c r="D245" s="85" t="s">
        <v>129</v>
      </c>
      <c r="E245" s="85" t="s">
        <v>167</v>
      </c>
      <c r="F245" s="86" t="s">
        <v>238</v>
      </c>
      <c r="G245" s="87" t="s">
        <v>226</v>
      </c>
      <c r="H245" s="88">
        <f t="shared" si="3"/>
        <v>1.1</v>
      </c>
      <c r="I245" s="89">
        <v>1.0</v>
      </c>
      <c r="J245" s="89"/>
      <c r="K245" s="89">
        <f t="shared" si="4"/>
        <v>0.1</v>
      </c>
      <c r="L245" s="84">
        <f t="shared" si="5"/>
        <v>244</v>
      </c>
      <c r="M245" s="85" t="s">
        <v>133</v>
      </c>
    </row>
    <row r="246" ht="22.5" customHeight="1">
      <c r="A246" s="83">
        <v>46187.0</v>
      </c>
      <c r="B246" s="84" t="str">
        <f t="shared" si="1"/>
        <v>Jun 2026</v>
      </c>
      <c r="C246" s="84">
        <f t="shared" si="2"/>
        <v>25</v>
      </c>
      <c r="D246" s="85" t="s">
        <v>129</v>
      </c>
      <c r="E246" s="85" t="s">
        <v>165</v>
      </c>
      <c r="F246" s="86" t="s">
        <v>238</v>
      </c>
      <c r="G246" s="87" t="s">
        <v>226</v>
      </c>
      <c r="H246" s="88">
        <f t="shared" si="3"/>
        <v>1.1</v>
      </c>
      <c r="I246" s="89">
        <v>1.0</v>
      </c>
      <c r="J246" s="89"/>
      <c r="K246" s="89">
        <f t="shared" si="4"/>
        <v>0.1</v>
      </c>
      <c r="L246" s="84">
        <f t="shared" si="5"/>
        <v>245</v>
      </c>
      <c r="M246" s="85" t="s">
        <v>133</v>
      </c>
    </row>
    <row r="247" ht="22.5" customHeight="1">
      <c r="A247" s="83">
        <v>46187.0</v>
      </c>
      <c r="B247" s="84" t="str">
        <f t="shared" si="1"/>
        <v>Jun 2026</v>
      </c>
      <c r="C247" s="84">
        <f t="shared" si="2"/>
        <v>25</v>
      </c>
      <c r="D247" s="85" t="s">
        <v>159</v>
      </c>
      <c r="E247" s="85" t="s">
        <v>130</v>
      </c>
      <c r="F247" s="86" t="s">
        <v>233</v>
      </c>
      <c r="G247" s="87" t="s">
        <v>210</v>
      </c>
      <c r="H247" s="88">
        <f t="shared" si="3"/>
        <v>0.11</v>
      </c>
      <c r="I247" s="89">
        <v>0.1</v>
      </c>
      <c r="J247" s="89"/>
      <c r="K247" s="89">
        <f t="shared" si="4"/>
        <v>0.01</v>
      </c>
      <c r="L247" s="84">
        <f t="shared" si="5"/>
        <v>246</v>
      </c>
      <c r="M247" s="85" t="s">
        <v>181</v>
      </c>
    </row>
    <row r="248" ht="22.5" customHeight="1">
      <c r="A248" s="83">
        <v>46187.0</v>
      </c>
      <c r="B248" s="84" t="str">
        <f t="shared" si="1"/>
        <v>Jun 2026</v>
      </c>
      <c r="C248" s="84">
        <f t="shared" si="2"/>
        <v>25</v>
      </c>
      <c r="D248" s="85" t="s">
        <v>159</v>
      </c>
      <c r="E248" s="85" t="s">
        <v>130</v>
      </c>
      <c r="F248" s="86" t="s">
        <v>173</v>
      </c>
      <c r="G248" s="87" t="s">
        <v>174</v>
      </c>
      <c r="H248" s="88">
        <f t="shared" si="3"/>
        <v>0.11</v>
      </c>
      <c r="I248" s="89">
        <v>0.1</v>
      </c>
      <c r="J248" s="89"/>
      <c r="K248" s="89">
        <f t="shared" si="4"/>
        <v>0.01</v>
      </c>
      <c r="L248" s="84">
        <f t="shared" si="5"/>
        <v>247</v>
      </c>
      <c r="M248" s="85" t="s">
        <v>181</v>
      </c>
    </row>
    <row r="249" ht="22.5" customHeight="1">
      <c r="A249" s="83">
        <v>46187.0</v>
      </c>
      <c r="B249" s="84" t="str">
        <f t="shared" si="1"/>
        <v>Jun 2026</v>
      </c>
      <c r="C249" s="84">
        <f t="shared" si="2"/>
        <v>25</v>
      </c>
      <c r="D249" s="85" t="s">
        <v>159</v>
      </c>
      <c r="E249" s="85" t="s">
        <v>130</v>
      </c>
      <c r="F249" s="86" t="s">
        <v>229</v>
      </c>
      <c r="G249" s="86" t="s">
        <v>213</v>
      </c>
      <c r="H249" s="88">
        <f t="shared" si="3"/>
        <v>0.11</v>
      </c>
      <c r="I249" s="89">
        <v>0.1</v>
      </c>
      <c r="J249" s="89"/>
      <c r="K249" s="89">
        <f t="shared" si="4"/>
        <v>0.01</v>
      </c>
      <c r="L249" s="84">
        <f t="shared" si="5"/>
        <v>248</v>
      </c>
      <c r="M249" s="85" t="s">
        <v>181</v>
      </c>
    </row>
    <row r="250" ht="22.5" customHeight="1">
      <c r="A250" s="83">
        <v>46187.0</v>
      </c>
      <c r="B250" s="84" t="str">
        <f t="shared" si="1"/>
        <v>Jun 2026</v>
      </c>
      <c r="C250" s="84">
        <f t="shared" si="2"/>
        <v>25</v>
      </c>
      <c r="D250" s="85" t="s">
        <v>159</v>
      </c>
      <c r="E250" s="85" t="s">
        <v>130</v>
      </c>
      <c r="F250" s="86" t="s">
        <v>234</v>
      </c>
      <c r="G250" s="87" t="s">
        <v>211</v>
      </c>
      <c r="H250" s="88">
        <f t="shared" si="3"/>
        <v>0.11</v>
      </c>
      <c r="I250" s="89">
        <v>0.1</v>
      </c>
      <c r="J250" s="89"/>
      <c r="K250" s="89">
        <f t="shared" si="4"/>
        <v>0.01</v>
      </c>
      <c r="L250" s="84">
        <f t="shared" si="5"/>
        <v>249</v>
      </c>
      <c r="M250" s="85" t="s">
        <v>181</v>
      </c>
    </row>
    <row r="251" ht="22.5" customHeight="1">
      <c r="A251" s="83">
        <v>46187.0</v>
      </c>
      <c r="B251" s="84" t="str">
        <f t="shared" si="1"/>
        <v>Jun 2026</v>
      </c>
      <c r="C251" s="84">
        <f t="shared" si="2"/>
        <v>25</v>
      </c>
      <c r="D251" s="85" t="s">
        <v>159</v>
      </c>
      <c r="E251" s="85" t="s">
        <v>130</v>
      </c>
      <c r="F251" s="86" t="s">
        <v>178</v>
      </c>
      <c r="G251" s="86" t="s">
        <v>74</v>
      </c>
      <c r="H251" s="88">
        <f t="shared" si="3"/>
        <v>0.11</v>
      </c>
      <c r="I251" s="89">
        <v>0.1</v>
      </c>
      <c r="J251" s="89"/>
      <c r="K251" s="89">
        <f t="shared" si="4"/>
        <v>0.01</v>
      </c>
      <c r="L251" s="84">
        <f t="shared" si="5"/>
        <v>250</v>
      </c>
      <c r="M251" s="85" t="s">
        <v>181</v>
      </c>
    </row>
    <row r="252" ht="22.5" customHeight="1">
      <c r="A252" s="83">
        <v>46187.0</v>
      </c>
      <c r="B252" s="84" t="str">
        <f t="shared" si="1"/>
        <v>Jun 2026</v>
      </c>
      <c r="C252" s="84">
        <f t="shared" si="2"/>
        <v>25</v>
      </c>
      <c r="D252" s="85" t="s">
        <v>159</v>
      </c>
      <c r="E252" s="85" t="s">
        <v>130</v>
      </c>
      <c r="F252" s="86" t="s">
        <v>172</v>
      </c>
      <c r="G252" s="87" t="s">
        <v>62</v>
      </c>
      <c r="H252" s="88">
        <f t="shared" si="3"/>
        <v>0.11</v>
      </c>
      <c r="I252" s="89">
        <v>0.1</v>
      </c>
      <c r="J252" s="89"/>
      <c r="K252" s="89">
        <f t="shared" si="4"/>
        <v>0.01</v>
      </c>
      <c r="L252" s="84">
        <f t="shared" si="5"/>
        <v>251</v>
      </c>
      <c r="M252" s="85" t="s">
        <v>181</v>
      </c>
    </row>
    <row r="253" ht="22.5" customHeight="1">
      <c r="A253" s="83">
        <v>46187.0</v>
      </c>
      <c r="B253" s="84" t="str">
        <f t="shared" si="1"/>
        <v>Jun 2026</v>
      </c>
      <c r="C253" s="84">
        <f t="shared" si="2"/>
        <v>25</v>
      </c>
      <c r="D253" s="85" t="s">
        <v>159</v>
      </c>
      <c r="E253" s="85" t="s">
        <v>130</v>
      </c>
      <c r="F253" s="86" t="s">
        <v>235</v>
      </c>
      <c r="G253" s="87" t="s">
        <v>214</v>
      </c>
      <c r="H253" s="88">
        <f t="shared" si="3"/>
        <v>0.11</v>
      </c>
      <c r="I253" s="89">
        <v>0.1</v>
      </c>
      <c r="J253" s="89"/>
      <c r="K253" s="89">
        <f t="shared" si="4"/>
        <v>0.01</v>
      </c>
      <c r="L253" s="84">
        <f t="shared" si="5"/>
        <v>252</v>
      </c>
      <c r="M253" s="85" t="s">
        <v>181</v>
      </c>
    </row>
    <row r="254" ht="22.5" customHeight="1">
      <c r="A254" s="83">
        <v>46187.0</v>
      </c>
      <c r="B254" s="84" t="str">
        <f t="shared" si="1"/>
        <v>Jun 2026</v>
      </c>
      <c r="C254" s="84">
        <f t="shared" si="2"/>
        <v>25</v>
      </c>
      <c r="D254" s="85" t="s">
        <v>159</v>
      </c>
      <c r="E254" s="85" t="s">
        <v>130</v>
      </c>
      <c r="F254" s="86" t="s">
        <v>236</v>
      </c>
      <c r="G254" s="87" t="s">
        <v>170</v>
      </c>
      <c r="H254" s="88">
        <f t="shared" si="3"/>
        <v>0.11</v>
      </c>
      <c r="I254" s="89">
        <v>0.1</v>
      </c>
      <c r="J254" s="89"/>
      <c r="K254" s="89">
        <f t="shared" si="4"/>
        <v>0.01</v>
      </c>
      <c r="L254" s="84">
        <f t="shared" si="5"/>
        <v>253</v>
      </c>
      <c r="M254" s="85" t="s">
        <v>181</v>
      </c>
    </row>
    <row r="255" ht="22.5" customHeight="1">
      <c r="A255" s="83">
        <v>46187.0</v>
      </c>
      <c r="B255" s="84" t="str">
        <f t="shared" si="1"/>
        <v>Jun 2026</v>
      </c>
      <c r="C255" s="84">
        <f t="shared" si="2"/>
        <v>25</v>
      </c>
      <c r="D255" s="85" t="s">
        <v>159</v>
      </c>
      <c r="E255" s="85" t="s">
        <v>130</v>
      </c>
      <c r="F255" s="86" t="s">
        <v>237</v>
      </c>
      <c r="G255" s="87" t="s">
        <v>212</v>
      </c>
      <c r="H255" s="88">
        <f t="shared" si="3"/>
        <v>0.11</v>
      </c>
      <c r="I255" s="89">
        <v>0.1</v>
      </c>
      <c r="J255" s="89"/>
      <c r="K255" s="89">
        <f t="shared" si="4"/>
        <v>0.01</v>
      </c>
      <c r="L255" s="84">
        <f t="shared" si="5"/>
        <v>254</v>
      </c>
      <c r="M255" s="85" t="s">
        <v>181</v>
      </c>
    </row>
    <row r="256" ht="22.5" customHeight="1">
      <c r="A256" s="83">
        <v>46187.0</v>
      </c>
      <c r="B256" s="84" t="str">
        <f t="shared" si="1"/>
        <v>Jun 2026</v>
      </c>
      <c r="C256" s="84">
        <f t="shared" si="2"/>
        <v>25</v>
      </c>
      <c r="D256" s="85" t="s">
        <v>129</v>
      </c>
      <c r="E256" s="85" t="s">
        <v>130</v>
      </c>
      <c r="F256" s="86" t="s">
        <v>238</v>
      </c>
      <c r="G256" s="87" t="s">
        <v>226</v>
      </c>
      <c r="H256" s="88">
        <f t="shared" si="3"/>
        <v>1.1</v>
      </c>
      <c r="I256" s="89">
        <v>1.0</v>
      </c>
      <c r="J256" s="89"/>
      <c r="K256" s="89">
        <f t="shared" si="4"/>
        <v>0.1</v>
      </c>
      <c r="L256" s="84">
        <f t="shared" si="5"/>
        <v>255</v>
      </c>
      <c r="M256" s="85" t="s">
        <v>133</v>
      </c>
    </row>
    <row r="257" ht="22.5" customHeight="1">
      <c r="A257" s="83">
        <v>46187.0</v>
      </c>
      <c r="B257" s="84" t="str">
        <f t="shared" si="1"/>
        <v>Jun 2026</v>
      </c>
      <c r="C257" s="84">
        <f t="shared" si="2"/>
        <v>25</v>
      </c>
      <c r="D257" s="85" t="s">
        <v>159</v>
      </c>
      <c r="E257" s="85" t="s">
        <v>164</v>
      </c>
      <c r="F257" s="86" t="s">
        <v>172</v>
      </c>
      <c r="G257" s="87" t="s">
        <v>62</v>
      </c>
      <c r="H257" s="88">
        <f t="shared" si="3"/>
        <v>0.11</v>
      </c>
      <c r="I257" s="89">
        <v>0.1</v>
      </c>
      <c r="J257" s="89"/>
      <c r="K257" s="89">
        <f t="shared" si="4"/>
        <v>0.01</v>
      </c>
      <c r="L257" s="84">
        <f t="shared" si="5"/>
        <v>256</v>
      </c>
      <c r="M257" s="85" t="s">
        <v>181</v>
      </c>
    </row>
    <row r="258" ht="22.5" customHeight="1">
      <c r="A258" s="83">
        <v>46187.0</v>
      </c>
      <c r="B258" s="84" t="str">
        <f t="shared" si="1"/>
        <v>Jun 2026</v>
      </c>
      <c r="C258" s="84">
        <f t="shared" si="2"/>
        <v>25</v>
      </c>
      <c r="D258" s="85" t="s">
        <v>129</v>
      </c>
      <c r="E258" s="85" t="s">
        <v>164</v>
      </c>
      <c r="F258" s="86" t="s">
        <v>238</v>
      </c>
      <c r="G258" s="87" t="s">
        <v>226</v>
      </c>
      <c r="H258" s="88">
        <f t="shared" si="3"/>
        <v>1.1</v>
      </c>
      <c r="I258" s="89">
        <v>1.0</v>
      </c>
      <c r="J258" s="89"/>
      <c r="K258" s="89">
        <f t="shared" si="4"/>
        <v>0.1</v>
      </c>
      <c r="L258" s="84">
        <f t="shared" si="5"/>
        <v>257</v>
      </c>
      <c r="M258" s="85" t="s">
        <v>133</v>
      </c>
    </row>
    <row r="259" ht="22.5" customHeight="1">
      <c r="A259" s="83">
        <v>46187.0</v>
      </c>
      <c r="B259" s="84" t="str">
        <f t="shared" si="1"/>
        <v>Jun 2026</v>
      </c>
      <c r="C259" s="84">
        <f t="shared" si="2"/>
        <v>25</v>
      </c>
      <c r="D259" s="85" t="s">
        <v>159</v>
      </c>
      <c r="E259" s="85" t="s">
        <v>164</v>
      </c>
      <c r="F259" s="86" t="s">
        <v>233</v>
      </c>
      <c r="G259" s="87" t="s">
        <v>210</v>
      </c>
      <c r="H259" s="88">
        <f t="shared" si="3"/>
        <v>0.11</v>
      </c>
      <c r="I259" s="89">
        <v>0.1</v>
      </c>
      <c r="J259" s="89"/>
      <c r="K259" s="89">
        <f t="shared" si="4"/>
        <v>0.01</v>
      </c>
      <c r="L259" s="84">
        <f t="shared" si="5"/>
        <v>258</v>
      </c>
      <c r="M259" s="85" t="s">
        <v>181</v>
      </c>
    </row>
    <row r="260" ht="22.5" customHeight="1">
      <c r="A260" s="83">
        <v>46187.0</v>
      </c>
      <c r="B260" s="84" t="str">
        <f t="shared" si="1"/>
        <v>Jun 2026</v>
      </c>
      <c r="C260" s="84">
        <f t="shared" si="2"/>
        <v>25</v>
      </c>
      <c r="D260" s="85" t="s">
        <v>159</v>
      </c>
      <c r="E260" s="85" t="s">
        <v>164</v>
      </c>
      <c r="F260" s="86" t="s">
        <v>234</v>
      </c>
      <c r="G260" s="87" t="s">
        <v>211</v>
      </c>
      <c r="H260" s="88">
        <f t="shared" si="3"/>
        <v>0.11</v>
      </c>
      <c r="I260" s="89">
        <v>0.1</v>
      </c>
      <c r="J260" s="89"/>
      <c r="K260" s="89">
        <f t="shared" si="4"/>
        <v>0.01</v>
      </c>
      <c r="L260" s="84">
        <f t="shared" si="5"/>
        <v>259</v>
      </c>
      <c r="M260" s="85" t="s">
        <v>181</v>
      </c>
    </row>
    <row r="261" ht="22.5" customHeight="1">
      <c r="A261" s="83">
        <v>46187.0</v>
      </c>
      <c r="B261" s="84" t="str">
        <f t="shared" si="1"/>
        <v>Jun 2026</v>
      </c>
      <c r="C261" s="84">
        <f t="shared" si="2"/>
        <v>25</v>
      </c>
      <c r="D261" s="85" t="s">
        <v>159</v>
      </c>
      <c r="E261" s="85" t="s">
        <v>164</v>
      </c>
      <c r="F261" s="86" t="s">
        <v>173</v>
      </c>
      <c r="G261" s="87" t="s">
        <v>174</v>
      </c>
      <c r="H261" s="88">
        <f t="shared" si="3"/>
        <v>0.11</v>
      </c>
      <c r="I261" s="89">
        <v>0.1</v>
      </c>
      <c r="J261" s="89"/>
      <c r="K261" s="89">
        <f t="shared" si="4"/>
        <v>0.01</v>
      </c>
      <c r="L261" s="84">
        <f t="shared" si="5"/>
        <v>260</v>
      </c>
      <c r="M261" s="85" t="s">
        <v>181</v>
      </c>
    </row>
    <row r="262" ht="22.5" customHeight="1">
      <c r="A262" s="83">
        <v>46187.0</v>
      </c>
      <c r="B262" s="84" t="str">
        <f t="shared" si="1"/>
        <v>Jun 2026</v>
      </c>
      <c r="C262" s="84">
        <f t="shared" si="2"/>
        <v>25</v>
      </c>
      <c r="D262" s="85" t="s">
        <v>159</v>
      </c>
      <c r="E262" s="85" t="s">
        <v>164</v>
      </c>
      <c r="F262" s="86" t="s">
        <v>229</v>
      </c>
      <c r="G262" s="86" t="s">
        <v>213</v>
      </c>
      <c r="H262" s="88">
        <f t="shared" si="3"/>
        <v>0.11</v>
      </c>
      <c r="I262" s="89">
        <v>0.1</v>
      </c>
      <c r="J262" s="89"/>
      <c r="K262" s="89">
        <f t="shared" si="4"/>
        <v>0.01</v>
      </c>
      <c r="L262" s="84">
        <f t="shared" si="5"/>
        <v>261</v>
      </c>
      <c r="M262" s="85" t="s">
        <v>181</v>
      </c>
    </row>
    <row r="263" ht="22.5" customHeight="1">
      <c r="A263" s="83">
        <v>46187.0</v>
      </c>
      <c r="B263" s="84" t="str">
        <f t="shared" si="1"/>
        <v>Jun 2026</v>
      </c>
      <c r="C263" s="84">
        <f t="shared" si="2"/>
        <v>25</v>
      </c>
      <c r="D263" s="85" t="s">
        <v>159</v>
      </c>
      <c r="E263" s="85" t="s">
        <v>164</v>
      </c>
      <c r="F263" s="86" t="s">
        <v>178</v>
      </c>
      <c r="G263" s="86" t="s">
        <v>74</v>
      </c>
      <c r="H263" s="88">
        <f t="shared" si="3"/>
        <v>0.11</v>
      </c>
      <c r="I263" s="89">
        <v>0.1</v>
      </c>
      <c r="J263" s="89"/>
      <c r="K263" s="89">
        <f t="shared" si="4"/>
        <v>0.01</v>
      </c>
      <c r="L263" s="84">
        <f t="shared" si="5"/>
        <v>262</v>
      </c>
      <c r="M263" s="85" t="s">
        <v>181</v>
      </c>
    </row>
    <row r="264" ht="22.5" customHeight="1">
      <c r="A264" s="83">
        <v>46187.0</v>
      </c>
      <c r="B264" s="84" t="str">
        <f t="shared" si="1"/>
        <v>Jun 2026</v>
      </c>
      <c r="C264" s="84">
        <f t="shared" si="2"/>
        <v>25</v>
      </c>
      <c r="D264" s="85" t="s">
        <v>159</v>
      </c>
      <c r="E264" s="85" t="s">
        <v>164</v>
      </c>
      <c r="F264" s="86" t="s">
        <v>235</v>
      </c>
      <c r="G264" s="87" t="s">
        <v>214</v>
      </c>
      <c r="H264" s="88">
        <f t="shared" si="3"/>
        <v>0.11</v>
      </c>
      <c r="I264" s="89">
        <v>0.1</v>
      </c>
      <c r="J264" s="89"/>
      <c r="K264" s="89">
        <f t="shared" si="4"/>
        <v>0.01</v>
      </c>
      <c r="L264" s="84">
        <f t="shared" si="5"/>
        <v>263</v>
      </c>
      <c r="M264" s="85" t="s">
        <v>181</v>
      </c>
    </row>
    <row r="265" ht="22.5" customHeight="1">
      <c r="A265" s="83">
        <v>46187.0</v>
      </c>
      <c r="B265" s="84" t="str">
        <f t="shared" si="1"/>
        <v>Jun 2026</v>
      </c>
      <c r="C265" s="84">
        <f t="shared" si="2"/>
        <v>25</v>
      </c>
      <c r="D265" s="85" t="s">
        <v>159</v>
      </c>
      <c r="E265" s="85" t="s">
        <v>164</v>
      </c>
      <c r="F265" s="86" t="s">
        <v>236</v>
      </c>
      <c r="G265" s="87" t="s">
        <v>170</v>
      </c>
      <c r="H265" s="88">
        <f t="shared" si="3"/>
        <v>0.11</v>
      </c>
      <c r="I265" s="89">
        <v>0.1</v>
      </c>
      <c r="J265" s="89"/>
      <c r="K265" s="89">
        <f t="shared" si="4"/>
        <v>0.01</v>
      </c>
      <c r="L265" s="84">
        <f t="shared" si="5"/>
        <v>264</v>
      </c>
      <c r="M265" s="85" t="s">
        <v>181</v>
      </c>
    </row>
    <row r="266" ht="22.5" customHeight="1">
      <c r="A266" s="83">
        <v>46187.0</v>
      </c>
      <c r="B266" s="84" t="str">
        <f t="shared" si="1"/>
        <v>Jun 2026</v>
      </c>
      <c r="C266" s="84">
        <f t="shared" si="2"/>
        <v>25</v>
      </c>
      <c r="D266" s="85" t="s">
        <v>159</v>
      </c>
      <c r="E266" s="85" t="s">
        <v>164</v>
      </c>
      <c r="F266" s="86" t="s">
        <v>237</v>
      </c>
      <c r="G266" s="87" t="s">
        <v>212</v>
      </c>
      <c r="H266" s="88">
        <f t="shared" si="3"/>
        <v>0.11</v>
      </c>
      <c r="I266" s="89">
        <v>0.1</v>
      </c>
      <c r="J266" s="89"/>
      <c r="K266" s="89">
        <f t="shared" si="4"/>
        <v>0.01</v>
      </c>
      <c r="L266" s="84">
        <f t="shared" si="5"/>
        <v>265</v>
      </c>
      <c r="M266" s="85" t="s">
        <v>181</v>
      </c>
    </row>
    <row r="267" ht="22.5" customHeight="1">
      <c r="A267" s="83">
        <v>46187.0</v>
      </c>
      <c r="B267" s="84" t="str">
        <f t="shared" si="1"/>
        <v>Jun 2026</v>
      </c>
      <c r="C267" s="84">
        <f t="shared" si="2"/>
        <v>25</v>
      </c>
      <c r="D267" s="85" t="s">
        <v>159</v>
      </c>
      <c r="E267" s="85" t="s">
        <v>164</v>
      </c>
      <c r="F267" s="86" t="s">
        <v>237</v>
      </c>
      <c r="G267" s="87" t="s">
        <v>212</v>
      </c>
      <c r="H267" s="88">
        <f t="shared" si="3"/>
        <v>0.11</v>
      </c>
      <c r="I267" s="89">
        <v>0.1</v>
      </c>
      <c r="J267" s="89"/>
      <c r="K267" s="89">
        <f t="shared" si="4"/>
        <v>0.01</v>
      </c>
      <c r="L267" s="84">
        <f t="shared" si="5"/>
        <v>266</v>
      </c>
      <c r="M267" s="85" t="s">
        <v>133</v>
      </c>
    </row>
    <row r="268" ht="22.5" customHeight="1">
      <c r="A268" s="83">
        <v>46187.0</v>
      </c>
      <c r="B268" s="84" t="str">
        <f t="shared" si="1"/>
        <v>Jun 2026</v>
      </c>
      <c r="C268" s="84">
        <f t="shared" si="2"/>
        <v>25</v>
      </c>
      <c r="D268" s="85" t="s">
        <v>159</v>
      </c>
      <c r="E268" s="85" t="s">
        <v>164</v>
      </c>
      <c r="F268" s="86" t="s">
        <v>235</v>
      </c>
      <c r="G268" s="87" t="s">
        <v>214</v>
      </c>
      <c r="H268" s="88">
        <f t="shared" si="3"/>
        <v>0.11</v>
      </c>
      <c r="I268" s="89">
        <v>0.1</v>
      </c>
      <c r="J268" s="89"/>
      <c r="K268" s="89">
        <f t="shared" si="4"/>
        <v>0.01</v>
      </c>
      <c r="L268" s="84">
        <f t="shared" si="5"/>
        <v>267</v>
      </c>
      <c r="M268" s="85" t="s">
        <v>133</v>
      </c>
    </row>
    <row r="269" ht="22.5" customHeight="1">
      <c r="A269" s="83">
        <v>46187.0</v>
      </c>
      <c r="B269" s="84" t="str">
        <f t="shared" si="1"/>
        <v>Jun 2026</v>
      </c>
      <c r="C269" s="84">
        <f t="shared" si="2"/>
        <v>25</v>
      </c>
      <c r="D269" s="85" t="s">
        <v>159</v>
      </c>
      <c r="E269" s="85" t="s">
        <v>164</v>
      </c>
      <c r="F269" s="86" t="s">
        <v>173</v>
      </c>
      <c r="G269" s="87" t="s">
        <v>174</v>
      </c>
      <c r="H269" s="88">
        <f t="shared" si="3"/>
        <v>0.11</v>
      </c>
      <c r="I269" s="89">
        <v>0.1</v>
      </c>
      <c r="J269" s="89"/>
      <c r="K269" s="89">
        <f t="shared" si="4"/>
        <v>0.01</v>
      </c>
      <c r="L269" s="84">
        <f t="shared" si="5"/>
        <v>268</v>
      </c>
      <c r="M269" s="85" t="s">
        <v>133</v>
      </c>
    </row>
    <row r="270" ht="22.5" customHeight="1">
      <c r="A270" s="83">
        <v>46187.0</v>
      </c>
      <c r="B270" s="84" t="str">
        <f t="shared" si="1"/>
        <v>Jun 2026</v>
      </c>
      <c r="C270" s="84">
        <f t="shared" si="2"/>
        <v>25</v>
      </c>
      <c r="D270" s="85" t="s">
        <v>159</v>
      </c>
      <c r="E270" s="85" t="s">
        <v>164</v>
      </c>
      <c r="F270" s="86" t="s">
        <v>234</v>
      </c>
      <c r="G270" s="87" t="s">
        <v>211</v>
      </c>
      <c r="H270" s="88">
        <f t="shared" si="3"/>
        <v>0.11</v>
      </c>
      <c r="I270" s="89">
        <v>0.1</v>
      </c>
      <c r="J270" s="89"/>
      <c r="K270" s="89">
        <f t="shared" si="4"/>
        <v>0.01</v>
      </c>
      <c r="L270" s="84">
        <f t="shared" si="5"/>
        <v>269</v>
      </c>
      <c r="M270" s="85" t="s">
        <v>133</v>
      </c>
    </row>
    <row r="271" ht="22.5" customHeight="1">
      <c r="A271" s="83">
        <v>46187.0</v>
      </c>
      <c r="B271" s="84" t="str">
        <f t="shared" si="1"/>
        <v>Jun 2026</v>
      </c>
      <c r="C271" s="84">
        <f t="shared" si="2"/>
        <v>25</v>
      </c>
      <c r="D271" s="85" t="s">
        <v>159</v>
      </c>
      <c r="E271" s="85" t="s">
        <v>164</v>
      </c>
      <c r="F271" s="86" t="s">
        <v>239</v>
      </c>
      <c r="G271" s="86" t="s">
        <v>207</v>
      </c>
      <c r="H271" s="88">
        <f t="shared" si="3"/>
        <v>0.11</v>
      </c>
      <c r="I271" s="89">
        <v>0.1</v>
      </c>
      <c r="J271" s="89"/>
      <c r="K271" s="89">
        <f t="shared" si="4"/>
        <v>0.01</v>
      </c>
      <c r="L271" s="84">
        <f t="shared" si="5"/>
        <v>270</v>
      </c>
      <c r="M271" s="85" t="s">
        <v>133</v>
      </c>
    </row>
    <row r="272" ht="22.5" customHeight="1">
      <c r="A272" s="83">
        <v>46187.0</v>
      </c>
      <c r="B272" s="84" t="str">
        <f t="shared" si="1"/>
        <v>Jun 2026</v>
      </c>
      <c r="C272" s="84">
        <f t="shared" si="2"/>
        <v>25</v>
      </c>
      <c r="D272" s="85" t="s">
        <v>159</v>
      </c>
      <c r="E272" s="85" t="s">
        <v>164</v>
      </c>
      <c r="F272" s="86" t="s">
        <v>233</v>
      </c>
      <c r="G272" s="87" t="s">
        <v>210</v>
      </c>
      <c r="H272" s="88">
        <f t="shared" si="3"/>
        <v>0.11</v>
      </c>
      <c r="I272" s="89">
        <v>0.1</v>
      </c>
      <c r="J272" s="89"/>
      <c r="K272" s="89">
        <f t="shared" si="4"/>
        <v>0.01</v>
      </c>
      <c r="L272" s="84">
        <f t="shared" si="5"/>
        <v>271</v>
      </c>
      <c r="M272" s="85" t="s">
        <v>133</v>
      </c>
    </row>
    <row r="273" ht="22.5" customHeight="1">
      <c r="A273" s="83">
        <v>46188.0</v>
      </c>
      <c r="B273" s="84" t="str">
        <f t="shared" si="1"/>
        <v>Jun 2026</v>
      </c>
      <c r="C273" s="84">
        <f t="shared" si="2"/>
        <v>25</v>
      </c>
      <c r="D273" s="85" t="s">
        <v>159</v>
      </c>
      <c r="E273" s="85" t="s">
        <v>164</v>
      </c>
      <c r="F273" s="86" t="s">
        <v>172</v>
      </c>
      <c r="G273" s="87" t="s">
        <v>62</v>
      </c>
      <c r="H273" s="88">
        <f t="shared" si="3"/>
        <v>0.11</v>
      </c>
      <c r="I273" s="89">
        <v>0.1</v>
      </c>
      <c r="J273" s="89"/>
      <c r="K273" s="89">
        <f t="shared" si="4"/>
        <v>0.01</v>
      </c>
      <c r="L273" s="84">
        <f t="shared" si="5"/>
        <v>272</v>
      </c>
      <c r="M273" s="85" t="s">
        <v>133</v>
      </c>
    </row>
    <row r="274" ht="22.5" customHeight="1">
      <c r="A274" s="83">
        <v>46188.0</v>
      </c>
      <c r="B274" s="84" t="str">
        <f t="shared" si="1"/>
        <v>Jun 2026</v>
      </c>
      <c r="C274" s="84">
        <f t="shared" si="2"/>
        <v>25</v>
      </c>
      <c r="D274" s="85" t="s">
        <v>159</v>
      </c>
      <c r="E274" s="85" t="s">
        <v>164</v>
      </c>
      <c r="F274" s="86" t="s">
        <v>178</v>
      </c>
      <c r="G274" s="86" t="s">
        <v>74</v>
      </c>
      <c r="H274" s="88">
        <f t="shared" si="3"/>
        <v>0.11</v>
      </c>
      <c r="I274" s="89">
        <v>0.1</v>
      </c>
      <c r="J274" s="89"/>
      <c r="K274" s="89">
        <f t="shared" si="4"/>
        <v>0.01</v>
      </c>
      <c r="L274" s="84">
        <f t="shared" si="5"/>
        <v>273</v>
      </c>
      <c r="M274" s="85" t="s">
        <v>133</v>
      </c>
    </row>
    <row r="275" ht="22.5" customHeight="1">
      <c r="A275" s="83">
        <v>46188.0</v>
      </c>
      <c r="B275" s="84" t="str">
        <f t="shared" si="1"/>
        <v>Jun 2026</v>
      </c>
      <c r="C275" s="84">
        <f t="shared" si="2"/>
        <v>25</v>
      </c>
      <c r="D275" s="85" t="s">
        <v>159</v>
      </c>
      <c r="E275" s="85" t="s">
        <v>164</v>
      </c>
      <c r="F275" s="86" t="s">
        <v>236</v>
      </c>
      <c r="G275" s="87" t="s">
        <v>170</v>
      </c>
      <c r="H275" s="88">
        <f t="shared" si="3"/>
        <v>0.11</v>
      </c>
      <c r="I275" s="89">
        <v>0.1</v>
      </c>
      <c r="J275" s="89"/>
      <c r="K275" s="89">
        <f t="shared" si="4"/>
        <v>0.01</v>
      </c>
      <c r="L275" s="84">
        <f t="shared" si="5"/>
        <v>274</v>
      </c>
      <c r="M275" s="85" t="s">
        <v>133</v>
      </c>
    </row>
    <row r="276" ht="22.5" customHeight="1">
      <c r="A276" s="83">
        <v>46188.0</v>
      </c>
      <c r="B276" s="84" t="str">
        <f t="shared" si="1"/>
        <v>Jun 2026</v>
      </c>
      <c r="C276" s="84">
        <f t="shared" si="2"/>
        <v>25</v>
      </c>
      <c r="D276" s="85" t="s">
        <v>159</v>
      </c>
      <c r="E276" s="85" t="s">
        <v>164</v>
      </c>
      <c r="F276" s="86" t="s">
        <v>240</v>
      </c>
      <c r="G276" s="87" t="s">
        <v>187</v>
      </c>
      <c r="H276" s="88">
        <f t="shared" si="3"/>
        <v>0.11</v>
      </c>
      <c r="I276" s="89">
        <v>0.1</v>
      </c>
      <c r="J276" s="89"/>
      <c r="K276" s="89">
        <f t="shared" si="4"/>
        <v>0.01</v>
      </c>
      <c r="L276" s="84">
        <f t="shared" si="5"/>
        <v>275</v>
      </c>
      <c r="M276" s="85" t="s">
        <v>133</v>
      </c>
    </row>
    <row r="277" ht="22.5" customHeight="1">
      <c r="A277" s="83">
        <v>46188.0</v>
      </c>
      <c r="B277" s="84" t="str">
        <f t="shared" si="1"/>
        <v>Jun 2026</v>
      </c>
      <c r="C277" s="84">
        <f t="shared" si="2"/>
        <v>25</v>
      </c>
      <c r="D277" s="85" t="s">
        <v>159</v>
      </c>
      <c r="E277" s="85" t="s">
        <v>164</v>
      </c>
      <c r="F277" s="86" t="s">
        <v>229</v>
      </c>
      <c r="G277" s="86" t="s">
        <v>213</v>
      </c>
      <c r="H277" s="88">
        <f t="shared" si="3"/>
        <v>0.11</v>
      </c>
      <c r="I277" s="89">
        <v>0.1</v>
      </c>
      <c r="J277" s="89"/>
      <c r="K277" s="89">
        <f t="shared" si="4"/>
        <v>0.01</v>
      </c>
      <c r="L277" s="84">
        <f t="shared" si="5"/>
        <v>276</v>
      </c>
      <c r="M277" s="85" t="s">
        <v>133</v>
      </c>
    </row>
    <row r="278" ht="22.5" customHeight="1">
      <c r="A278" s="83">
        <v>46188.0</v>
      </c>
      <c r="B278" s="84" t="str">
        <f t="shared" si="1"/>
        <v>Jun 2026</v>
      </c>
      <c r="C278" s="84">
        <f t="shared" si="2"/>
        <v>25</v>
      </c>
      <c r="D278" s="85" t="s">
        <v>159</v>
      </c>
      <c r="E278" s="85" t="s">
        <v>164</v>
      </c>
      <c r="F278" s="86" t="s">
        <v>237</v>
      </c>
      <c r="G278" s="87" t="s">
        <v>212</v>
      </c>
      <c r="H278" s="88">
        <f t="shared" si="3"/>
        <v>0.11</v>
      </c>
      <c r="I278" s="89">
        <v>0.1</v>
      </c>
      <c r="J278" s="89"/>
      <c r="K278" s="89">
        <f t="shared" si="4"/>
        <v>0.01</v>
      </c>
      <c r="L278" s="84">
        <f t="shared" si="5"/>
        <v>277</v>
      </c>
      <c r="M278" s="85" t="s">
        <v>133</v>
      </c>
    </row>
    <row r="279" ht="22.5" customHeight="1">
      <c r="A279" s="83">
        <v>46188.0</v>
      </c>
      <c r="B279" s="84" t="str">
        <f t="shared" si="1"/>
        <v>Jun 2026</v>
      </c>
      <c r="C279" s="84">
        <f t="shared" si="2"/>
        <v>25</v>
      </c>
      <c r="D279" s="85" t="s">
        <v>159</v>
      </c>
      <c r="E279" s="85" t="s">
        <v>164</v>
      </c>
      <c r="F279" s="86" t="s">
        <v>229</v>
      </c>
      <c r="G279" s="86" t="s">
        <v>213</v>
      </c>
      <c r="H279" s="88">
        <f t="shared" si="3"/>
        <v>0.11</v>
      </c>
      <c r="I279" s="89">
        <v>0.1</v>
      </c>
      <c r="J279" s="89"/>
      <c r="K279" s="89">
        <f t="shared" si="4"/>
        <v>0.01</v>
      </c>
      <c r="L279" s="84">
        <f t="shared" si="5"/>
        <v>278</v>
      </c>
      <c r="M279" s="85" t="s">
        <v>133</v>
      </c>
    </row>
    <row r="280" ht="22.5" customHeight="1">
      <c r="A280" s="83">
        <v>46188.0</v>
      </c>
      <c r="B280" s="84" t="str">
        <f t="shared" si="1"/>
        <v>Jun 2026</v>
      </c>
      <c r="C280" s="84">
        <f t="shared" si="2"/>
        <v>25</v>
      </c>
      <c r="D280" s="85" t="s">
        <v>159</v>
      </c>
      <c r="E280" s="85" t="s">
        <v>164</v>
      </c>
      <c r="F280" s="86" t="s">
        <v>236</v>
      </c>
      <c r="G280" s="87" t="s">
        <v>170</v>
      </c>
      <c r="H280" s="88">
        <f t="shared" si="3"/>
        <v>0.11</v>
      </c>
      <c r="I280" s="89">
        <v>0.1</v>
      </c>
      <c r="J280" s="89"/>
      <c r="K280" s="89">
        <f t="shared" si="4"/>
        <v>0.01</v>
      </c>
      <c r="L280" s="84">
        <f t="shared" si="5"/>
        <v>279</v>
      </c>
      <c r="M280" s="85" t="s">
        <v>133</v>
      </c>
    </row>
    <row r="281" ht="22.5" customHeight="1">
      <c r="A281" s="83">
        <v>46188.0</v>
      </c>
      <c r="B281" s="84" t="str">
        <f t="shared" si="1"/>
        <v>Jun 2026</v>
      </c>
      <c r="C281" s="84">
        <f t="shared" si="2"/>
        <v>25</v>
      </c>
      <c r="D281" s="85" t="s">
        <v>159</v>
      </c>
      <c r="E281" s="85" t="s">
        <v>164</v>
      </c>
      <c r="F281" s="86" t="s">
        <v>239</v>
      </c>
      <c r="G281" s="86" t="s">
        <v>207</v>
      </c>
      <c r="H281" s="88">
        <f t="shared" si="3"/>
        <v>0.11</v>
      </c>
      <c r="I281" s="89">
        <v>0.1</v>
      </c>
      <c r="J281" s="89"/>
      <c r="K281" s="89">
        <f t="shared" si="4"/>
        <v>0.01</v>
      </c>
      <c r="L281" s="84">
        <f t="shared" si="5"/>
        <v>280</v>
      </c>
      <c r="M281" s="85" t="s">
        <v>133</v>
      </c>
    </row>
    <row r="282" ht="22.5" customHeight="1">
      <c r="A282" s="83">
        <v>46188.0</v>
      </c>
      <c r="B282" s="84" t="str">
        <f t="shared" si="1"/>
        <v>Jun 2026</v>
      </c>
      <c r="C282" s="84">
        <f t="shared" si="2"/>
        <v>25</v>
      </c>
      <c r="D282" s="85" t="s">
        <v>159</v>
      </c>
      <c r="E282" s="85" t="s">
        <v>164</v>
      </c>
      <c r="F282" s="86" t="s">
        <v>233</v>
      </c>
      <c r="G282" s="87" t="s">
        <v>210</v>
      </c>
      <c r="H282" s="88">
        <f t="shared" si="3"/>
        <v>0.11</v>
      </c>
      <c r="I282" s="89">
        <v>0.1</v>
      </c>
      <c r="J282" s="89"/>
      <c r="K282" s="89">
        <f t="shared" si="4"/>
        <v>0.01</v>
      </c>
      <c r="L282" s="84">
        <f t="shared" si="5"/>
        <v>281</v>
      </c>
      <c r="M282" s="85" t="s">
        <v>133</v>
      </c>
    </row>
    <row r="283" ht="22.5" customHeight="1">
      <c r="A283" s="83">
        <v>46188.0</v>
      </c>
      <c r="B283" s="84" t="str">
        <f t="shared" si="1"/>
        <v>Jun 2026</v>
      </c>
      <c r="C283" s="84">
        <f t="shared" si="2"/>
        <v>25</v>
      </c>
      <c r="D283" s="85" t="s">
        <v>159</v>
      </c>
      <c r="E283" s="85" t="s">
        <v>164</v>
      </c>
      <c r="F283" s="86" t="s">
        <v>173</v>
      </c>
      <c r="G283" s="87" t="s">
        <v>174</v>
      </c>
      <c r="H283" s="88">
        <f t="shared" si="3"/>
        <v>0.11</v>
      </c>
      <c r="I283" s="89">
        <v>0.1</v>
      </c>
      <c r="J283" s="89"/>
      <c r="K283" s="89">
        <f t="shared" si="4"/>
        <v>0.01</v>
      </c>
      <c r="L283" s="84">
        <f t="shared" si="5"/>
        <v>282</v>
      </c>
      <c r="M283" s="85" t="s">
        <v>133</v>
      </c>
    </row>
    <row r="284" ht="22.5" customHeight="1">
      <c r="A284" s="83">
        <v>46188.0</v>
      </c>
      <c r="B284" s="84" t="str">
        <f t="shared" si="1"/>
        <v>Jun 2026</v>
      </c>
      <c r="C284" s="84">
        <f t="shared" si="2"/>
        <v>25</v>
      </c>
      <c r="D284" s="85" t="s">
        <v>159</v>
      </c>
      <c r="E284" s="85" t="s">
        <v>164</v>
      </c>
      <c r="F284" s="86" t="s">
        <v>235</v>
      </c>
      <c r="G284" s="87" t="s">
        <v>214</v>
      </c>
      <c r="H284" s="88">
        <f t="shared" si="3"/>
        <v>0.11</v>
      </c>
      <c r="I284" s="89">
        <v>0.1</v>
      </c>
      <c r="J284" s="89"/>
      <c r="K284" s="89">
        <f t="shared" si="4"/>
        <v>0.01</v>
      </c>
      <c r="L284" s="84">
        <f t="shared" si="5"/>
        <v>283</v>
      </c>
      <c r="M284" s="85" t="s">
        <v>133</v>
      </c>
    </row>
    <row r="285" ht="22.5" customHeight="1">
      <c r="A285" s="83">
        <v>46188.0</v>
      </c>
      <c r="B285" s="84" t="str">
        <f t="shared" si="1"/>
        <v>Jun 2026</v>
      </c>
      <c r="C285" s="84">
        <f t="shared" si="2"/>
        <v>25</v>
      </c>
      <c r="D285" s="85" t="s">
        <v>159</v>
      </c>
      <c r="E285" s="85" t="s">
        <v>164</v>
      </c>
      <c r="F285" s="86" t="s">
        <v>172</v>
      </c>
      <c r="G285" s="87" t="s">
        <v>62</v>
      </c>
      <c r="H285" s="88">
        <f t="shared" si="3"/>
        <v>0.11</v>
      </c>
      <c r="I285" s="89">
        <v>0.1</v>
      </c>
      <c r="J285" s="89"/>
      <c r="K285" s="89">
        <f t="shared" si="4"/>
        <v>0.01</v>
      </c>
      <c r="L285" s="84">
        <f t="shared" si="5"/>
        <v>284</v>
      </c>
      <c r="M285" s="85" t="s">
        <v>133</v>
      </c>
    </row>
    <row r="286" ht="22.5" customHeight="1">
      <c r="A286" s="83">
        <v>46188.0</v>
      </c>
      <c r="B286" s="84" t="str">
        <f t="shared" si="1"/>
        <v>Jun 2026</v>
      </c>
      <c r="C286" s="84">
        <f t="shared" si="2"/>
        <v>25</v>
      </c>
      <c r="D286" s="85" t="s">
        <v>159</v>
      </c>
      <c r="E286" s="85" t="s">
        <v>164</v>
      </c>
      <c r="F286" s="86" t="s">
        <v>178</v>
      </c>
      <c r="G286" s="86" t="s">
        <v>74</v>
      </c>
      <c r="H286" s="88">
        <f t="shared" si="3"/>
        <v>0.11</v>
      </c>
      <c r="I286" s="89">
        <v>0.1</v>
      </c>
      <c r="J286" s="89"/>
      <c r="K286" s="89">
        <f t="shared" si="4"/>
        <v>0.01</v>
      </c>
      <c r="L286" s="84">
        <f t="shared" si="5"/>
        <v>285</v>
      </c>
      <c r="M286" s="85" t="s">
        <v>133</v>
      </c>
    </row>
    <row r="287" ht="22.5" customHeight="1">
      <c r="A287" s="83">
        <v>46188.0</v>
      </c>
      <c r="B287" s="84" t="str">
        <f t="shared" si="1"/>
        <v>Jun 2026</v>
      </c>
      <c r="C287" s="84">
        <f t="shared" si="2"/>
        <v>25</v>
      </c>
      <c r="D287" s="85" t="s">
        <v>159</v>
      </c>
      <c r="E287" s="85" t="s">
        <v>164</v>
      </c>
      <c r="F287" s="86" t="s">
        <v>234</v>
      </c>
      <c r="G287" s="87" t="s">
        <v>211</v>
      </c>
      <c r="H287" s="88">
        <f t="shared" si="3"/>
        <v>0.11</v>
      </c>
      <c r="I287" s="89">
        <v>0.1</v>
      </c>
      <c r="J287" s="89"/>
      <c r="K287" s="89">
        <f t="shared" si="4"/>
        <v>0.01</v>
      </c>
      <c r="L287" s="84">
        <f t="shared" si="5"/>
        <v>286</v>
      </c>
      <c r="M287" s="85" t="s">
        <v>133</v>
      </c>
    </row>
    <row r="288" ht="22.5" customHeight="1">
      <c r="A288" s="83">
        <v>46188.0</v>
      </c>
      <c r="B288" s="84" t="str">
        <f t="shared" si="1"/>
        <v>Jun 2026</v>
      </c>
      <c r="C288" s="84">
        <f t="shared" si="2"/>
        <v>25</v>
      </c>
      <c r="D288" s="85" t="s">
        <v>129</v>
      </c>
      <c r="E288" s="85" t="s">
        <v>164</v>
      </c>
      <c r="F288" s="86" t="s">
        <v>238</v>
      </c>
      <c r="G288" s="87" t="s">
        <v>226</v>
      </c>
      <c r="H288" s="88">
        <f t="shared" si="3"/>
        <v>1.1</v>
      </c>
      <c r="I288" s="89">
        <v>1.0</v>
      </c>
      <c r="J288" s="89"/>
      <c r="K288" s="89">
        <f t="shared" si="4"/>
        <v>0.1</v>
      </c>
      <c r="L288" s="84">
        <f t="shared" si="5"/>
        <v>287</v>
      </c>
      <c r="M288" s="85" t="s">
        <v>133</v>
      </c>
    </row>
    <row r="289" ht="22.5" customHeight="1">
      <c r="A289" s="83">
        <v>46188.0</v>
      </c>
      <c r="B289" s="84" t="str">
        <f t="shared" si="1"/>
        <v>Jun 2026</v>
      </c>
      <c r="C289" s="84">
        <f t="shared" si="2"/>
        <v>25</v>
      </c>
      <c r="D289" s="85" t="s">
        <v>159</v>
      </c>
      <c r="E289" s="85" t="s">
        <v>164</v>
      </c>
      <c r="F289" s="86" t="s">
        <v>233</v>
      </c>
      <c r="G289" s="87" t="s">
        <v>210</v>
      </c>
      <c r="H289" s="88">
        <f t="shared" si="3"/>
        <v>0.11</v>
      </c>
      <c r="I289" s="89">
        <v>0.1</v>
      </c>
      <c r="J289" s="89"/>
      <c r="K289" s="89">
        <f t="shared" si="4"/>
        <v>0.01</v>
      </c>
      <c r="L289" s="84">
        <f t="shared" si="5"/>
        <v>288</v>
      </c>
      <c r="M289" s="85" t="s">
        <v>181</v>
      </c>
    </row>
    <row r="290" ht="22.5" customHeight="1">
      <c r="A290" s="83">
        <v>46188.0</v>
      </c>
      <c r="B290" s="84" t="str">
        <f t="shared" si="1"/>
        <v>Jun 2026</v>
      </c>
      <c r="C290" s="84">
        <f t="shared" si="2"/>
        <v>25</v>
      </c>
      <c r="D290" s="85" t="s">
        <v>159</v>
      </c>
      <c r="E290" s="85" t="s">
        <v>164</v>
      </c>
      <c r="F290" s="86" t="s">
        <v>237</v>
      </c>
      <c r="G290" s="87" t="s">
        <v>212</v>
      </c>
      <c r="H290" s="88">
        <f t="shared" si="3"/>
        <v>0.11</v>
      </c>
      <c r="I290" s="89">
        <v>0.1</v>
      </c>
      <c r="J290" s="89"/>
      <c r="K290" s="89">
        <f t="shared" si="4"/>
        <v>0.01</v>
      </c>
      <c r="L290" s="84">
        <f t="shared" si="5"/>
        <v>289</v>
      </c>
      <c r="M290" s="85" t="s">
        <v>181</v>
      </c>
    </row>
    <row r="291" ht="22.5" customHeight="1">
      <c r="A291" s="83">
        <v>46188.0</v>
      </c>
      <c r="B291" s="84" t="str">
        <f t="shared" si="1"/>
        <v>Jun 2026</v>
      </c>
      <c r="C291" s="84">
        <f t="shared" si="2"/>
        <v>25</v>
      </c>
      <c r="D291" s="85" t="s">
        <v>159</v>
      </c>
      <c r="E291" s="85" t="s">
        <v>164</v>
      </c>
      <c r="F291" s="86" t="s">
        <v>236</v>
      </c>
      <c r="G291" s="87" t="s">
        <v>170</v>
      </c>
      <c r="H291" s="88">
        <f t="shared" si="3"/>
        <v>0.11</v>
      </c>
      <c r="I291" s="89">
        <v>0.1</v>
      </c>
      <c r="J291" s="89"/>
      <c r="K291" s="89">
        <f t="shared" si="4"/>
        <v>0.01</v>
      </c>
      <c r="L291" s="84">
        <f t="shared" si="5"/>
        <v>290</v>
      </c>
      <c r="M291" s="85" t="s">
        <v>181</v>
      </c>
    </row>
    <row r="292" ht="22.5" customHeight="1">
      <c r="A292" s="83">
        <v>46188.0</v>
      </c>
      <c r="B292" s="84" t="str">
        <f t="shared" si="1"/>
        <v>Jun 2026</v>
      </c>
      <c r="C292" s="84">
        <f t="shared" si="2"/>
        <v>25</v>
      </c>
      <c r="D292" s="85" t="s">
        <v>159</v>
      </c>
      <c r="E292" s="85" t="s">
        <v>164</v>
      </c>
      <c r="F292" s="86" t="s">
        <v>235</v>
      </c>
      <c r="G292" s="87" t="s">
        <v>214</v>
      </c>
      <c r="H292" s="88">
        <f t="shared" si="3"/>
        <v>0.11</v>
      </c>
      <c r="I292" s="89">
        <v>0.1</v>
      </c>
      <c r="J292" s="89"/>
      <c r="K292" s="89">
        <f t="shared" si="4"/>
        <v>0.01</v>
      </c>
      <c r="L292" s="84">
        <f t="shared" si="5"/>
        <v>291</v>
      </c>
      <c r="M292" s="85" t="s">
        <v>181</v>
      </c>
    </row>
    <row r="293" ht="22.5" customHeight="1">
      <c r="A293" s="83">
        <v>46188.0</v>
      </c>
      <c r="B293" s="84" t="str">
        <f t="shared" si="1"/>
        <v>Jun 2026</v>
      </c>
      <c r="C293" s="84">
        <f t="shared" si="2"/>
        <v>25</v>
      </c>
      <c r="D293" s="85" t="s">
        <v>159</v>
      </c>
      <c r="E293" s="85" t="s">
        <v>164</v>
      </c>
      <c r="F293" s="86" t="s">
        <v>178</v>
      </c>
      <c r="G293" s="86" t="s">
        <v>74</v>
      </c>
      <c r="H293" s="88">
        <f t="shared" si="3"/>
        <v>0.11</v>
      </c>
      <c r="I293" s="89">
        <v>0.1</v>
      </c>
      <c r="J293" s="89"/>
      <c r="K293" s="89">
        <f t="shared" si="4"/>
        <v>0.01</v>
      </c>
      <c r="L293" s="84">
        <f t="shared" si="5"/>
        <v>292</v>
      </c>
      <c r="M293" s="85" t="s">
        <v>181</v>
      </c>
    </row>
    <row r="294" ht="22.5" customHeight="1">
      <c r="A294" s="83">
        <v>46188.0</v>
      </c>
      <c r="B294" s="84" t="str">
        <f t="shared" si="1"/>
        <v>Jun 2026</v>
      </c>
      <c r="C294" s="84">
        <f t="shared" si="2"/>
        <v>25</v>
      </c>
      <c r="D294" s="85" t="s">
        <v>159</v>
      </c>
      <c r="E294" s="85" t="s">
        <v>164</v>
      </c>
      <c r="F294" s="86" t="s">
        <v>172</v>
      </c>
      <c r="G294" s="87" t="s">
        <v>62</v>
      </c>
      <c r="H294" s="88">
        <f t="shared" si="3"/>
        <v>0.11</v>
      </c>
      <c r="I294" s="89">
        <v>0.1</v>
      </c>
      <c r="J294" s="89"/>
      <c r="K294" s="89">
        <f t="shared" si="4"/>
        <v>0.01</v>
      </c>
      <c r="L294" s="84">
        <f t="shared" si="5"/>
        <v>293</v>
      </c>
      <c r="M294" s="85" t="s">
        <v>181</v>
      </c>
    </row>
    <row r="295" ht="22.5" customHeight="1">
      <c r="A295" s="83">
        <v>46188.0</v>
      </c>
      <c r="B295" s="84" t="str">
        <f t="shared" si="1"/>
        <v>Jun 2026</v>
      </c>
      <c r="C295" s="84">
        <f t="shared" si="2"/>
        <v>25</v>
      </c>
      <c r="D295" s="85" t="s">
        <v>159</v>
      </c>
      <c r="E295" s="85" t="s">
        <v>164</v>
      </c>
      <c r="F295" s="86" t="s">
        <v>229</v>
      </c>
      <c r="G295" s="86" t="s">
        <v>213</v>
      </c>
      <c r="H295" s="88">
        <f t="shared" si="3"/>
        <v>0.11</v>
      </c>
      <c r="I295" s="89">
        <v>0.1</v>
      </c>
      <c r="J295" s="89"/>
      <c r="K295" s="89">
        <f t="shared" si="4"/>
        <v>0.01</v>
      </c>
      <c r="L295" s="84">
        <f t="shared" si="5"/>
        <v>294</v>
      </c>
      <c r="M295" s="85" t="s">
        <v>181</v>
      </c>
    </row>
    <row r="296" ht="22.5" customHeight="1">
      <c r="A296" s="83">
        <v>46188.0</v>
      </c>
      <c r="B296" s="84" t="str">
        <f t="shared" si="1"/>
        <v>Jun 2026</v>
      </c>
      <c r="C296" s="84">
        <f t="shared" si="2"/>
        <v>25</v>
      </c>
      <c r="D296" s="85" t="s">
        <v>159</v>
      </c>
      <c r="E296" s="85" t="s">
        <v>164</v>
      </c>
      <c r="F296" s="86" t="s">
        <v>173</v>
      </c>
      <c r="G296" s="87" t="s">
        <v>174</v>
      </c>
      <c r="H296" s="88">
        <f t="shared" si="3"/>
        <v>0.11</v>
      </c>
      <c r="I296" s="89">
        <v>0.1</v>
      </c>
      <c r="J296" s="89"/>
      <c r="K296" s="89">
        <f t="shared" si="4"/>
        <v>0.01</v>
      </c>
      <c r="L296" s="84">
        <f t="shared" si="5"/>
        <v>295</v>
      </c>
      <c r="M296" s="85" t="s">
        <v>181</v>
      </c>
    </row>
    <row r="297" ht="22.5" customHeight="1">
      <c r="A297" s="83">
        <v>46188.0</v>
      </c>
      <c r="B297" s="84" t="str">
        <f t="shared" si="1"/>
        <v>Jun 2026</v>
      </c>
      <c r="C297" s="84">
        <f t="shared" si="2"/>
        <v>25</v>
      </c>
      <c r="D297" s="85" t="s">
        <v>159</v>
      </c>
      <c r="E297" s="85" t="s">
        <v>164</v>
      </c>
      <c r="F297" s="86" t="s">
        <v>234</v>
      </c>
      <c r="G297" s="87" t="s">
        <v>211</v>
      </c>
      <c r="H297" s="88">
        <f t="shared" si="3"/>
        <v>0.11</v>
      </c>
      <c r="I297" s="89">
        <v>0.1</v>
      </c>
      <c r="J297" s="89"/>
      <c r="K297" s="89">
        <f t="shared" si="4"/>
        <v>0.01</v>
      </c>
      <c r="L297" s="84">
        <f t="shared" si="5"/>
        <v>296</v>
      </c>
      <c r="M297" s="85" t="s">
        <v>181</v>
      </c>
    </row>
    <row r="298" ht="22.5" customHeight="1">
      <c r="A298" s="83">
        <v>46188.0</v>
      </c>
      <c r="B298" s="84" t="str">
        <f t="shared" si="1"/>
        <v>Jun 2026</v>
      </c>
      <c r="C298" s="84">
        <f t="shared" si="2"/>
        <v>25</v>
      </c>
      <c r="D298" s="85" t="s">
        <v>159</v>
      </c>
      <c r="E298" s="85" t="s">
        <v>165</v>
      </c>
      <c r="F298" s="86" t="s">
        <v>237</v>
      </c>
      <c r="G298" s="87" t="s">
        <v>212</v>
      </c>
      <c r="H298" s="88">
        <f t="shared" si="3"/>
        <v>0.11</v>
      </c>
      <c r="I298" s="89">
        <v>0.1</v>
      </c>
      <c r="J298" s="89"/>
      <c r="K298" s="89">
        <f t="shared" si="4"/>
        <v>0.01</v>
      </c>
      <c r="L298" s="84">
        <f t="shared" si="5"/>
        <v>297</v>
      </c>
      <c r="M298" s="85" t="s">
        <v>133</v>
      </c>
    </row>
    <row r="299" ht="22.5" customHeight="1">
      <c r="A299" s="83">
        <v>46188.0</v>
      </c>
      <c r="B299" s="84" t="str">
        <f t="shared" si="1"/>
        <v>Jun 2026</v>
      </c>
      <c r="C299" s="84">
        <f t="shared" si="2"/>
        <v>25</v>
      </c>
      <c r="D299" s="85" t="s">
        <v>159</v>
      </c>
      <c r="E299" s="85" t="s">
        <v>165</v>
      </c>
      <c r="F299" s="86" t="s">
        <v>235</v>
      </c>
      <c r="G299" s="87" t="s">
        <v>214</v>
      </c>
      <c r="H299" s="88">
        <f t="shared" si="3"/>
        <v>0.11</v>
      </c>
      <c r="I299" s="89">
        <v>0.1</v>
      </c>
      <c r="J299" s="89"/>
      <c r="K299" s="89">
        <f t="shared" si="4"/>
        <v>0.01</v>
      </c>
      <c r="L299" s="84">
        <f t="shared" si="5"/>
        <v>298</v>
      </c>
      <c r="M299" s="85" t="s">
        <v>133</v>
      </c>
    </row>
    <row r="300" ht="22.5" customHeight="1">
      <c r="A300" s="83">
        <v>46188.0</v>
      </c>
      <c r="B300" s="84" t="str">
        <f t="shared" si="1"/>
        <v>Jun 2026</v>
      </c>
      <c r="C300" s="84">
        <f t="shared" si="2"/>
        <v>25</v>
      </c>
      <c r="D300" s="85" t="s">
        <v>159</v>
      </c>
      <c r="E300" s="85" t="s">
        <v>165</v>
      </c>
      <c r="F300" s="86" t="s">
        <v>173</v>
      </c>
      <c r="G300" s="87" t="s">
        <v>174</v>
      </c>
      <c r="H300" s="88">
        <f t="shared" si="3"/>
        <v>0.11</v>
      </c>
      <c r="I300" s="89">
        <v>0.1</v>
      </c>
      <c r="J300" s="89"/>
      <c r="K300" s="89">
        <f t="shared" si="4"/>
        <v>0.01</v>
      </c>
      <c r="L300" s="84">
        <f t="shared" si="5"/>
        <v>299</v>
      </c>
      <c r="M300" s="85" t="s">
        <v>133</v>
      </c>
    </row>
    <row r="301" ht="22.5" customHeight="1">
      <c r="A301" s="83">
        <v>46188.0</v>
      </c>
      <c r="B301" s="84" t="str">
        <f t="shared" si="1"/>
        <v>Jun 2026</v>
      </c>
      <c r="C301" s="84">
        <f t="shared" si="2"/>
        <v>25</v>
      </c>
      <c r="D301" s="85" t="s">
        <v>159</v>
      </c>
      <c r="E301" s="85" t="s">
        <v>165</v>
      </c>
      <c r="F301" s="86" t="s">
        <v>234</v>
      </c>
      <c r="G301" s="87" t="s">
        <v>211</v>
      </c>
      <c r="H301" s="88">
        <f t="shared" si="3"/>
        <v>0.11</v>
      </c>
      <c r="I301" s="89">
        <v>0.1</v>
      </c>
      <c r="J301" s="89"/>
      <c r="K301" s="89">
        <f t="shared" si="4"/>
        <v>0.01</v>
      </c>
      <c r="L301" s="84">
        <f t="shared" si="5"/>
        <v>300</v>
      </c>
      <c r="M301" s="85" t="s">
        <v>133</v>
      </c>
    </row>
    <row r="302" ht="22.5" customHeight="1">
      <c r="A302" s="83">
        <v>46188.0</v>
      </c>
      <c r="B302" s="84" t="str">
        <f t="shared" si="1"/>
        <v>Jun 2026</v>
      </c>
      <c r="C302" s="84">
        <f t="shared" si="2"/>
        <v>25</v>
      </c>
      <c r="D302" s="85" t="s">
        <v>159</v>
      </c>
      <c r="E302" s="85" t="s">
        <v>165</v>
      </c>
      <c r="F302" s="86" t="s">
        <v>239</v>
      </c>
      <c r="G302" s="86" t="s">
        <v>207</v>
      </c>
      <c r="H302" s="88">
        <f t="shared" si="3"/>
        <v>0.11</v>
      </c>
      <c r="I302" s="89">
        <v>0.1</v>
      </c>
      <c r="J302" s="89"/>
      <c r="K302" s="89">
        <f t="shared" si="4"/>
        <v>0.01</v>
      </c>
      <c r="L302" s="84">
        <f t="shared" si="5"/>
        <v>301</v>
      </c>
      <c r="M302" s="85" t="s">
        <v>133</v>
      </c>
    </row>
    <row r="303" ht="22.5" customHeight="1">
      <c r="A303" s="83">
        <v>46188.0</v>
      </c>
      <c r="B303" s="84" t="str">
        <f t="shared" si="1"/>
        <v>Jun 2026</v>
      </c>
      <c r="C303" s="84">
        <f t="shared" si="2"/>
        <v>25</v>
      </c>
      <c r="D303" s="85" t="s">
        <v>159</v>
      </c>
      <c r="E303" s="85" t="s">
        <v>165</v>
      </c>
      <c r="F303" s="86" t="s">
        <v>233</v>
      </c>
      <c r="G303" s="87" t="s">
        <v>210</v>
      </c>
      <c r="H303" s="88">
        <f t="shared" si="3"/>
        <v>0.11</v>
      </c>
      <c r="I303" s="89">
        <v>0.1</v>
      </c>
      <c r="J303" s="89"/>
      <c r="K303" s="89">
        <f t="shared" si="4"/>
        <v>0.01</v>
      </c>
      <c r="L303" s="84">
        <f t="shared" si="5"/>
        <v>302</v>
      </c>
      <c r="M303" s="85" t="s">
        <v>133</v>
      </c>
    </row>
    <row r="304" ht="22.5" customHeight="1">
      <c r="A304" s="83">
        <v>46188.0</v>
      </c>
      <c r="B304" s="84" t="str">
        <f t="shared" si="1"/>
        <v>Jun 2026</v>
      </c>
      <c r="C304" s="84">
        <f t="shared" si="2"/>
        <v>25</v>
      </c>
      <c r="D304" s="85" t="s">
        <v>159</v>
      </c>
      <c r="E304" s="85" t="s">
        <v>165</v>
      </c>
      <c r="F304" s="86" t="s">
        <v>172</v>
      </c>
      <c r="G304" s="87" t="s">
        <v>62</v>
      </c>
      <c r="H304" s="88">
        <f t="shared" si="3"/>
        <v>0.11</v>
      </c>
      <c r="I304" s="89">
        <v>0.1</v>
      </c>
      <c r="J304" s="89"/>
      <c r="K304" s="89">
        <f t="shared" si="4"/>
        <v>0.01</v>
      </c>
      <c r="L304" s="84">
        <f t="shared" si="5"/>
        <v>303</v>
      </c>
      <c r="M304" s="85" t="s">
        <v>133</v>
      </c>
    </row>
    <row r="305" ht="22.5" customHeight="1">
      <c r="A305" s="83">
        <v>46188.0</v>
      </c>
      <c r="B305" s="84" t="str">
        <f t="shared" si="1"/>
        <v>Jun 2026</v>
      </c>
      <c r="C305" s="84">
        <f t="shared" si="2"/>
        <v>25</v>
      </c>
      <c r="D305" s="85" t="s">
        <v>159</v>
      </c>
      <c r="E305" s="85" t="s">
        <v>165</v>
      </c>
      <c r="F305" s="86" t="s">
        <v>178</v>
      </c>
      <c r="G305" s="86" t="s">
        <v>74</v>
      </c>
      <c r="H305" s="88">
        <f t="shared" si="3"/>
        <v>0.11</v>
      </c>
      <c r="I305" s="89">
        <v>0.1</v>
      </c>
      <c r="J305" s="89"/>
      <c r="K305" s="89">
        <f t="shared" si="4"/>
        <v>0.01</v>
      </c>
      <c r="L305" s="84">
        <f t="shared" si="5"/>
        <v>304</v>
      </c>
      <c r="M305" s="85" t="s">
        <v>133</v>
      </c>
    </row>
    <row r="306" ht="22.5" customHeight="1">
      <c r="A306" s="83">
        <v>46188.0</v>
      </c>
      <c r="B306" s="84" t="str">
        <f t="shared" si="1"/>
        <v>Jun 2026</v>
      </c>
      <c r="C306" s="84">
        <f t="shared" si="2"/>
        <v>25</v>
      </c>
      <c r="D306" s="85" t="s">
        <v>159</v>
      </c>
      <c r="E306" s="85" t="s">
        <v>165</v>
      </c>
      <c r="F306" s="86" t="s">
        <v>236</v>
      </c>
      <c r="G306" s="87" t="s">
        <v>170</v>
      </c>
      <c r="H306" s="88">
        <f t="shared" si="3"/>
        <v>0.11</v>
      </c>
      <c r="I306" s="89">
        <v>0.1</v>
      </c>
      <c r="J306" s="89"/>
      <c r="K306" s="89">
        <f t="shared" si="4"/>
        <v>0.01</v>
      </c>
      <c r="L306" s="84">
        <f t="shared" si="5"/>
        <v>305</v>
      </c>
      <c r="M306" s="85" t="s">
        <v>133</v>
      </c>
    </row>
    <row r="307" ht="22.5" customHeight="1">
      <c r="A307" s="83">
        <v>46188.0</v>
      </c>
      <c r="B307" s="84" t="str">
        <f t="shared" si="1"/>
        <v>Jun 2026</v>
      </c>
      <c r="C307" s="84">
        <f t="shared" si="2"/>
        <v>25</v>
      </c>
      <c r="D307" s="85" t="s">
        <v>159</v>
      </c>
      <c r="E307" s="85" t="s">
        <v>165</v>
      </c>
      <c r="F307" s="86" t="s">
        <v>240</v>
      </c>
      <c r="G307" s="87" t="s">
        <v>187</v>
      </c>
      <c r="H307" s="88">
        <f t="shared" si="3"/>
        <v>0.11</v>
      </c>
      <c r="I307" s="89">
        <v>0.1</v>
      </c>
      <c r="J307" s="89"/>
      <c r="K307" s="89">
        <f t="shared" si="4"/>
        <v>0.01</v>
      </c>
      <c r="L307" s="84">
        <f t="shared" si="5"/>
        <v>306</v>
      </c>
      <c r="M307" s="85" t="s">
        <v>133</v>
      </c>
    </row>
    <row r="308" ht="22.5" customHeight="1">
      <c r="A308" s="83">
        <v>46188.0</v>
      </c>
      <c r="B308" s="84" t="str">
        <f t="shared" si="1"/>
        <v>Jun 2026</v>
      </c>
      <c r="C308" s="84">
        <f t="shared" si="2"/>
        <v>25</v>
      </c>
      <c r="D308" s="85" t="s">
        <v>159</v>
      </c>
      <c r="E308" s="85" t="s">
        <v>165</v>
      </c>
      <c r="F308" s="86" t="s">
        <v>229</v>
      </c>
      <c r="G308" s="86" t="s">
        <v>213</v>
      </c>
      <c r="H308" s="88">
        <f t="shared" si="3"/>
        <v>0.11</v>
      </c>
      <c r="I308" s="89">
        <v>0.1</v>
      </c>
      <c r="J308" s="89"/>
      <c r="K308" s="89">
        <f t="shared" si="4"/>
        <v>0.01</v>
      </c>
      <c r="L308" s="84">
        <f t="shared" si="5"/>
        <v>307</v>
      </c>
      <c r="M308" s="85" t="s">
        <v>133</v>
      </c>
    </row>
    <row r="309" ht="22.5" customHeight="1">
      <c r="A309" s="83">
        <v>46188.0</v>
      </c>
      <c r="B309" s="84" t="str">
        <f t="shared" si="1"/>
        <v>Jun 2026</v>
      </c>
      <c r="C309" s="84">
        <f t="shared" si="2"/>
        <v>25</v>
      </c>
      <c r="D309" s="85" t="s">
        <v>159</v>
      </c>
      <c r="E309" s="85" t="s">
        <v>165</v>
      </c>
      <c r="F309" s="86" t="s">
        <v>237</v>
      </c>
      <c r="G309" s="87" t="s">
        <v>212</v>
      </c>
      <c r="H309" s="88">
        <f t="shared" si="3"/>
        <v>0.11</v>
      </c>
      <c r="I309" s="89">
        <v>0.1</v>
      </c>
      <c r="J309" s="89"/>
      <c r="K309" s="89">
        <f t="shared" si="4"/>
        <v>0.01</v>
      </c>
      <c r="L309" s="84">
        <f t="shared" si="5"/>
        <v>308</v>
      </c>
      <c r="M309" s="85" t="s">
        <v>133</v>
      </c>
    </row>
    <row r="310" ht="22.5" customHeight="1">
      <c r="A310" s="83">
        <v>46188.0</v>
      </c>
      <c r="B310" s="84" t="str">
        <f t="shared" si="1"/>
        <v>Jun 2026</v>
      </c>
      <c r="C310" s="84">
        <f t="shared" si="2"/>
        <v>25</v>
      </c>
      <c r="D310" s="85" t="s">
        <v>159</v>
      </c>
      <c r="E310" s="85" t="s">
        <v>165</v>
      </c>
      <c r="F310" s="86" t="s">
        <v>236</v>
      </c>
      <c r="G310" s="87" t="s">
        <v>170</v>
      </c>
      <c r="H310" s="88">
        <f t="shared" si="3"/>
        <v>0.11</v>
      </c>
      <c r="I310" s="89">
        <v>0.1</v>
      </c>
      <c r="J310" s="89"/>
      <c r="K310" s="89">
        <f t="shared" si="4"/>
        <v>0.01</v>
      </c>
      <c r="L310" s="84">
        <f t="shared" si="5"/>
        <v>309</v>
      </c>
      <c r="M310" s="85" t="s">
        <v>133</v>
      </c>
    </row>
    <row r="311" ht="22.5" customHeight="1">
      <c r="A311" s="83">
        <v>46188.0</v>
      </c>
      <c r="B311" s="84" t="str">
        <f t="shared" si="1"/>
        <v>Jun 2026</v>
      </c>
      <c r="C311" s="84">
        <f t="shared" si="2"/>
        <v>25</v>
      </c>
      <c r="D311" s="85" t="s">
        <v>159</v>
      </c>
      <c r="E311" s="85" t="s">
        <v>165</v>
      </c>
      <c r="F311" s="86" t="s">
        <v>239</v>
      </c>
      <c r="G311" s="86" t="s">
        <v>207</v>
      </c>
      <c r="H311" s="88">
        <f t="shared" si="3"/>
        <v>0.11</v>
      </c>
      <c r="I311" s="89">
        <v>0.1</v>
      </c>
      <c r="J311" s="89"/>
      <c r="K311" s="89">
        <f t="shared" si="4"/>
        <v>0.01</v>
      </c>
      <c r="L311" s="84">
        <f t="shared" si="5"/>
        <v>310</v>
      </c>
      <c r="M311" s="85" t="s">
        <v>133</v>
      </c>
    </row>
    <row r="312" ht="22.5" customHeight="1">
      <c r="A312" s="83">
        <v>46188.0</v>
      </c>
      <c r="B312" s="84" t="str">
        <f t="shared" si="1"/>
        <v>Jun 2026</v>
      </c>
      <c r="C312" s="84">
        <f t="shared" si="2"/>
        <v>25</v>
      </c>
      <c r="D312" s="85" t="s">
        <v>159</v>
      </c>
      <c r="E312" s="85" t="s">
        <v>165</v>
      </c>
      <c r="F312" s="86" t="s">
        <v>233</v>
      </c>
      <c r="G312" s="87" t="s">
        <v>210</v>
      </c>
      <c r="H312" s="88">
        <f t="shared" si="3"/>
        <v>0.11</v>
      </c>
      <c r="I312" s="89">
        <v>0.1</v>
      </c>
      <c r="J312" s="89"/>
      <c r="K312" s="89">
        <f t="shared" si="4"/>
        <v>0.01</v>
      </c>
      <c r="L312" s="84">
        <f t="shared" si="5"/>
        <v>311</v>
      </c>
      <c r="M312" s="85" t="s">
        <v>133</v>
      </c>
    </row>
    <row r="313" ht="22.5" customHeight="1">
      <c r="A313" s="83">
        <v>46188.0</v>
      </c>
      <c r="B313" s="84" t="str">
        <f t="shared" si="1"/>
        <v>Jun 2026</v>
      </c>
      <c r="C313" s="84">
        <f t="shared" si="2"/>
        <v>25</v>
      </c>
      <c r="D313" s="85" t="s">
        <v>159</v>
      </c>
      <c r="E313" s="85" t="s">
        <v>165</v>
      </c>
      <c r="F313" s="86" t="s">
        <v>173</v>
      </c>
      <c r="G313" s="87" t="s">
        <v>174</v>
      </c>
      <c r="H313" s="88">
        <f t="shared" si="3"/>
        <v>0.11</v>
      </c>
      <c r="I313" s="89">
        <v>0.1</v>
      </c>
      <c r="J313" s="89"/>
      <c r="K313" s="89">
        <f t="shared" si="4"/>
        <v>0.01</v>
      </c>
      <c r="L313" s="84">
        <f t="shared" si="5"/>
        <v>312</v>
      </c>
      <c r="M313" s="85" t="s">
        <v>133</v>
      </c>
    </row>
    <row r="314" ht="22.5" customHeight="1">
      <c r="A314" s="83">
        <v>46188.0</v>
      </c>
      <c r="B314" s="84" t="str">
        <f t="shared" si="1"/>
        <v>Jun 2026</v>
      </c>
      <c r="C314" s="84">
        <f t="shared" si="2"/>
        <v>25</v>
      </c>
      <c r="D314" s="85" t="s">
        <v>159</v>
      </c>
      <c r="E314" s="85" t="s">
        <v>165</v>
      </c>
      <c r="F314" s="86" t="s">
        <v>235</v>
      </c>
      <c r="G314" s="87" t="s">
        <v>214</v>
      </c>
      <c r="H314" s="88">
        <f t="shared" si="3"/>
        <v>0.11</v>
      </c>
      <c r="I314" s="89">
        <v>0.1</v>
      </c>
      <c r="J314" s="89"/>
      <c r="K314" s="89">
        <f t="shared" si="4"/>
        <v>0.01</v>
      </c>
      <c r="L314" s="84">
        <f t="shared" si="5"/>
        <v>313</v>
      </c>
      <c r="M314" s="85" t="s">
        <v>133</v>
      </c>
    </row>
    <row r="315" ht="22.5" customHeight="1">
      <c r="A315" s="83">
        <v>46188.0</v>
      </c>
      <c r="B315" s="84" t="str">
        <f t="shared" si="1"/>
        <v>Jun 2026</v>
      </c>
      <c r="C315" s="84">
        <f t="shared" si="2"/>
        <v>25</v>
      </c>
      <c r="D315" s="85" t="s">
        <v>159</v>
      </c>
      <c r="E315" s="85" t="s">
        <v>165</v>
      </c>
      <c r="F315" s="86" t="s">
        <v>229</v>
      </c>
      <c r="G315" s="86" t="s">
        <v>213</v>
      </c>
      <c r="H315" s="88">
        <f t="shared" si="3"/>
        <v>0.11</v>
      </c>
      <c r="I315" s="89">
        <v>0.1</v>
      </c>
      <c r="J315" s="89"/>
      <c r="K315" s="89">
        <f t="shared" si="4"/>
        <v>0.01</v>
      </c>
      <c r="L315" s="84">
        <f t="shared" si="5"/>
        <v>314</v>
      </c>
      <c r="M315" s="85" t="s">
        <v>133</v>
      </c>
    </row>
    <row r="316" ht="22.5" customHeight="1">
      <c r="A316" s="83">
        <v>46188.0</v>
      </c>
      <c r="B316" s="84" t="str">
        <f t="shared" si="1"/>
        <v>Jun 2026</v>
      </c>
      <c r="C316" s="84">
        <f t="shared" si="2"/>
        <v>25</v>
      </c>
      <c r="D316" s="85" t="s">
        <v>159</v>
      </c>
      <c r="E316" s="85" t="s">
        <v>165</v>
      </c>
      <c r="F316" s="86" t="s">
        <v>172</v>
      </c>
      <c r="G316" s="87" t="s">
        <v>62</v>
      </c>
      <c r="H316" s="88">
        <f t="shared" si="3"/>
        <v>0.11</v>
      </c>
      <c r="I316" s="89">
        <v>0.1</v>
      </c>
      <c r="J316" s="89"/>
      <c r="K316" s="89">
        <f t="shared" si="4"/>
        <v>0.01</v>
      </c>
      <c r="L316" s="84">
        <f t="shared" si="5"/>
        <v>315</v>
      </c>
      <c r="M316" s="85" t="s">
        <v>133</v>
      </c>
    </row>
    <row r="317" ht="22.5" customHeight="1">
      <c r="A317" s="83">
        <v>46188.0</v>
      </c>
      <c r="B317" s="84" t="str">
        <f t="shared" si="1"/>
        <v>Jun 2026</v>
      </c>
      <c r="C317" s="84">
        <f t="shared" si="2"/>
        <v>25</v>
      </c>
      <c r="D317" s="85" t="s">
        <v>159</v>
      </c>
      <c r="E317" s="85" t="s">
        <v>165</v>
      </c>
      <c r="F317" s="86" t="s">
        <v>178</v>
      </c>
      <c r="G317" s="86" t="s">
        <v>74</v>
      </c>
      <c r="H317" s="88">
        <f t="shared" si="3"/>
        <v>0.11</v>
      </c>
      <c r="I317" s="89">
        <v>0.1</v>
      </c>
      <c r="J317" s="89"/>
      <c r="K317" s="89">
        <f t="shared" si="4"/>
        <v>0.01</v>
      </c>
      <c r="L317" s="84">
        <f t="shared" si="5"/>
        <v>316</v>
      </c>
      <c r="M317" s="85" t="s">
        <v>133</v>
      </c>
    </row>
    <row r="318" ht="22.5" customHeight="1">
      <c r="A318" s="83">
        <v>46188.0</v>
      </c>
      <c r="B318" s="84" t="str">
        <f t="shared" si="1"/>
        <v>Jun 2026</v>
      </c>
      <c r="C318" s="84">
        <f t="shared" si="2"/>
        <v>25</v>
      </c>
      <c r="D318" s="85" t="s">
        <v>159</v>
      </c>
      <c r="E318" s="85" t="s">
        <v>165</v>
      </c>
      <c r="F318" s="86" t="s">
        <v>234</v>
      </c>
      <c r="G318" s="87" t="s">
        <v>211</v>
      </c>
      <c r="H318" s="88">
        <f t="shared" si="3"/>
        <v>0.11</v>
      </c>
      <c r="I318" s="89">
        <v>0.1</v>
      </c>
      <c r="J318" s="89"/>
      <c r="K318" s="89">
        <f t="shared" si="4"/>
        <v>0.01</v>
      </c>
      <c r="L318" s="84">
        <f t="shared" si="5"/>
        <v>317</v>
      </c>
      <c r="M318" s="85" t="s">
        <v>133</v>
      </c>
    </row>
    <row r="319" ht="22.5" customHeight="1">
      <c r="A319" s="83">
        <v>46188.0</v>
      </c>
      <c r="B319" s="84" t="str">
        <f t="shared" si="1"/>
        <v>Jun 2026</v>
      </c>
      <c r="C319" s="84">
        <f t="shared" si="2"/>
        <v>25</v>
      </c>
      <c r="D319" s="85" t="s">
        <v>129</v>
      </c>
      <c r="E319" s="85" t="s">
        <v>165</v>
      </c>
      <c r="F319" s="86" t="s">
        <v>238</v>
      </c>
      <c r="G319" s="87" t="s">
        <v>226</v>
      </c>
      <c r="H319" s="88">
        <f t="shared" si="3"/>
        <v>1.1</v>
      </c>
      <c r="I319" s="89">
        <v>1.0</v>
      </c>
      <c r="J319" s="89"/>
      <c r="K319" s="89">
        <f t="shared" si="4"/>
        <v>0.1</v>
      </c>
      <c r="L319" s="84">
        <f t="shared" si="5"/>
        <v>318</v>
      </c>
      <c r="M319" s="85" t="s">
        <v>133</v>
      </c>
    </row>
    <row r="320" ht="22.5" customHeight="1">
      <c r="A320" s="83">
        <v>46188.0</v>
      </c>
      <c r="B320" s="84" t="str">
        <f t="shared" si="1"/>
        <v>Jun 2026</v>
      </c>
      <c r="C320" s="84">
        <f t="shared" si="2"/>
        <v>25</v>
      </c>
      <c r="D320" s="85" t="s">
        <v>159</v>
      </c>
      <c r="E320" s="85" t="s">
        <v>167</v>
      </c>
      <c r="F320" s="86" t="s">
        <v>237</v>
      </c>
      <c r="G320" s="87" t="s">
        <v>212</v>
      </c>
      <c r="H320" s="88">
        <f t="shared" si="3"/>
        <v>0.11</v>
      </c>
      <c r="I320" s="89">
        <v>0.1</v>
      </c>
      <c r="J320" s="89"/>
      <c r="K320" s="89">
        <f t="shared" si="4"/>
        <v>0.01</v>
      </c>
      <c r="L320" s="84">
        <f t="shared" si="5"/>
        <v>319</v>
      </c>
      <c r="M320" s="85" t="s">
        <v>133</v>
      </c>
    </row>
    <row r="321" ht="22.5" customHeight="1">
      <c r="A321" s="83">
        <v>46188.0</v>
      </c>
      <c r="B321" s="84" t="str">
        <f t="shared" si="1"/>
        <v>Jun 2026</v>
      </c>
      <c r="C321" s="84">
        <f t="shared" si="2"/>
        <v>25</v>
      </c>
      <c r="D321" s="85" t="s">
        <v>159</v>
      </c>
      <c r="E321" s="85" t="s">
        <v>167</v>
      </c>
      <c r="F321" s="86" t="s">
        <v>234</v>
      </c>
      <c r="G321" s="87" t="s">
        <v>211</v>
      </c>
      <c r="H321" s="88">
        <f t="shared" si="3"/>
        <v>0.11</v>
      </c>
      <c r="I321" s="89">
        <v>0.1</v>
      </c>
      <c r="J321" s="89"/>
      <c r="K321" s="89">
        <f t="shared" si="4"/>
        <v>0.01</v>
      </c>
      <c r="L321" s="84">
        <f t="shared" si="5"/>
        <v>320</v>
      </c>
      <c r="M321" s="85" t="s">
        <v>133</v>
      </c>
    </row>
    <row r="322" ht="22.5" customHeight="1">
      <c r="A322" s="83">
        <v>46188.0</v>
      </c>
      <c r="B322" s="84" t="str">
        <f t="shared" si="1"/>
        <v>Jun 2026</v>
      </c>
      <c r="C322" s="84">
        <f t="shared" si="2"/>
        <v>25</v>
      </c>
      <c r="D322" s="85" t="s">
        <v>159</v>
      </c>
      <c r="E322" s="85" t="s">
        <v>167</v>
      </c>
      <c r="F322" s="86" t="s">
        <v>235</v>
      </c>
      <c r="G322" s="87" t="s">
        <v>214</v>
      </c>
      <c r="H322" s="88">
        <f t="shared" si="3"/>
        <v>0.11</v>
      </c>
      <c r="I322" s="89">
        <v>0.1</v>
      </c>
      <c r="J322" s="89"/>
      <c r="K322" s="89">
        <f t="shared" si="4"/>
        <v>0.01</v>
      </c>
      <c r="L322" s="84">
        <f t="shared" si="5"/>
        <v>321</v>
      </c>
      <c r="M322" s="85" t="s">
        <v>133</v>
      </c>
    </row>
    <row r="323" ht="22.5" customHeight="1">
      <c r="A323" s="83">
        <v>46188.0</v>
      </c>
      <c r="B323" s="84" t="str">
        <f t="shared" si="1"/>
        <v>Jun 2026</v>
      </c>
      <c r="C323" s="84">
        <f t="shared" si="2"/>
        <v>25</v>
      </c>
      <c r="D323" s="85" t="s">
        <v>159</v>
      </c>
      <c r="E323" s="85" t="s">
        <v>167</v>
      </c>
      <c r="F323" s="86" t="s">
        <v>173</v>
      </c>
      <c r="G323" s="87" t="s">
        <v>174</v>
      </c>
      <c r="H323" s="88">
        <f t="shared" si="3"/>
        <v>0.11</v>
      </c>
      <c r="I323" s="89">
        <v>0.1</v>
      </c>
      <c r="J323" s="89"/>
      <c r="K323" s="89">
        <f t="shared" si="4"/>
        <v>0.01</v>
      </c>
      <c r="L323" s="84">
        <f t="shared" si="5"/>
        <v>322</v>
      </c>
      <c r="M323" s="85" t="s">
        <v>133</v>
      </c>
    </row>
    <row r="324" ht="22.5" customHeight="1">
      <c r="A324" s="83">
        <v>46188.0</v>
      </c>
      <c r="B324" s="84" t="str">
        <f t="shared" si="1"/>
        <v>Jun 2026</v>
      </c>
      <c r="C324" s="84">
        <f t="shared" si="2"/>
        <v>25</v>
      </c>
      <c r="D324" s="85" t="s">
        <v>159</v>
      </c>
      <c r="E324" s="85" t="s">
        <v>167</v>
      </c>
      <c r="F324" s="86" t="s">
        <v>172</v>
      </c>
      <c r="G324" s="87" t="s">
        <v>62</v>
      </c>
      <c r="H324" s="88">
        <f t="shared" si="3"/>
        <v>0.11</v>
      </c>
      <c r="I324" s="89">
        <v>0.1</v>
      </c>
      <c r="J324" s="89"/>
      <c r="K324" s="89">
        <f t="shared" si="4"/>
        <v>0.01</v>
      </c>
      <c r="L324" s="84">
        <f t="shared" si="5"/>
        <v>323</v>
      </c>
      <c r="M324" s="85" t="s">
        <v>133</v>
      </c>
    </row>
    <row r="325" ht="22.5" customHeight="1">
      <c r="A325" s="83">
        <v>46188.0</v>
      </c>
      <c r="B325" s="84" t="str">
        <f t="shared" si="1"/>
        <v>Jun 2026</v>
      </c>
      <c r="C325" s="84">
        <f t="shared" si="2"/>
        <v>25</v>
      </c>
      <c r="D325" s="85" t="s">
        <v>159</v>
      </c>
      <c r="E325" s="85" t="s">
        <v>167</v>
      </c>
      <c r="F325" s="86" t="s">
        <v>178</v>
      </c>
      <c r="G325" s="86" t="s">
        <v>74</v>
      </c>
      <c r="H325" s="88">
        <f t="shared" si="3"/>
        <v>0.11</v>
      </c>
      <c r="I325" s="89">
        <v>0.1</v>
      </c>
      <c r="J325" s="89"/>
      <c r="K325" s="89">
        <f t="shared" si="4"/>
        <v>0.01</v>
      </c>
      <c r="L325" s="84">
        <f t="shared" si="5"/>
        <v>324</v>
      </c>
      <c r="M325" s="85" t="s">
        <v>133</v>
      </c>
    </row>
    <row r="326" ht="22.5" customHeight="1">
      <c r="A326" s="83">
        <v>46188.0</v>
      </c>
      <c r="B326" s="84" t="str">
        <f t="shared" si="1"/>
        <v>Jun 2026</v>
      </c>
      <c r="C326" s="84">
        <f t="shared" si="2"/>
        <v>25</v>
      </c>
      <c r="D326" s="85" t="s">
        <v>159</v>
      </c>
      <c r="E326" s="85" t="s">
        <v>167</v>
      </c>
      <c r="F326" s="86" t="s">
        <v>233</v>
      </c>
      <c r="G326" s="87" t="s">
        <v>210</v>
      </c>
      <c r="H326" s="88">
        <f t="shared" si="3"/>
        <v>0.11</v>
      </c>
      <c r="I326" s="89">
        <v>0.1</v>
      </c>
      <c r="J326" s="89"/>
      <c r="K326" s="89">
        <f t="shared" si="4"/>
        <v>0.01</v>
      </c>
      <c r="L326" s="84">
        <f t="shared" si="5"/>
        <v>325</v>
      </c>
      <c r="M326" s="85" t="s">
        <v>133</v>
      </c>
    </row>
    <row r="327" ht="22.5" customHeight="1">
      <c r="A327" s="83">
        <v>46188.0</v>
      </c>
      <c r="B327" s="84" t="str">
        <f t="shared" si="1"/>
        <v>Jun 2026</v>
      </c>
      <c r="C327" s="84">
        <f t="shared" si="2"/>
        <v>25</v>
      </c>
      <c r="D327" s="85" t="s">
        <v>159</v>
      </c>
      <c r="E327" s="85" t="s">
        <v>167</v>
      </c>
      <c r="F327" s="86" t="s">
        <v>236</v>
      </c>
      <c r="G327" s="87" t="s">
        <v>170</v>
      </c>
      <c r="H327" s="88">
        <f t="shared" si="3"/>
        <v>0.11</v>
      </c>
      <c r="I327" s="89">
        <v>0.1</v>
      </c>
      <c r="J327" s="89"/>
      <c r="K327" s="89">
        <f t="shared" si="4"/>
        <v>0.01</v>
      </c>
      <c r="L327" s="84">
        <f t="shared" si="5"/>
        <v>326</v>
      </c>
      <c r="M327" s="85" t="s">
        <v>133</v>
      </c>
    </row>
    <row r="328" ht="22.5" customHeight="1">
      <c r="A328" s="83">
        <v>46188.0</v>
      </c>
      <c r="B328" s="84" t="str">
        <f t="shared" si="1"/>
        <v>Jun 2026</v>
      </c>
      <c r="C328" s="84">
        <f t="shared" si="2"/>
        <v>25</v>
      </c>
      <c r="D328" s="85" t="s">
        <v>159</v>
      </c>
      <c r="E328" s="85" t="s">
        <v>167</v>
      </c>
      <c r="F328" s="86" t="s">
        <v>239</v>
      </c>
      <c r="G328" s="86" t="s">
        <v>207</v>
      </c>
      <c r="H328" s="88">
        <f t="shared" si="3"/>
        <v>0.11</v>
      </c>
      <c r="I328" s="89">
        <v>0.1</v>
      </c>
      <c r="J328" s="89"/>
      <c r="K328" s="89">
        <f t="shared" si="4"/>
        <v>0.01</v>
      </c>
      <c r="L328" s="84">
        <f t="shared" si="5"/>
        <v>327</v>
      </c>
      <c r="M328" s="85" t="s">
        <v>133</v>
      </c>
    </row>
    <row r="329" ht="22.5" customHeight="1">
      <c r="A329" s="83">
        <v>46188.0</v>
      </c>
      <c r="B329" s="84" t="str">
        <f t="shared" si="1"/>
        <v>Jun 2026</v>
      </c>
      <c r="C329" s="84">
        <f t="shared" si="2"/>
        <v>25</v>
      </c>
      <c r="D329" s="85" t="s">
        <v>159</v>
      </c>
      <c r="E329" s="85" t="s">
        <v>167</v>
      </c>
      <c r="F329" s="86" t="s">
        <v>240</v>
      </c>
      <c r="G329" s="87" t="s">
        <v>187</v>
      </c>
      <c r="H329" s="88">
        <f t="shared" si="3"/>
        <v>0.11</v>
      </c>
      <c r="I329" s="89">
        <v>0.1</v>
      </c>
      <c r="J329" s="89"/>
      <c r="K329" s="89">
        <f t="shared" si="4"/>
        <v>0.01</v>
      </c>
      <c r="L329" s="84">
        <f t="shared" si="5"/>
        <v>328</v>
      </c>
      <c r="M329" s="85" t="s">
        <v>133</v>
      </c>
    </row>
    <row r="330" ht="22.5" customHeight="1">
      <c r="A330" s="83">
        <v>46188.0</v>
      </c>
      <c r="B330" s="84" t="str">
        <f t="shared" si="1"/>
        <v>Jun 2026</v>
      </c>
      <c r="C330" s="84">
        <f t="shared" si="2"/>
        <v>25</v>
      </c>
      <c r="D330" s="85" t="s">
        <v>159</v>
      </c>
      <c r="E330" s="85" t="s">
        <v>167</v>
      </c>
      <c r="F330" s="86" t="s">
        <v>229</v>
      </c>
      <c r="G330" s="86" t="s">
        <v>213</v>
      </c>
      <c r="H330" s="88">
        <f t="shared" si="3"/>
        <v>0.11</v>
      </c>
      <c r="I330" s="89">
        <v>0.1</v>
      </c>
      <c r="J330" s="89"/>
      <c r="K330" s="89">
        <f t="shared" si="4"/>
        <v>0.01</v>
      </c>
      <c r="L330" s="84">
        <f t="shared" si="5"/>
        <v>329</v>
      </c>
      <c r="M330" s="85" t="s">
        <v>133</v>
      </c>
    </row>
    <row r="331" ht="22.5" customHeight="1">
      <c r="A331" s="83">
        <v>46188.0</v>
      </c>
      <c r="B331" s="84" t="str">
        <f t="shared" si="1"/>
        <v>Jun 2026</v>
      </c>
      <c r="C331" s="84">
        <f t="shared" si="2"/>
        <v>25</v>
      </c>
      <c r="D331" s="85" t="s">
        <v>159</v>
      </c>
      <c r="E331" s="85" t="s">
        <v>167</v>
      </c>
      <c r="F331" s="86" t="s">
        <v>237</v>
      </c>
      <c r="G331" s="87" t="s">
        <v>212</v>
      </c>
      <c r="H331" s="88">
        <f t="shared" si="3"/>
        <v>0.11</v>
      </c>
      <c r="I331" s="89">
        <v>0.1</v>
      </c>
      <c r="J331" s="89"/>
      <c r="K331" s="89">
        <f t="shared" si="4"/>
        <v>0.01</v>
      </c>
      <c r="L331" s="84">
        <f t="shared" si="5"/>
        <v>330</v>
      </c>
      <c r="M331" s="85" t="s">
        <v>133</v>
      </c>
    </row>
    <row r="332" ht="22.5" customHeight="1">
      <c r="A332" s="83">
        <v>46188.0</v>
      </c>
      <c r="B332" s="84" t="str">
        <f t="shared" si="1"/>
        <v>Jun 2026</v>
      </c>
      <c r="C332" s="84">
        <f t="shared" si="2"/>
        <v>25</v>
      </c>
      <c r="D332" s="85" t="s">
        <v>159</v>
      </c>
      <c r="E332" s="85" t="s">
        <v>167</v>
      </c>
      <c r="F332" s="86" t="s">
        <v>236</v>
      </c>
      <c r="G332" s="87" t="s">
        <v>170</v>
      </c>
      <c r="H332" s="88">
        <f t="shared" si="3"/>
        <v>0.11</v>
      </c>
      <c r="I332" s="89">
        <v>0.1</v>
      </c>
      <c r="J332" s="89"/>
      <c r="K332" s="89">
        <f t="shared" si="4"/>
        <v>0.01</v>
      </c>
      <c r="L332" s="84">
        <f t="shared" si="5"/>
        <v>331</v>
      </c>
      <c r="M332" s="85" t="s">
        <v>133</v>
      </c>
    </row>
    <row r="333" ht="22.5" customHeight="1">
      <c r="A333" s="83">
        <v>46188.0</v>
      </c>
      <c r="B333" s="84" t="str">
        <f t="shared" si="1"/>
        <v>Jun 2026</v>
      </c>
      <c r="C333" s="84">
        <f t="shared" si="2"/>
        <v>25</v>
      </c>
      <c r="D333" s="85" t="s">
        <v>159</v>
      </c>
      <c r="E333" s="85" t="s">
        <v>167</v>
      </c>
      <c r="F333" s="86" t="s">
        <v>239</v>
      </c>
      <c r="G333" s="86" t="s">
        <v>207</v>
      </c>
      <c r="H333" s="88">
        <f t="shared" si="3"/>
        <v>0.11</v>
      </c>
      <c r="I333" s="89">
        <v>0.1</v>
      </c>
      <c r="J333" s="89"/>
      <c r="K333" s="89">
        <f t="shared" si="4"/>
        <v>0.01</v>
      </c>
      <c r="L333" s="84">
        <f t="shared" si="5"/>
        <v>332</v>
      </c>
      <c r="M333" s="85" t="s">
        <v>133</v>
      </c>
    </row>
    <row r="334" ht="22.5" customHeight="1">
      <c r="A334" s="83">
        <v>46188.0</v>
      </c>
      <c r="B334" s="84" t="str">
        <f t="shared" si="1"/>
        <v>Jun 2026</v>
      </c>
      <c r="C334" s="84">
        <f t="shared" si="2"/>
        <v>25</v>
      </c>
      <c r="D334" s="85" t="s">
        <v>159</v>
      </c>
      <c r="E334" s="85" t="s">
        <v>167</v>
      </c>
      <c r="F334" s="86" t="s">
        <v>233</v>
      </c>
      <c r="G334" s="87" t="s">
        <v>210</v>
      </c>
      <c r="H334" s="88">
        <f t="shared" si="3"/>
        <v>0.11</v>
      </c>
      <c r="I334" s="89">
        <v>0.1</v>
      </c>
      <c r="J334" s="89"/>
      <c r="K334" s="89">
        <f t="shared" si="4"/>
        <v>0.01</v>
      </c>
      <c r="L334" s="84">
        <f t="shared" si="5"/>
        <v>333</v>
      </c>
      <c r="M334" s="85" t="s">
        <v>133</v>
      </c>
    </row>
    <row r="335" ht="22.5" customHeight="1">
      <c r="A335" s="83">
        <v>46188.0</v>
      </c>
      <c r="B335" s="84" t="str">
        <f t="shared" si="1"/>
        <v>Jun 2026</v>
      </c>
      <c r="C335" s="84">
        <f t="shared" si="2"/>
        <v>25</v>
      </c>
      <c r="D335" s="85" t="s">
        <v>159</v>
      </c>
      <c r="E335" s="85" t="s">
        <v>167</v>
      </c>
      <c r="F335" s="86" t="s">
        <v>173</v>
      </c>
      <c r="G335" s="87" t="s">
        <v>174</v>
      </c>
      <c r="H335" s="88">
        <f t="shared" si="3"/>
        <v>0.11</v>
      </c>
      <c r="I335" s="89">
        <v>0.1</v>
      </c>
      <c r="J335" s="89"/>
      <c r="K335" s="89">
        <f t="shared" si="4"/>
        <v>0.01</v>
      </c>
      <c r="L335" s="84">
        <f t="shared" si="5"/>
        <v>334</v>
      </c>
      <c r="M335" s="85" t="s">
        <v>133</v>
      </c>
    </row>
    <row r="336" ht="22.5" customHeight="1">
      <c r="A336" s="83">
        <v>46188.0</v>
      </c>
      <c r="B336" s="84" t="str">
        <f t="shared" si="1"/>
        <v>Jun 2026</v>
      </c>
      <c r="C336" s="84">
        <f t="shared" si="2"/>
        <v>25</v>
      </c>
      <c r="D336" s="85" t="s">
        <v>159</v>
      </c>
      <c r="E336" s="85" t="s">
        <v>167</v>
      </c>
      <c r="F336" s="86" t="s">
        <v>235</v>
      </c>
      <c r="G336" s="87" t="s">
        <v>214</v>
      </c>
      <c r="H336" s="88">
        <f t="shared" si="3"/>
        <v>0.11</v>
      </c>
      <c r="I336" s="89">
        <v>0.1</v>
      </c>
      <c r="J336" s="89"/>
      <c r="K336" s="89">
        <f t="shared" si="4"/>
        <v>0.01</v>
      </c>
      <c r="L336" s="84">
        <f t="shared" si="5"/>
        <v>335</v>
      </c>
      <c r="M336" s="85" t="s">
        <v>133</v>
      </c>
    </row>
    <row r="337" ht="22.5" customHeight="1">
      <c r="A337" s="83">
        <v>46188.0</v>
      </c>
      <c r="B337" s="84" t="str">
        <f t="shared" si="1"/>
        <v>Jun 2026</v>
      </c>
      <c r="C337" s="84">
        <f t="shared" si="2"/>
        <v>25</v>
      </c>
      <c r="D337" s="85" t="s">
        <v>159</v>
      </c>
      <c r="E337" s="85" t="s">
        <v>167</v>
      </c>
      <c r="F337" s="86" t="s">
        <v>229</v>
      </c>
      <c r="G337" s="86" t="s">
        <v>213</v>
      </c>
      <c r="H337" s="88">
        <f t="shared" si="3"/>
        <v>0.11</v>
      </c>
      <c r="I337" s="89">
        <v>0.1</v>
      </c>
      <c r="J337" s="89"/>
      <c r="K337" s="89">
        <f t="shared" si="4"/>
        <v>0.01</v>
      </c>
      <c r="L337" s="84">
        <f t="shared" si="5"/>
        <v>336</v>
      </c>
      <c r="M337" s="85" t="s">
        <v>133</v>
      </c>
    </row>
    <row r="338" ht="22.5" customHeight="1">
      <c r="A338" s="83">
        <v>46188.0</v>
      </c>
      <c r="B338" s="84" t="str">
        <f t="shared" si="1"/>
        <v>Jun 2026</v>
      </c>
      <c r="C338" s="84">
        <f t="shared" si="2"/>
        <v>25</v>
      </c>
      <c r="D338" s="85" t="s">
        <v>159</v>
      </c>
      <c r="E338" s="85" t="s">
        <v>167</v>
      </c>
      <c r="F338" s="86" t="s">
        <v>172</v>
      </c>
      <c r="G338" s="87" t="s">
        <v>62</v>
      </c>
      <c r="H338" s="88">
        <f t="shared" si="3"/>
        <v>0.11</v>
      </c>
      <c r="I338" s="89">
        <v>0.1</v>
      </c>
      <c r="J338" s="89"/>
      <c r="K338" s="89">
        <f t="shared" si="4"/>
        <v>0.01</v>
      </c>
      <c r="L338" s="84">
        <f t="shared" si="5"/>
        <v>337</v>
      </c>
      <c r="M338" s="85" t="s">
        <v>133</v>
      </c>
    </row>
    <row r="339" ht="22.5" customHeight="1">
      <c r="A339" s="83">
        <v>46188.0</v>
      </c>
      <c r="B339" s="84" t="str">
        <f t="shared" si="1"/>
        <v>Jun 2026</v>
      </c>
      <c r="C339" s="84">
        <f t="shared" si="2"/>
        <v>25</v>
      </c>
      <c r="D339" s="85" t="s">
        <v>159</v>
      </c>
      <c r="E339" s="85" t="s">
        <v>167</v>
      </c>
      <c r="F339" s="86" t="s">
        <v>178</v>
      </c>
      <c r="G339" s="86" t="s">
        <v>74</v>
      </c>
      <c r="H339" s="88">
        <f t="shared" si="3"/>
        <v>0.11</v>
      </c>
      <c r="I339" s="89">
        <v>0.1</v>
      </c>
      <c r="J339" s="89"/>
      <c r="K339" s="89">
        <f t="shared" si="4"/>
        <v>0.01</v>
      </c>
      <c r="L339" s="84">
        <f t="shared" si="5"/>
        <v>338</v>
      </c>
      <c r="M339" s="85" t="s">
        <v>133</v>
      </c>
    </row>
    <row r="340" ht="22.5" customHeight="1">
      <c r="A340" s="83">
        <v>46188.0</v>
      </c>
      <c r="B340" s="84" t="str">
        <f t="shared" si="1"/>
        <v>Jun 2026</v>
      </c>
      <c r="C340" s="84">
        <f t="shared" si="2"/>
        <v>25</v>
      </c>
      <c r="D340" s="85" t="s">
        <v>159</v>
      </c>
      <c r="E340" s="85" t="s">
        <v>167</v>
      </c>
      <c r="F340" s="86" t="s">
        <v>234</v>
      </c>
      <c r="G340" s="87" t="s">
        <v>211</v>
      </c>
      <c r="H340" s="88">
        <f t="shared" si="3"/>
        <v>0.11</v>
      </c>
      <c r="I340" s="89">
        <v>0.1</v>
      </c>
      <c r="J340" s="89"/>
      <c r="K340" s="89">
        <f t="shared" si="4"/>
        <v>0.01</v>
      </c>
      <c r="L340" s="84">
        <f t="shared" si="5"/>
        <v>339</v>
      </c>
      <c r="M340" s="85" t="s">
        <v>133</v>
      </c>
    </row>
    <row r="341" ht="22.5" customHeight="1">
      <c r="A341" s="83">
        <v>46188.0</v>
      </c>
      <c r="B341" s="84" t="str">
        <f t="shared" si="1"/>
        <v>Jun 2026</v>
      </c>
      <c r="C341" s="84">
        <f t="shared" si="2"/>
        <v>25</v>
      </c>
      <c r="D341" s="85" t="s">
        <v>159</v>
      </c>
      <c r="E341" s="85" t="s">
        <v>167</v>
      </c>
      <c r="F341" s="86" t="s">
        <v>239</v>
      </c>
      <c r="G341" s="86" t="s">
        <v>207</v>
      </c>
      <c r="H341" s="88">
        <f t="shared" si="3"/>
        <v>0.11</v>
      </c>
      <c r="I341" s="89">
        <v>0.1</v>
      </c>
      <c r="J341" s="89"/>
      <c r="K341" s="89">
        <f t="shared" si="4"/>
        <v>0.01</v>
      </c>
      <c r="L341" s="84">
        <f t="shared" si="5"/>
        <v>340</v>
      </c>
      <c r="M341" s="85" t="s">
        <v>133</v>
      </c>
    </row>
    <row r="342" ht="22.5" customHeight="1">
      <c r="A342" s="83">
        <v>46188.0</v>
      </c>
      <c r="B342" s="84" t="str">
        <f t="shared" si="1"/>
        <v>Jun 2026</v>
      </c>
      <c r="C342" s="84">
        <f t="shared" si="2"/>
        <v>25</v>
      </c>
      <c r="D342" s="85" t="s">
        <v>129</v>
      </c>
      <c r="E342" s="85" t="s">
        <v>167</v>
      </c>
      <c r="F342" s="86" t="s">
        <v>238</v>
      </c>
      <c r="G342" s="87" t="s">
        <v>226</v>
      </c>
      <c r="H342" s="88">
        <f t="shared" si="3"/>
        <v>1.1</v>
      </c>
      <c r="I342" s="89">
        <v>1.0</v>
      </c>
      <c r="J342" s="89"/>
      <c r="K342" s="89">
        <f t="shared" si="4"/>
        <v>0.1</v>
      </c>
      <c r="L342" s="84">
        <f t="shared" si="5"/>
        <v>341</v>
      </c>
      <c r="M342" s="85" t="s">
        <v>133</v>
      </c>
    </row>
    <row r="343" ht="22.5" customHeight="1">
      <c r="A343" s="83">
        <v>46188.0</v>
      </c>
      <c r="B343" s="84" t="str">
        <f t="shared" si="1"/>
        <v>Jun 2026</v>
      </c>
      <c r="C343" s="84">
        <f t="shared" si="2"/>
        <v>25</v>
      </c>
      <c r="D343" s="85" t="s">
        <v>159</v>
      </c>
      <c r="E343" s="85" t="s">
        <v>167</v>
      </c>
      <c r="F343" s="86" t="s">
        <v>233</v>
      </c>
      <c r="G343" s="87" t="s">
        <v>210</v>
      </c>
      <c r="H343" s="88">
        <f t="shared" si="3"/>
        <v>0.11</v>
      </c>
      <c r="I343" s="89">
        <v>0.1</v>
      </c>
      <c r="J343" s="89"/>
      <c r="K343" s="89">
        <f t="shared" si="4"/>
        <v>0.01</v>
      </c>
      <c r="L343" s="84">
        <f t="shared" si="5"/>
        <v>342</v>
      </c>
      <c r="M343" s="85" t="s">
        <v>181</v>
      </c>
    </row>
    <row r="344" ht="22.5" customHeight="1">
      <c r="A344" s="83">
        <v>46188.0</v>
      </c>
      <c r="B344" s="84" t="str">
        <f t="shared" si="1"/>
        <v>Jun 2026</v>
      </c>
      <c r="C344" s="84">
        <f t="shared" si="2"/>
        <v>25</v>
      </c>
      <c r="D344" s="85" t="s">
        <v>159</v>
      </c>
      <c r="E344" s="85" t="s">
        <v>167</v>
      </c>
      <c r="F344" s="86" t="s">
        <v>235</v>
      </c>
      <c r="G344" s="87" t="s">
        <v>214</v>
      </c>
      <c r="H344" s="88">
        <f t="shared" si="3"/>
        <v>0.11</v>
      </c>
      <c r="I344" s="89">
        <v>0.1</v>
      </c>
      <c r="J344" s="89"/>
      <c r="K344" s="89">
        <f t="shared" si="4"/>
        <v>0.01</v>
      </c>
      <c r="L344" s="84">
        <f t="shared" si="5"/>
        <v>343</v>
      </c>
      <c r="M344" s="85" t="s">
        <v>181</v>
      </c>
    </row>
    <row r="345" ht="22.5" customHeight="1">
      <c r="A345" s="83">
        <v>46188.0</v>
      </c>
      <c r="B345" s="84" t="str">
        <f t="shared" si="1"/>
        <v>Jun 2026</v>
      </c>
      <c r="C345" s="84">
        <f t="shared" si="2"/>
        <v>25</v>
      </c>
      <c r="D345" s="85" t="s">
        <v>159</v>
      </c>
      <c r="E345" s="85" t="s">
        <v>130</v>
      </c>
      <c r="F345" s="86" t="s">
        <v>237</v>
      </c>
      <c r="G345" s="87" t="s">
        <v>212</v>
      </c>
      <c r="H345" s="88">
        <f t="shared" si="3"/>
        <v>0.11</v>
      </c>
      <c r="I345" s="89">
        <v>0.1</v>
      </c>
      <c r="J345" s="89"/>
      <c r="K345" s="89">
        <f t="shared" si="4"/>
        <v>0.01</v>
      </c>
      <c r="L345" s="84">
        <f t="shared" si="5"/>
        <v>344</v>
      </c>
      <c r="M345" s="85" t="s">
        <v>133</v>
      </c>
    </row>
    <row r="346" ht="22.5" customHeight="1">
      <c r="A346" s="83">
        <v>46188.0</v>
      </c>
      <c r="B346" s="84" t="str">
        <f t="shared" si="1"/>
        <v>Jun 2026</v>
      </c>
      <c r="C346" s="84">
        <f t="shared" si="2"/>
        <v>25</v>
      </c>
      <c r="D346" s="85" t="s">
        <v>159</v>
      </c>
      <c r="E346" s="85" t="s">
        <v>130</v>
      </c>
      <c r="F346" s="86" t="s">
        <v>235</v>
      </c>
      <c r="G346" s="87" t="s">
        <v>214</v>
      </c>
      <c r="H346" s="88">
        <f t="shared" si="3"/>
        <v>0.11</v>
      </c>
      <c r="I346" s="89">
        <v>0.1</v>
      </c>
      <c r="J346" s="89"/>
      <c r="K346" s="89">
        <f t="shared" si="4"/>
        <v>0.01</v>
      </c>
      <c r="L346" s="84">
        <f t="shared" si="5"/>
        <v>345</v>
      </c>
      <c r="M346" s="85" t="s">
        <v>133</v>
      </c>
    </row>
    <row r="347" ht="22.5" customHeight="1">
      <c r="A347" s="83">
        <v>46188.0</v>
      </c>
      <c r="B347" s="84" t="str">
        <f t="shared" si="1"/>
        <v>Jun 2026</v>
      </c>
      <c r="C347" s="84">
        <f t="shared" si="2"/>
        <v>25</v>
      </c>
      <c r="D347" s="85" t="s">
        <v>159</v>
      </c>
      <c r="E347" s="85" t="s">
        <v>130</v>
      </c>
      <c r="F347" s="86" t="s">
        <v>173</v>
      </c>
      <c r="G347" s="87" t="s">
        <v>174</v>
      </c>
      <c r="H347" s="88">
        <f t="shared" si="3"/>
        <v>0.11</v>
      </c>
      <c r="I347" s="89">
        <v>0.1</v>
      </c>
      <c r="J347" s="89"/>
      <c r="K347" s="89">
        <f t="shared" si="4"/>
        <v>0.01</v>
      </c>
      <c r="L347" s="84">
        <f t="shared" si="5"/>
        <v>346</v>
      </c>
      <c r="M347" s="85" t="s">
        <v>133</v>
      </c>
    </row>
    <row r="348" ht="22.5" customHeight="1">
      <c r="A348" s="83">
        <v>46188.0</v>
      </c>
      <c r="B348" s="84" t="str">
        <f t="shared" si="1"/>
        <v>Jun 2026</v>
      </c>
      <c r="C348" s="84">
        <f t="shared" si="2"/>
        <v>25</v>
      </c>
      <c r="D348" s="85" t="s">
        <v>159</v>
      </c>
      <c r="E348" s="85" t="s">
        <v>130</v>
      </c>
      <c r="F348" s="86" t="s">
        <v>234</v>
      </c>
      <c r="G348" s="87" t="s">
        <v>211</v>
      </c>
      <c r="H348" s="88">
        <f t="shared" si="3"/>
        <v>0.11</v>
      </c>
      <c r="I348" s="89">
        <v>0.1</v>
      </c>
      <c r="J348" s="89"/>
      <c r="K348" s="89">
        <f t="shared" si="4"/>
        <v>0.01</v>
      </c>
      <c r="L348" s="84">
        <f t="shared" si="5"/>
        <v>347</v>
      </c>
      <c r="M348" s="85" t="s">
        <v>133</v>
      </c>
    </row>
    <row r="349" ht="22.5" customHeight="1">
      <c r="A349" s="83">
        <v>46188.0</v>
      </c>
      <c r="B349" s="84" t="str">
        <f t="shared" si="1"/>
        <v>Jun 2026</v>
      </c>
      <c r="C349" s="84">
        <f t="shared" si="2"/>
        <v>25</v>
      </c>
      <c r="D349" s="85" t="s">
        <v>159</v>
      </c>
      <c r="E349" s="85" t="s">
        <v>130</v>
      </c>
      <c r="F349" s="86" t="s">
        <v>178</v>
      </c>
      <c r="G349" s="86" t="s">
        <v>74</v>
      </c>
      <c r="H349" s="88">
        <f t="shared" si="3"/>
        <v>0.11</v>
      </c>
      <c r="I349" s="89">
        <v>0.1</v>
      </c>
      <c r="J349" s="89"/>
      <c r="K349" s="89">
        <f t="shared" si="4"/>
        <v>0.01</v>
      </c>
      <c r="L349" s="84">
        <f t="shared" si="5"/>
        <v>348</v>
      </c>
      <c r="M349" s="85" t="s">
        <v>133</v>
      </c>
    </row>
    <row r="350" ht="22.5" customHeight="1">
      <c r="A350" s="83">
        <v>46188.0</v>
      </c>
      <c r="B350" s="84" t="str">
        <f t="shared" si="1"/>
        <v>Jun 2026</v>
      </c>
      <c r="C350" s="84">
        <f t="shared" si="2"/>
        <v>25</v>
      </c>
      <c r="D350" s="85" t="s">
        <v>159</v>
      </c>
      <c r="E350" s="85" t="s">
        <v>130</v>
      </c>
      <c r="F350" s="86" t="s">
        <v>236</v>
      </c>
      <c r="G350" s="87" t="s">
        <v>170</v>
      </c>
      <c r="H350" s="88">
        <f t="shared" si="3"/>
        <v>0.11</v>
      </c>
      <c r="I350" s="89">
        <v>0.1</v>
      </c>
      <c r="J350" s="89"/>
      <c r="K350" s="89">
        <f t="shared" si="4"/>
        <v>0.01</v>
      </c>
      <c r="L350" s="84">
        <f t="shared" si="5"/>
        <v>349</v>
      </c>
      <c r="M350" s="85" t="s">
        <v>133</v>
      </c>
    </row>
    <row r="351" ht="22.5" customHeight="1">
      <c r="A351" s="83">
        <v>46188.0</v>
      </c>
      <c r="B351" s="84" t="str">
        <f t="shared" si="1"/>
        <v>Jun 2026</v>
      </c>
      <c r="C351" s="84">
        <f t="shared" si="2"/>
        <v>25</v>
      </c>
      <c r="D351" s="85" t="s">
        <v>159</v>
      </c>
      <c r="E351" s="85" t="s">
        <v>130</v>
      </c>
      <c r="F351" s="86" t="s">
        <v>233</v>
      </c>
      <c r="G351" s="87" t="s">
        <v>210</v>
      </c>
      <c r="H351" s="88">
        <f t="shared" si="3"/>
        <v>0.11</v>
      </c>
      <c r="I351" s="89">
        <v>0.1</v>
      </c>
      <c r="J351" s="89"/>
      <c r="K351" s="89">
        <f t="shared" si="4"/>
        <v>0.01</v>
      </c>
      <c r="L351" s="84">
        <f t="shared" si="5"/>
        <v>350</v>
      </c>
      <c r="M351" s="85" t="s">
        <v>133</v>
      </c>
    </row>
    <row r="352" ht="22.5" customHeight="1">
      <c r="A352" s="83">
        <v>46188.0</v>
      </c>
      <c r="B352" s="84" t="str">
        <f t="shared" si="1"/>
        <v>Jun 2026</v>
      </c>
      <c r="C352" s="84">
        <f t="shared" si="2"/>
        <v>25</v>
      </c>
      <c r="D352" s="85" t="s">
        <v>159</v>
      </c>
      <c r="E352" s="85" t="s">
        <v>130</v>
      </c>
      <c r="F352" s="86" t="s">
        <v>229</v>
      </c>
      <c r="G352" s="86" t="s">
        <v>213</v>
      </c>
      <c r="H352" s="88">
        <f t="shared" si="3"/>
        <v>0.11</v>
      </c>
      <c r="I352" s="89">
        <v>0.1</v>
      </c>
      <c r="J352" s="89"/>
      <c r="K352" s="89">
        <f t="shared" si="4"/>
        <v>0.01</v>
      </c>
      <c r="L352" s="84">
        <f t="shared" si="5"/>
        <v>351</v>
      </c>
      <c r="M352" s="85" t="s">
        <v>133</v>
      </c>
    </row>
    <row r="353" ht="22.5" customHeight="1">
      <c r="A353" s="83">
        <v>46188.0</v>
      </c>
      <c r="B353" s="84" t="str">
        <f t="shared" si="1"/>
        <v>Jun 2026</v>
      </c>
      <c r="C353" s="84">
        <f t="shared" si="2"/>
        <v>25</v>
      </c>
      <c r="D353" s="85" t="s">
        <v>159</v>
      </c>
      <c r="E353" s="85" t="s">
        <v>130</v>
      </c>
      <c r="F353" s="86" t="s">
        <v>239</v>
      </c>
      <c r="G353" s="86" t="s">
        <v>207</v>
      </c>
      <c r="H353" s="88">
        <f t="shared" si="3"/>
        <v>0.11</v>
      </c>
      <c r="I353" s="89">
        <v>0.1</v>
      </c>
      <c r="J353" s="89"/>
      <c r="K353" s="89">
        <f t="shared" si="4"/>
        <v>0.01</v>
      </c>
      <c r="L353" s="84">
        <f t="shared" si="5"/>
        <v>352</v>
      </c>
      <c r="M353" s="85" t="s">
        <v>133</v>
      </c>
    </row>
    <row r="354" ht="22.5" customHeight="1">
      <c r="A354" s="83">
        <v>46188.0</v>
      </c>
      <c r="B354" s="84" t="str">
        <f t="shared" si="1"/>
        <v>Jun 2026</v>
      </c>
      <c r="C354" s="84">
        <f t="shared" si="2"/>
        <v>25</v>
      </c>
      <c r="D354" s="85" t="s">
        <v>159</v>
      </c>
      <c r="E354" s="85" t="s">
        <v>130</v>
      </c>
      <c r="F354" s="86" t="s">
        <v>172</v>
      </c>
      <c r="G354" s="87" t="s">
        <v>62</v>
      </c>
      <c r="H354" s="88">
        <f t="shared" si="3"/>
        <v>0.11</v>
      </c>
      <c r="I354" s="89">
        <v>0.1</v>
      </c>
      <c r="J354" s="89"/>
      <c r="K354" s="89">
        <f t="shared" si="4"/>
        <v>0.01</v>
      </c>
      <c r="L354" s="84">
        <f t="shared" si="5"/>
        <v>353</v>
      </c>
      <c r="M354" s="85" t="s">
        <v>133</v>
      </c>
    </row>
    <row r="355" ht="22.5" customHeight="1">
      <c r="A355" s="83">
        <v>46188.0</v>
      </c>
      <c r="B355" s="84" t="str">
        <f t="shared" si="1"/>
        <v>Jun 2026</v>
      </c>
      <c r="C355" s="84">
        <f t="shared" si="2"/>
        <v>25</v>
      </c>
      <c r="D355" s="85" t="s">
        <v>159</v>
      </c>
      <c r="E355" s="85" t="s">
        <v>130</v>
      </c>
      <c r="F355" s="86" t="s">
        <v>240</v>
      </c>
      <c r="G355" s="87" t="s">
        <v>187</v>
      </c>
      <c r="H355" s="88">
        <f t="shared" si="3"/>
        <v>0.11</v>
      </c>
      <c r="I355" s="89">
        <v>0.1</v>
      </c>
      <c r="J355" s="89"/>
      <c r="K355" s="89">
        <f t="shared" si="4"/>
        <v>0.01</v>
      </c>
      <c r="L355" s="84">
        <f t="shared" si="5"/>
        <v>354</v>
      </c>
      <c r="M355" s="85" t="s">
        <v>133</v>
      </c>
    </row>
    <row r="356" ht="22.5" customHeight="1">
      <c r="A356" s="83">
        <v>46188.0</v>
      </c>
      <c r="B356" s="84" t="str">
        <f t="shared" si="1"/>
        <v>Jun 2026</v>
      </c>
      <c r="C356" s="84">
        <f t="shared" si="2"/>
        <v>25</v>
      </c>
      <c r="D356" s="85" t="s">
        <v>159</v>
      </c>
      <c r="E356" s="85" t="s">
        <v>130</v>
      </c>
      <c r="F356" s="86" t="s">
        <v>237</v>
      </c>
      <c r="G356" s="87" t="s">
        <v>212</v>
      </c>
      <c r="H356" s="88">
        <f t="shared" si="3"/>
        <v>0.11</v>
      </c>
      <c r="I356" s="89">
        <v>0.1</v>
      </c>
      <c r="J356" s="89"/>
      <c r="K356" s="89">
        <f t="shared" si="4"/>
        <v>0.01</v>
      </c>
      <c r="L356" s="84">
        <f t="shared" si="5"/>
        <v>355</v>
      </c>
      <c r="M356" s="85" t="s">
        <v>133</v>
      </c>
    </row>
    <row r="357" ht="22.5" customHeight="1">
      <c r="A357" s="83">
        <v>46188.0</v>
      </c>
      <c r="B357" s="84" t="str">
        <f t="shared" si="1"/>
        <v>Jun 2026</v>
      </c>
      <c r="C357" s="84">
        <f t="shared" si="2"/>
        <v>25</v>
      </c>
      <c r="D357" s="85" t="s">
        <v>159</v>
      </c>
      <c r="E357" s="85" t="s">
        <v>130</v>
      </c>
      <c r="F357" s="86" t="s">
        <v>236</v>
      </c>
      <c r="G357" s="87" t="s">
        <v>170</v>
      </c>
      <c r="H357" s="88">
        <f t="shared" si="3"/>
        <v>0.11</v>
      </c>
      <c r="I357" s="89">
        <v>0.1</v>
      </c>
      <c r="J357" s="89"/>
      <c r="K357" s="89">
        <f t="shared" si="4"/>
        <v>0.01</v>
      </c>
      <c r="L357" s="84">
        <f t="shared" si="5"/>
        <v>356</v>
      </c>
      <c r="M357" s="85" t="s">
        <v>133</v>
      </c>
    </row>
    <row r="358" ht="22.5" customHeight="1">
      <c r="A358" s="83">
        <v>46188.0</v>
      </c>
      <c r="B358" s="84" t="str">
        <f t="shared" si="1"/>
        <v>Jun 2026</v>
      </c>
      <c r="C358" s="84">
        <f t="shared" si="2"/>
        <v>25</v>
      </c>
      <c r="D358" s="85" t="s">
        <v>159</v>
      </c>
      <c r="E358" s="85" t="s">
        <v>130</v>
      </c>
      <c r="F358" s="86" t="s">
        <v>233</v>
      </c>
      <c r="G358" s="87" t="s">
        <v>210</v>
      </c>
      <c r="H358" s="88">
        <f t="shared" si="3"/>
        <v>0.11</v>
      </c>
      <c r="I358" s="89">
        <v>0.1</v>
      </c>
      <c r="J358" s="89"/>
      <c r="K358" s="89">
        <f t="shared" si="4"/>
        <v>0.01</v>
      </c>
      <c r="L358" s="84">
        <f t="shared" si="5"/>
        <v>357</v>
      </c>
      <c r="M358" s="85" t="s">
        <v>133</v>
      </c>
    </row>
    <row r="359" ht="22.5" customHeight="1">
      <c r="A359" s="83">
        <v>46188.0</v>
      </c>
      <c r="B359" s="84" t="str">
        <f t="shared" si="1"/>
        <v>Jun 2026</v>
      </c>
      <c r="C359" s="84">
        <f t="shared" si="2"/>
        <v>25</v>
      </c>
      <c r="D359" s="85" t="s">
        <v>159</v>
      </c>
      <c r="E359" s="85" t="s">
        <v>130</v>
      </c>
      <c r="F359" s="86" t="s">
        <v>173</v>
      </c>
      <c r="G359" s="87" t="s">
        <v>174</v>
      </c>
      <c r="H359" s="88">
        <f t="shared" si="3"/>
        <v>0.11</v>
      </c>
      <c r="I359" s="89">
        <v>0.1</v>
      </c>
      <c r="J359" s="89"/>
      <c r="K359" s="89">
        <f t="shared" si="4"/>
        <v>0.01</v>
      </c>
      <c r="L359" s="84">
        <f t="shared" si="5"/>
        <v>358</v>
      </c>
      <c r="M359" s="85" t="s">
        <v>133</v>
      </c>
    </row>
    <row r="360" ht="22.5" customHeight="1">
      <c r="A360" s="83">
        <v>46188.0</v>
      </c>
      <c r="B360" s="84" t="str">
        <f t="shared" si="1"/>
        <v>Jun 2026</v>
      </c>
      <c r="C360" s="84">
        <f t="shared" si="2"/>
        <v>25</v>
      </c>
      <c r="D360" s="85" t="s">
        <v>159</v>
      </c>
      <c r="E360" s="85" t="s">
        <v>130</v>
      </c>
      <c r="F360" s="86" t="s">
        <v>235</v>
      </c>
      <c r="G360" s="87" t="s">
        <v>214</v>
      </c>
      <c r="H360" s="88">
        <f t="shared" si="3"/>
        <v>0.11</v>
      </c>
      <c r="I360" s="89">
        <v>0.1</v>
      </c>
      <c r="J360" s="89"/>
      <c r="K360" s="89">
        <f t="shared" si="4"/>
        <v>0.01</v>
      </c>
      <c r="L360" s="84">
        <f t="shared" si="5"/>
        <v>359</v>
      </c>
      <c r="M360" s="85" t="s">
        <v>133</v>
      </c>
    </row>
    <row r="361" ht="22.5" customHeight="1">
      <c r="A361" s="83">
        <v>46188.0</v>
      </c>
      <c r="B361" s="84" t="str">
        <f t="shared" si="1"/>
        <v>Jun 2026</v>
      </c>
      <c r="C361" s="84">
        <f t="shared" si="2"/>
        <v>25</v>
      </c>
      <c r="D361" s="85" t="s">
        <v>159</v>
      </c>
      <c r="E361" s="85" t="s">
        <v>130</v>
      </c>
      <c r="F361" s="86" t="s">
        <v>229</v>
      </c>
      <c r="G361" s="86" t="s">
        <v>213</v>
      </c>
      <c r="H361" s="88">
        <f t="shared" si="3"/>
        <v>0.11</v>
      </c>
      <c r="I361" s="89">
        <v>0.1</v>
      </c>
      <c r="J361" s="89"/>
      <c r="K361" s="89">
        <f t="shared" si="4"/>
        <v>0.01</v>
      </c>
      <c r="L361" s="84">
        <f t="shared" si="5"/>
        <v>360</v>
      </c>
      <c r="M361" s="85" t="s">
        <v>133</v>
      </c>
    </row>
    <row r="362" ht="22.5" customHeight="1">
      <c r="A362" s="83">
        <v>46188.0</v>
      </c>
      <c r="B362" s="84" t="str">
        <f t="shared" si="1"/>
        <v>Jun 2026</v>
      </c>
      <c r="C362" s="84">
        <f t="shared" si="2"/>
        <v>25</v>
      </c>
      <c r="D362" s="85" t="s">
        <v>159</v>
      </c>
      <c r="E362" s="85" t="s">
        <v>130</v>
      </c>
      <c r="F362" s="86" t="s">
        <v>172</v>
      </c>
      <c r="G362" s="87" t="s">
        <v>62</v>
      </c>
      <c r="H362" s="88">
        <f t="shared" si="3"/>
        <v>0.11</v>
      </c>
      <c r="I362" s="89">
        <v>0.1</v>
      </c>
      <c r="J362" s="89"/>
      <c r="K362" s="89">
        <f t="shared" si="4"/>
        <v>0.01</v>
      </c>
      <c r="L362" s="84">
        <f t="shared" si="5"/>
        <v>361</v>
      </c>
      <c r="M362" s="85" t="s">
        <v>133</v>
      </c>
    </row>
    <row r="363" ht="22.5" customHeight="1">
      <c r="A363" s="83">
        <v>46188.0</v>
      </c>
      <c r="B363" s="84" t="str">
        <f t="shared" si="1"/>
        <v>Jun 2026</v>
      </c>
      <c r="C363" s="84">
        <f t="shared" si="2"/>
        <v>25</v>
      </c>
      <c r="D363" s="85" t="s">
        <v>159</v>
      </c>
      <c r="E363" s="85" t="s">
        <v>130</v>
      </c>
      <c r="F363" s="86" t="s">
        <v>178</v>
      </c>
      <c r="G363" s="86" t="s">
        <v>74</v>
      </c>
      <c r="H363" s="88">
        <f t="shared" si="3"/>
        <v>0.11</v>
      </c>
      <c r="I363" s="89">
        <v>0.1</v>
      </c>
      <c r="J363" s="89"/>
      <c r="K363" s="89">
        <f t="shared" si="4"/>
        <v>0.01</v>
      </c>
      <c r="L363" s="84">
        <f t="shared" si="5"/>
        <v>362</v>
      </c>
      <c r="M363" s="85" t="s">
        <v>133</v>
      </c>
    </row>
    <row r="364" ht="22.5" customHeight="1">
      <c r="A364" s="83">
        <v>46188.0</v>
      </c>
      <c r="B364" s="84" t="str">
        <f t="shared" si="1"/>
        <v>Jun 2026</v>
      </c>
      <c r="C364" s="84">
        <f t="shared" si="2"/>
        <v>25</v>
      </c>
      <c r="D364" s="85" t="s">
        <v>159</v>
      </c>
      <c r="E364" s="85" t="s">
        <v>130</v>
      </c>
      <c r="F364" s="86" t="s">
        <v>234</v>
      </c>
      <c r="G364" s="87" t="s">
        <v>211</v>
      </c>
      <c r="H364" s="88">
        <f t="shared" si="3"/>
        <v>0.11</v>
      </c>
      <c r="I364" s="89">
        <v>0.1</v>
      </c>
      <c r="J364" s="89"/>
      <c r="K364" s="89">
        <f t="shared" si="4"/>
        <v>0.01</v>
      </c>
      <c r="L364" s="84">
        <f t="shared" si="5"/>
        <v>363</v>
      </c>
      <c r="M364" s="85" t="s">
        <v>133</v>
      </c>
    </row>
    <row r="365" ht="22.5" customHeight="1">
      <c r="A365" s="83">
        <v>46188.0</v>
      </c>
      <c r="B365" s="84" t="str">
        <f t="shared" si="1"/>
        <v>Jun 2026</v>
      </c>
      <c r="C365" s="84">
        <f t="shared" si="2"/>
        <v>25</v>
      </c>
      <c r="D365" s="85" t="s">
        <v>159</v>
      </c>
      <c r="E365" s="85" t="s">
        <v>130</v>
      </c>
      <c r="F365" s="86" t="s">
        <v>239</v>
      </c>
      <c r="G365" s="86" t="s">
        <v>207</v>
      </c>
      <c r="H365" s="88">
        <f t="shared" si="3"/>
        <v>0.11</v>
      </c>
      <c r="I365" s="89">
        <v>0.1</v>
      </c>
      <c r="J365" s="89"/>
      <c r="K365" s="89">
        <f t="shared" si="4"/>
        <v>0.01</v>
      </c>
      <c r="L365" s="84">
        <f t="shared" si="5"/>
        <v>364</v>
      </c>
      <c r="M365" s="85" t="s">
        <v>133</v>
      </c>
    </row>
    <row r="366" ht="22.5" customHeight="1">
      <c r="A366" s="83">
        <v>46188.0</v>
      </c>
      <c r="B366" s="84" t="str">
        <f t="shared" si="1"/>
        <v>Jun 2026</v>
      </c>
      <c r="C366" s="84">
        <f t="shared" si="2"/>
        <v>25</v>
      </c>
      <c r="D366" s="85" t="s">
        <v>129</v>
      </c>
      <c r="E366" s="85" t="s">
        <v>130</v>
      </c>
      <c r="F366" s="86" t="s">
        <v>238</v>
      </c>
      <c r="G366" s="87" t="s">
        <v>226</v>
      </c>
      <c r="H366" s="88">
        <f t="shared" si="3"/>
        <v>1.1</v>
      </c>
      <c r="I366" s="89">
        <v>1.0</v>
      </c>
      <c r="J366" s="89"/>
      <c r="K366" s="89">
        <f t="shared" si="4"/>
        <v>0.1</v>
      </c>
      <c r="L366" s="84">
        <f t="shared" si="5"/>
        <v>365</v>
      </c>
      <c r="M366" s="85" t="s">
        <v>133</v>
      </c>
    </row>
    <row r="367" ht="22.5" customHeight="1">
      <c r="A367" s="83">
        <v>46188.0</v>
      </c>
      <c r="B367" s="84" t="str">
        <f t="shared" si="1"/>
        <v>Jun 2026</v>
      </c>
      <c r="C367" s="84">
        <f t="shared" si="2"/>
        <v>25</v>
      </c>
      <c r="D367" s="85" t="s">
        <v>159</v>
      </c>
      <c r="E367" s="85" t="s">
        <v>130</v>
      </c>
      <c r="F367" s="86" t="s">
        <v>229</v>
      </c>
      <c r="G367" s="86" t="s">
        <v>213</v>
      </c>
      <c r="H367" s="88">
        <f t="shared" si="3"/>
        <v>0.11</v>
      </c>
      <c r="I367" s="89">
        <v>0.1</v>
      </c>
      <c r="J367" s="89"/>
      <c r="K367" s="89">
        <f t="shared" si="4"/>
        <v>0.01</v>
      </c>
      <c r="L367" s="84">
        <f t="shared" si="5"/>
        <v>366</v>
      </c>
      <c r="M367" s="85" t="s">
        <v>181</v>
      </c>
    </row>
    <row r="368" ht="22.5" customHeight="1">
      <c r="A368" s="83">
        <v>46188.0</v>
      </c>
      <c r="B368" s="84" t="str">
        <f t="shared" si="1"/>
        <v>Jun 2026</v>
      </c>
      <c r="C368" s="84">
        <f t="shared" si="2"/>
        <v>25</v>
      </c>
      <c r="D368" s="85" t="s">
        <v>159</v>
      </c>
      <c r="E368" s="85" t="s">
        <v>130</v>
      </c>
      <c r="F368" s="86" t="s">
        <v>173</v>
      </c>
      <c r="G368" s="87" t="s">
        <v>174</v>
      </c>
      <c r="H368" s="88">
        <f t="shared" si="3"/>
        <v>0.11</v>
      </c>
      <c r="I368" s="89">
        <v>0.1</v>
      </c>
      <c r="J368" s="89"/>
      <c r="K368" s="89">
        <f t="shared" si="4"/>
        <v>0.01</v>
      </c>
      <c r="L368" s="84">
        <f t="shared" si="5"/>
        <v>367</v>
      </c>
      <c r="M368" s="85" t="s">
        <v>181</v>
      </c>
    </row>
    <row r="369" ht="22.5" customHeight="1">
      <c r="A369" s="83">
        <v>46189.0</v>
      </c>
      <c r="B369" s="84" t="str">
        <f t="shared" si="1"/>
        <v>Jun 2026</v>
      </c>
      <c r="C369" s="84">
        <f t="shared" si="2"/>
        <v>25</v>
      </c>
      <c r="D369" s="85" t="s">
        <v>129</v>
      </c>
      <c r="E369" s="85" t="s">
        <v>164</v>
      </c>
      <c r="F369" s="86" t="s">
        <v>238</v>
      </c>
      <c r="G369" s="87" t="s">
        <v>226</v>
      </c>
      <c r="H369" s="88">
        <f t="shared" si="3"/>
        <v>1.1</v>
      </c>
      <c r="I369" s="89">
        <v>1.0</v>
      </c>
      <c r="J369" s="89"/>
      <c r="K369" s="89">
        <f t="shared" si="4"/>
        <v>0.1</v>
      </c>
      <c r="L369" s="84">
        <f t="shared" si="5"/>
        <v>368</v>
      </c>
      <c r="M369" s="85" t="s">
        <v>133</v>
      </c>
    </row>
    <row r="370" ht="22.5" customHeight="1">
      <c r="A370" s="83">
        <v>46189.0</v>
      </c>
      <c r="B370" s="84" t="str">
        <f t="shared" si="1"/>
        <v>Jun 2026</v>
      </c>
      <c r="C370" s="84">
        <f t="shared" si="2"/>
        <v>25</v>
      </c>
      <c r="D370" s="85" t="s">
        <v>159</v>
      </c>
      <c r="E370" s="85" t="s">
        <v>164</v>
      </c>
      <c r="F370" s="86" t="s">
        <v>233</v>
      </c>
      <c r="G370" s="87" t="s">
        <v>210</v>
      </c>
      <c r="H370" s="88">
        <f t="shared" si="3"/>
        <v>0.11</v>
      </c>
      <c r="I370" s="89">
        <v>0.1</v>
      </c>
      <c r="J370" s="89"/>
      <c r="K370" s="89">
        <f t="shared" si="4"/>
        <v>0.01</v>
      </c>
      <c r="L370" s="84">
        <f t="shared" si="5"/>
        <v>369</v>
      </c>
      <c r="M370" s="85" t="s">
        <v>181</v>
      </c>
    </row>
    <row r="371" ht="22.5" customHeight="1">
      <c r="A371" s="83">
        <v>46189.0</v>
      </c>
      <c r="B371" s="84" t="str">
        <f t="shared" si="1"/>
        <v>Jun 2026</v>
      </c>
      <c r="C371" s="84">
        <f t="shared" si="2"/>
        <v>25</v>
      </c>
      <c r="D371" s="85" t="s">
        <v>159</v>
      </c>
      <c r="E371" s="85" t="s">
        <v>164</v>
      </c>
      <c r="F371" s="86" t="s">
        <v>236</v>
      </c>
      <c r="G371" s="87" t="s">
        <v>170</v>
      </c>
      <c r="H371" s="88">
        <f t="shared" si="3"/>
        <v>0.11</v>
      </c>
      <c r="I371" s="89">
        <v>0.1</v>
      </c>
      <c r="J371" s="89"/>
      <c r="K371" s="89">
        <f t="shared" si="4"/>
        <v>0.01</v>
      </c>
      <c r="L371" s="84">
        <f t="shared" si="5"/>
        <v>370</v>
      </c>
      <c r="M371" s="85" t="s">
        <v>181</v>
      </c>
    </row>
    <row r="372" ht="22.5" customHeight="1">
      <c r="A372" s="83">
        <v>46189.0</v>
      </c>
      <c r="B372" s="84" t="str">
        <f t="shared" si="1"/>
        <v>Jun 2026</v>
      </c>
      <c r="C372" s="84">
        <f t="shared" si="2"/>
        <v>25</v>
      </c>
      <c r="D372" s="85" t="s">
        <v>159</v>
      </c>
      <c r="E372" s="85" t="s">
        <v>164</v>
      </c>
      <c r="F372" s="86" t="s">
        <v>172</v>
      </c>
      <c r="G372" s="87" t="s">
        <v>62</v>
      </c>
      <c r="H372" s="88">
        <f t="shared" si="3"/>
        <v>0.11</v>
      </c>
      <c r="I372" s="89">
        <v>0.1</v>
      </c>
      <c r="J372" s="89"/>
      <c r="K372" s="89">
        <f t="shared" si="4"/>
        <v>0.01</v>
      </c>
      <c r="L372" s="84">
        <f t="shared" si="5"/>
        <v>371</v>
      </c>
      <c r="M372" s="85" t="s">
        <v>181</v>
      </c>
    </row>
    <row r="373" ht="22.5" customHeight="1">
      <c r="A373" s="83">
        <v>46189.0</v>
      </c>
      <c r="B373" s="84" t="str">
        <f t="shared" si="1"/>
        <v>Jun 2026</v>
      </c>
      <c r="C373" s="84">
        <f t="shared" si="2"/>
        <v>25</v>
      </c>
      <c r="D373" s="85" t="s">
        <v>159</v>
      </c>
      <c r="E373" s="85" t="s">
        <v>164</v>
      </c>
      <c r="F373" s="86" t="s">
        <v>237</v>
      </c>
      <c r="G373" s="87" t="s">
        <v>212</v>
      </c>
      <c r="H373" s="88">
        <f t="shared" si="3"/>
        <v>0.11</v>
      </c>
      <c r="I373" s="89">
        <v>0.1</v>
      </c>
      <c r="J373" s="89"/>
      <c r="K373" s="89">
        <f t="shared" si="4"/>
        <v>0.01</v>
      </c>
      <c r="L373" s="84">
        <f t="shared" si="5"/>
        <v>372</v>
      </c>
      <c r="M373" s="85" t="s">
        <v>181</v>
      </c>
    </row>
    <row r="374" ht="22.5" customHeight="1">
      <c r="A374" s="83">
        <v>46189.0</v>
      </c>
      <c r="B374" s="84" t="str">
        <f t="shared" si="1"/>
        <v>Jun 2026</v>
      </c>
      <c r="C374" s="84">
        <f t="shared" si="2"/>
        <v>25</v>
      </c>
      <c r="D374" s="85" t="s">
        <v>159</v>
      </c>
      <c r="E374" s="85" t="s">
        <v>164</v>
      </c>
      <c r="F374" s="86" t="s">
        <v>235</v>
      </c>
      <c r="G374" s="87" t="s">
        <v>214</v>
      </c>
      <c r="H374" s="88">
        <f t="shared" si="3"/>
        <v>0.11</v>
      </c>
      <c r="I374" s="89">
        <v>0.1</v>
      </c>
      <c r="J374" s="89"/>
      <c r="K374" s="89">
        <f t="shared" si="4"/>
        <v>0.01</v>
      </c>
      <c r="L374" s="84">
        <f t="shared" si="5"/>
        <v>373</v>
      </c>
      <c r="M374" s="85" t="s">
        <v>181</v>
      </c>
    </row>
    <row r="375" ht="22.5" customHeight="1">
      <c r="A375" s="83">
        <v>46189.0</v>
      </c>
      <c r="B375" s="84" t="str">
        <f t="shared" si="1"/>
        <v>Jun 2026</v>
      </c>
      <c r="C375" s="84">
        <f t="shared" si="2"/>
        <v>25</v>
      </c>
      <c r="D375" s="85" t="s">
        <v>159</v>
      </c>
      <c r="E375" s="85" t="s">
        <v>164</v>
      </c>
      <c r="F375" s="86" t="s">
        <v>236</v>
      </c>
      <c r="G375" s="87" t="s">
        <v>170</v>
      </c>
      <c r="H375" s="88">
        <f t="shared" si="3"/>
        <v>0.11</v>
      </c>
      <c r="I375" s="89">
        <v>0.1</v>
      </c>
      <c r="J375" s="89"/>
      <c r="K375" s="89">
        <f t="shared" si="4"/>
        <v>0.01</v>
      </c>
      <c r="L375" s="84">
        <f t="shared" si="5"/>
        <v>374</v>
      </c>
      <c r="M375" s="85" t="s">
        <v>133</v>
      </c>
    </row>
    <row r="376" ht="22.5" customHeight="1">
      <c r="A376" s="83">
        <v>46189.0</v>
      </c>
      <c r="B376" s="84" t="str">
        <f t="shared" si="1"/>
        <v>Jun 2026</v>
      </c>
      <c r="C376" s="84">
        <f t="shared" si="2"/>
        <v>25</v>
      </c>
      <c r="D376" s="85" t="s">
        <v>159</v>
      </c>
      <c r="E376" s="85" t="s">
        <v>164</v>
      </c>
      <c r="F376" s="86" t="s">
        <v>233</v>
      </c>
      <c r="G376" s="87" t="s">
        <v>210</v>
      </c>
      <c r="H376" s="88">
        <f t="shared" si="3"/>
        <v>0.11</v>
      </c>
      <c r="I376" s="89">
        <v>0.1</v>
      </c>
      <c r="J376" s="89"/>
      <c r="K376" s="89">
        <f t="shared" si="4"/>
        <v>0.01</v>
      </c>
      <c r="L376" s="84">
        <f t="shared" si="5"/>
        <v>375</v>
      </c>
      <c r="M376" s="85" t="s">
        <v>133</v>
      </c>
    </row>
    <row r="377" ht="22.5" customHeight="1">
      <c r="A377" s="83">
        <v>46189.0</v>
      </c>
      <c r="B377" s="84" t="str">
        <f t="shared" si="1"/>
        <v>Jun 2026</v>
      </c>
      <c r="C377" s="84">
        <f t="shared" si="2"/>
        <v>25</v>
      </c>
      <c r="D377" s="85" t="s">
        <v>159</v>
      </c>
      <c r="E377" s="85" t="s">
        <v>164</v>
      </c>
      <c r="F377" s="86" t="s">
        <v>229</v>
      </c>
      <c r="G377" s="86" t="s">
        <v>213</v>
      </c>
      <c r="H377" s="88">
        <f t="shared" si="3"/>
        <v>0.11</v>
      </c>
      <c r="I377" s="89">
        <v>0.1</v>
      </c>
      <c r="J377" s="89"/>
      <c r="K377" s="89">
        <f t="shared" si="4"/>
        <v>0.01</v>
      </c>
      <c r="L377" s="84">
        <f t="shared" si="5"/>
        <v>376</v>
      </c>
      <c r="M377" s="85" t="s">
        <v>133</v>
      </c>
    </row>
    <row r="378" ht="22.5" customHeight="1">
      <c r="A378" s="83">
        <v>46189.0</v>
      </c>
      <c r="B378" s="84" t="str">
        <f t="shared" si="1"/>
        <v>Jun 2026</v>
      </c>
      <c r="C378" s="84">
        <f t="shared" si="2"/>
        <v>25</v>
      </c>
      <c r="D378" s="85" t="s">
        <v>159</v>
      </c>
      <c r="E378" s="85" t="s">
        <v>164</v>
      </c>
      <c r="F378" s="86" t="s">
        <v>178</v>
      </c>
      <c r="G378" s="86" t="s">
        <v>74</v>
      </c>
      <c r="H378" s="88">
        <f t="shared" si="3"/>
        <v>0.11</v>
      </c>
      <c r="I378" s="89">
        <v>0.1</v>
      </c>
      <c r="J378" s="89"/>
      <c r="K378" s="89">
        <f t="shared" si="4"/>
        <v>0.01</v>
      </c>
      <c r="L378" s="84">
        <f t="shared" si="5"/>
        <v>377</v>
      </c>
      <c r="M378" s="85" t="s">
        <v>133</v>
      </c>
    </row>
    <row r="379" ht="22.5" customHeight="1">
      <c r="A379" s="83">
        <v>46189.0</v>
      </c>
      <c r="B379" s="84" t="str">
        <f t="shared" si="1"/>
        <v>Jun 2026</v>
      </c>
      <c r="C379" s="84">
        <f t="shared" si="2"/>
        <v>25</v>
      </c>
      <c r="D379" s="85" t="s">
        <v>159</v>
      </c>
      <c r="E379" s="85" t="s">
        <v>164</v>
      </c>
      <c r="F379" s="86" t="s">
        <v>234</v>
      </c>
      <c r="G379" s="87" t="s">
        <v>211</v>
      </c>
      <c r="H379" s="88">
        <f t="shared" si="3"/>
        <v>0.11</v>
      </c>
      <c r="I379" s="89">
        <v>0.1</v>
      </c>
      <c r="J379" s="89"/>
      <c r="K379" s="89">
        <f t="shared" si="4"/>
        <v>0.01</v>
      </c>
      <c r="L379" s="84">
        <f t="shared" si="5"/>
        <v>378</v>
      </c>
      <c r="M379" s="85" t="s">
        <v>133</v>
      </c>
    </row>
    <row r="380" ht="22.5" customHeight="1">
      <c r="A380" s="83">
        <v>46189.0</v>
      </c>
      <c r="B380" s="84" t="str">
        <f t="shared" si="1"/>
        <v>Jun 2026</v>
      </c>
      <c r="C380" s="84">
        <f t="shared" si="2"/>
        <v>25</v>
      </c>
      <c r="D380" s="85" t="s">
        <v>159</v>
      </c>
      <c r="E380" s="85" t="s">
        <v>164</v>
      </c>
      <c r="F380" s="86" t="s">
        <v>237</v>
      </c>
      <c r="G380" s="87" t="s">
        <v>212</v>
      </c>
      <c r="H380" s="88">
        <f t="shared" si="3"/>
        <v>0.11</v>
      </c>
      <c r="I380" s="89">
        <v>0.1</v>
      </c>
      <c r="J380" s="89"/>
      <c r="K380" s="89">
        <f t="shared" si="4"/>
        <v>0.01</v>
      </c>
      <c r="L380" s="84">
        <f t="shared" si="5"/>
        <v>379</v>
      </c>
      <c r="M380" s="85" t="s">
        <v>133</v>
      </c>
    </row>
    <row r="381" ht="22.5" customHeight="1">
      <c r="A381" s="83">
        <v>46189.0</v>
      </c>
      <c r="B381" s="84" t="str">
        <f t="shared" si="1"/>
        <v>Jun 2026</v>
      </c>
      <c r="C381" s="84">
        <f t="shared" si="2"/>
        <v>25</v>
      </c>
      <c r="D381" s="85" t="s">
        <v>159</v>
      </c>
      <c r="E381" s="85" t="s">
        <v>164</v>
      </c>
      <c r="F381" s="86" t="s">
        <v>234</v>
      </c>
      <c r="G381" s="87" t="s">
        <v>211</v>
      </c>
      <c r="H381" s="88">
        <f t="shared" si="3"/>
        <v>0.11</v>
      </c>
      <c r="I381" s="89">
        <v>0.1</v>
      </c>
      <c r="J381" s="89"/>
      <c r="K381" s="89">
        <f t="shared" si="4"/>
        <v>0.01</v>
      </c>
      <c r="L381" s="84">
        <f t="shared" si="5"/>
        <v>380</v>
      </c>
      <c r="M381" s="85" t="s">
        <v>181</v>
      </c>
    </row>
    <row r="382" ht="22.5" customHeight="1">
      <c r="A382" s="83">
        <v>46189.0</v>
      </c>
      <c r="B382" s="84" t="str">
        <f t="shared" si="1"/>
        <v>Jun 2026</v>
      </c>
      <c r="C382" s="84">
        <f t="shared" si="2"/>
        <v>25</v>
      </c>
      <c r="D382" s="85" t="s">
        <v>159</v>
      </c>
      <c r="E382" s="85" t="s">
        <v>164</v>
      </c>
      <c r="F382" s="86" t="s">
        <v>178</v>
      </c>
      <c r="G382" s="86" t="s">
        <v>74</v>
      </c>
      <c r="H382" s="88">
        <f t="shared" si="3"/>
        <v>0.11</v>
      </c>
      <c r="I382" s="89">
        <v>0.1</v>
      </c>
      <c r="J382" s="89"/>
      <c r="K382" s="89">
        <f t="shared" si="4"/>
        <v>0.01</v>
      </c>
      <c r="L382" s="84">
        <f t="shared" si="5"/>
        <v>381</v>
      </c>
      <c r="M382" s="85" t="s">
        <v>181</v>
      </c>
    </row>
    <row r="383" ht="22.5" customHeight="1">
      <c r="A383" s="83">
        <v>46189.0</v>
      </c>
      <c r="B383" s="84" t="str">
        <f t="shared" si="1"/>
        <v>Jun 2026</v>
      </c>
      <c r="C383" s="84">
        <f t="shared" si="2"/>
        <v>25</v>
      </c>
      <c r="D383" s="85" t="s">
        <v>159</v>
      </c>
      <c r="E383" s="85" t="s">
        <v>164</v>
      </c>
      <c r="F383" s="86" t="s">
        <v>241</v>
      </c>
      <c r="G383" s="87" t="s">
        <v>188</v>
      </c>
      <c r="H383" s="88">
        <f t="shared" si="3"/>
        <v>0.11</v>
      </c>
      <c r="I383" s="89">
        <v>0.1</v>
      </c>
      <c r="J383" s="89"/>
      <c r="K383" s="89">
        <f t="shared" si="4"/>
        <v>0.01</v>
      </c>
      <c r="L383" s="84">
        <f t="shared" si="5"/>
        <v>382</v>
      </c>
      <c r="M383" s="85" t="s">
        <v>181</v>
      </c>
    </row>
    <row r="384" ht="22.5" customHeight="1">
      <c r="A384" s="83">
        <v>46189.0</v>
      </c>
      <c r="B384" s="84" t="str">
        <f t="shared" si="1"/>
        <v>Jun 2026</v>
      </c>
      <c r="C384" s="84">
        <f t="shared" si="2"/>
        <v>25</v>
      </c>
      <c r="D384" s="85" t="s">
        <v>159</v>
      </c>
      <c r="E384" s="85" t="s">
        <v>164</v>
      </c>
      <c r="F384" s="86" t="s">
        <v>173</v>
      </c>
      <c r="G384" s="87" t="s">
        <v>174</v>
      </c>
      <c r="H384" s="88">
        <f t="shared" si="3"/>
        <v>0.11</v>
      </c>
      <c r="I384" s="89">
        <v>0.1</v>
      </c>
      <c r="J384" s="89"/>
      <c r="K384" s="89">
        <f t="shared" si="4"/>
        <v>0.01</v>
      </c>
      <c r="L384" s="84">
        <f t="shared" si="5"/>
        <v>383</v>
      </c>
      <c r="M384" s="85" t="s">
        <v>133</v>
      </c>
    </row>
    <row r="385" ht="22.5" customHeight="1">
      <c r="A385" s="83">
        <v>46189.0</v>
      </c>
      <c r="B385" s="84" t="str">
        <f t="shared" si="1"/>
        <v>Jun 2026</v>
      </c>
      <c r="C385" s="84">
        <f t="shared" si="2"/>
        <v>25</v>
      </c>
      <c r="D385" s="85" t="s">
        <v>159</v>
      </c>
      <c r="E385" s="85" t="s">
        <v>164</v>
      </c>
      <c r="F385" s="86" t="s">
        <v>242</v>
      </c>
      <c r="G385" s="87" t="s">
        <v>191</v>
      </c>
      <c r="H385" s="88">
        <f t="shared" si="3"/>
        <v>0.11</v>
      </c>
      <c r="I385" s="89">
        <v>0.1</v>
      </c>
      <c r="J385" s="89"/>
      <c r="K385" s="89">
        <f t="shared" si="4"/>
        <v>0.01</v>
      </c>
      <c r="L385" s="84">
        <f t="shared" si="5"/>
        <v>384</v>
      </c>
      <c r="M385" s="85" t="s">
        <v>181</v>
      </c>
    </row>
    <row r="386" ht="22.5" customHeight="1">
      <c r="A386" s="83">
        <v>46189.0</v>
      </c>
      <c r="B386" s="84" t="str">
        <f t="shared" si="1"/>
        <v>Jun 2026</v>
      </c>
      <c r="C386" s="84">
        <f t="shared" si="2"/>
        <v>25</v>
      </c>
      <c r="D386" s="85" t="s">
        <v>129</v>
      </c>
      <c r="E386" s="85" t="s">
        <v>165</v>
      </c>
      <c r="F386" s="86" t="s">
        <v>238</v>
      </c>
      <c r="G386" s="87" t="s">
        <v>226</v>
      </c>
      <c r="H386" s="88">
        <f t="shared" si="3"/>
        <v>1.1</v>
      </c>
      <c r="I386" s="89">
        <v>1.0</v>
      </c>
      <c r="J386" s="130"/>
      <c r="K386" s="89">
        <f t="shared" si="4"/>
        <v>0.1</v>
      </c>
      <c r="L386" s="84">
        <f t="shared" si="5"/>
        <v>385</v>
      </c>
      <c r="M386" s="85" t="s">
        <v>133</v>
      </c>
    </row>
    <row r="387" ht="22.5" customHeight="1">
      <c r="A387" s="83">
        <v>46189.0</v>
      </c>
      <c r="B387" s="84" t="str">
        <f t="shared" si="1"/>
        <v>Jun 2026</v>
      </c>
      <c r="C387" s="84">
        <f t="shared" si="2"/>
        <v>25</v>
      </c>
      <c r="D387" s="85" t="s">
        <v>159</v>
      </c>
      <c r="E387" s="85" t="s">
        <v>165</v>
      </c>
      <c r="F387" s="86" t="s">
        <v>243</v>
      </c>
      <c r="G387" s="87" t="s">
        <v>182</v>
      </c>
      <c r="H387" s="88">
        <f t="shared" si="3"/>
        <v>0.11</v>
      </c>
      <c r="I387" s="89">
        <v>0.1</v>
      </c>
      <c r="J387" s="130"/>
      <c r="K387" s="89">
        <f t="shared" si="4"/>
        <v>0.01</v>
      </c>
      <c r="L387" s="84">
        <f t="shared" si="5"/>
        <v>386</v>
      </c>
      <c r="M387" s="85" t="s">
        <v>181</v>
      </c>
    </row>
    <row r="388" ht="22.5" customHeight="1">
      <c r="A388" s="83">
        <v>46189.0</v>
      </c>
      <c r="B388" s="84" t="str">
        <f t="shared" si="1"/>
        <v>Jun 2026</v>
      </c>
      <c r="C388" s="84">
        <f t="shared" si="2"/>
        <v>25</v>
      </c>
      <c r="D388" s="85" t="s">
        <v>159</v>
      </c>
      <c r="E388" s="85" t="s">
        <v>165</v>
      </c>
      <c r="F388" s="86" t="s">
        <v>172</v>
      </c>
      <c r="G388" s="87" t="s">
        <v>62</v>
      </c>
      <c r="H388" s="88">
        <f t="shared" si="3"/>
        <v>0.11</v>
      </c>
      <c r="I388" s="89">
        <v>0.1</v>
      </c>
      <c r="J388" s="130"/>
      <c r="K388" s="89">
        <f t="shared" si="4"/>
        <v>0.01</v>
      </c>
      <c r="L388" s="84">
        <f t="shared" si="5"/>
        <v>387</v>
      </c>
      <c r="M388" s="85" t="s">
        <v>181</v>
      </c>
    </row>
    <row r="389" ht="22.5" customHeight="1">
      <c r="A389" s="83">
        <v>46189.0</v>
      </c>
      <c r="B389" s="84" t="str">
        <f t="shared" si="1"/>
        <v>Jun 2026</v>
      </c>
      <c r="C389" s="84">
        <f t="shared" si="2"/>
        <v>25</v>
      </c>
      <c r="D389" s="85" t="s">
        <v>159</v>
      </c>
      <c r="E389" s="85" t="s">
        <v>165</v>
      </c>
      <c r="F389" s="86" t="s">
        <v>189</v>
      </c>
      <c r="G389" s="86" t="s">
        <v>189</v>
      </c>
      <c r="H389" s="88">
        <f t="shared" si="3"/>
        <v>0.11</v>
      </c>
      <c r="I389" s="89">
        <v>0.1</v>
      </c>
      <c r="J389" s="130"/>
      <c r="K389" s="89">
        <f t="shared" si="4"/>
        <v>0.01</v>
      </c>
      <c r="L389" s="84">
        <f t="shared" si="5"/>
        <v>388</v>
      </c>
      <c r="M389" s="85" t="s">
        <v>181</v>
      </c>
    </row>
    <row r="390" ht="22.5" customHeight="1">
      <c r="A390" s="83">
        <v>46189.0</v>
      </c>
      <c r="B390" s="84" t="str">
        <f t="shared" si="1"/>
        <v>Jun 2026</v>
      </c>
      <c r="C390" s="84">
        <f t="shared" si="2"/>
        <v>25</v>
      </c>
      <c r="D390" s="85" t="s">
        <v>159</v>
      </c>
      <c r="E390" s="85" t="s">
        <v>165</v>
      </c>
      <c r="F390" s="86" t="s">
        <v>244</v>
      </c>
      <c r="G390" s="87" t="s">
        <v>206</v>
      </c>
      <c r="H390" s="88">
        <f t="shared" si="3"/>
        <v>0.11</v>
      </c>
      <c r="I390" s="89">
        <v>0.1</v>
      </c>
      <c r="J390" s="130"/>
      <c r="K390" s="89">
        <f t="shared" si="4"/>
        <v>0.01</v>
      </c>
      <c r="L390" s="84">
        <f t="shared" si="5"/>
        <v>389</v>
      </c>
      <c r="M390" s="85" t="s">
        <v>181</v>
      </c>
    </row>
    <row r="391" ht="22.5" customHeight="1">
      <c r="A391" s="83">
        <v>46189.0</v>
      </c>
      <c r="B391" s="84" t="str">
        <f t="shared" si="1"/>
        <v>Jun 2026</v>
      </c>
      <c r="C391" s="84">
        <f t="shared" si="2"/>
        <v>25</v>
      </c>
      <c r="D391" s="85" t="s">
        <v>159</v>
      </c>
      <c r="E391" s="85" t="s">
        <v>165</v>
      </c>
      <c r="F391" s="86" t="s">
        <v>245</v>
      </c>
      <c r="G391" s="86" t="s">
        <v>228</v>
      </c>
      <c r="H391" s="88">
        <f t="shared" si="3"/>
        <v>0.11</v>
      </c>
      <c r="I391" s="89">
        <v>0.1</v>
      </c>
      <c r="J391" s="130"/>
      <c r="K391" s="89">
        <f t="shared" si="4"/>
        <v>0.01</v>
      </c>
      <c r="L391" s="84">
        <f t="shared" si="5"/>
        <v>390</v>
      </c>
      <c r="M391" s="85" t="s">
        <v>181</v>
      </c>
    </row>
    <row r="392" ht="22.5" customHeight="1">
      <c r="A392" s="83">
        <v>46189.0</v>
      </c>
      <c r="B392" s="84" t="str">
        <f t="shared" si="1"/>
        <v>Jun 2026</v>
      </c>
      <c r="C392" s="84">
        <f t="shared" si="2"/>
        <v>25</v>
      </c>
      <c r="D392" s="85" t="s">
        <v>159</v>
      </c>
      <c r="E392" s="85" t="s">
        <v>165</v>
      </c>
      <c r="F392" s="86" t="s">
        <v>236</v>
      </c>
      <c r="G392" s="87" t="s">
        <v>170</v>
      </c>
      <c r="H392" s="88">
        <f t="shared" si="3"/>
        <v>0.11</v>
      </c>
      <c r="I392" s="89">
        <v>0.1</v>
      </c>
      <c r="J392" s="130"/>
      <c r="K392" s="89">
        <f t="shared" si="4"/>
        <v>0.01</v>
      </c>
      <c r="L392" s="84">
        <f t="shared" si="5"/>
        <v>391</v>
      </c>
      <c r="M392" s="85" t="s">
        <v>133</v>
      </c>
    </row>
    <row r="393" ht="22.5" customHeight="1">
      <c r="A393" s="83">
        <v>46189.0</v>
      </c>
      <c r="B393" s="84" t="str">
        <f t="shared" si="1"/>
        <v>Jun 2026</v>
      </c>
      <c r="C393" s="84">
        <f t="shared" si="2"/>
        <v>25</v>
      </c>
      <c r="D393" s="85" t="s">
        <v>159</v>
      </c>
      <c r="E393" s="85" t="s">
        <v>165</v>
      </c>
      <c r="F393" s="86" t="s">
        <v>172</v>
      </c>
      <c r="G393" s="87" t="s">
        <v>62</v>
      </c>
      <c r="H393" s="88">
        <f t="shared" si="3"/>
        <v>0.11</v>
      </c>
      <c r="I393" s="89">
        <v>0.1</v>
      </c>
      <c r="J393" s="130"/>
      <c r="K393" s="89">
        <f t="shared" si="4"/>
        <v>0.01</v>
      </c>
      <c r="L393" s="84">
        <f t="shared" si="5"/>
        <v>392</v>
      </c>
      <c r="M393" s="85" t="s">
        <v>133</v>
      </c>
    </row>
    <row r="394" ht="22.5" customHeight="1">
      <c r="A394" s="83">
        <v>46189.0</v>
      </c>
      <c r="B394" s="84" t="str">
        <f t="shared" si="1"/>
        <v>Jun 2026</v>
      </c>
      <c r="C394" s="84">
        <f t="shared" si="2"/>
        <v>25</v>
      </c>
      <c r="D394" s="85" t="s">
        <v>159</v>
      </c>
      <c r="E394" s="85" t="s">
        <v>165</v>
      </c>
      <c r="F394" s="86" t="s">
        <v>235</v>
      </c>
      <c r="G394" s="87" t="s">
        <v>214</v>
      </c>
      <c r="H394" s="88">
        <f t="shared" si="3"/>
        <v>0.11</v>
      </c>
      <c r="I394" s="89">
        <v>0.1</v>
      </c>
      <c r="J394" s="130"/>
      <c r="K394" s="89">
        <f t="shared" si="4"/>
        <v>0.01</v>
      </c>
      <c r="L394" s="84">
        <f t="shared" si="5"/>
        <v>393</v>
      </c>
      <c r="M394" s="85" t="s">
        <v>181</v>
      </c>
    </row>
    <row r="395" ht="22.5" customHeight="1">
      <c r="A395" s="83">
        <v>46189.0</v>
      </c>
      <c r="B395" s="84" t="str">
        <f t="shared" si="1"/>
        <v>Jun 2026</v>
      </c>
      <c r="C395" s="84">
        <f t="shared" si="2"/>
        <v>25</v>
      </c>
      <c r="D395" s="85" t="s">
        <v>159</v>
      </c>
      <c r="E395" s="85" t="s">
        <v>165</v>
      </c>
      <c r="F395" s="86" t="s">
        <v>241</v>
      </c>
      <c r="G395" s="87" t="s">
        <v>188</v>
      </c>
      <c r="H395" s="88">
        <f t="shared" si="3"/>
        <v>0.11</v>
      </c>
      <c r="I395" s="89">
        <v>0.1</v>
      </c>
      <c r="J395" s="130"/>
      <c r="K395" s="89">
        <f t="shared" si="4"/>
        <v>0.01</v>
      </c>
      <c r="L395" s="84">
        <f t="shared" si="5"/>
        <v>394</v>
      </c>
      <c r="M395" s="85" t="s">
        <v>181</v>
      </c>
    </row>
    <row r="396" ht="22.5" customHeight="1">
      <c r="A396" s="83">
        <v>46189.0</v>
      </c>
      <c r="B396" s="84" t="str">
        <f t="shared" si="1"/>
        <v>Jun 2026</v>
      </c>
      <c r="C396" s="84">
        <f t="shared" si="2"/>
        <v>25</v>
      </c>
      <c r="D396" s="85" t="s">
        <v>159</v>
      </c>
      <c r="E396" s="85" t="s">
        <v>165</v>
      </c>
      <c r="F396" s="86" t="s">
        <v>242</v>
      </c>
      <c r="G396" s="87" t="s">
        <v>191</v>
      </c>
      <c r="H396" s="88">
        <f t="shared" si="3"/>
        <v>0.11</v>
      </c>
      <c r="I396" s="89">
        <v>0.1</v>
      </c>
      <c r="J396" s="130"/>
      <c r="K396" s="89">
        <f t="shared" si="4"/>
        <v>0.01</v>
      </c>
      <c r="L396" s="84">
        <f t="shared" si="5"/>
        <v>395</v>
      </c>
      <c r="M396" s="85" t="s">
        <v>181</v>
      </c>
    </row>
    <row r="397" ht="22.5" customHeight="1">
      <c r="A397" s="83">
        <v>46189.0</v>
      </c>
      <c r="B397" s="84" t="str">
        <f t="shared" si="1"/>
        <v>Jun 2026</v>
      </c>
      <c r="C397" s="84">
        <f t="shared" si="2"/>
        <v>25</v>
      </c>
      <c r="D397" s="85" t="s">
        <v>159</v>
      </c>
      <c r="E397" s="85" t="s">
        <v>165</v>
      </c>
      <c r="F397" s="86" t="s">
        <v>246</v>
      </c>
      <c r="G397" s="87" t="s">
        <v>185</v>
      </c>
      <c r="H397" s="88">
        <f t="shared" si="3"/>
        <v>0.11</v>
      </c>
      <c r="I397" s="89">
        <v>0.1</v>
      </c>
      <c r="J397" s="130"/>
      <c r="K397" s="89">
        <f t="shared" si="4"/>
        <v>0.01</v>
      </c>
      <c r="L397" s="84">
        <f t="shared" si="5"/>
        <v>396</v>
      </c>
      <c r="M397" s="85" t="s">
        <v>181</v>
      </c>
    </row>
    <row r="398" ht="22.5" customHeight="1">
      <c r="A398" s="83">
        <v>46189.0</v>
      </c>
      <c r="B398" s="84" t="str">
        <f t="shared" si="1"/>
        <v>Jun 2026</v>
      </c>
      <c r="C398" s="84">
        <f t="shared" si="2"/>
        <v>25</v>
      </c>
      <c r="D398" s="85" t="s">
        <v>129</v>
      </c>
      <c r="E398" s="85" t="s">
        <v>165</v>
      </c>
      <c r="F398" s="86" t="s">
        <v>238</v>
      </c>
      <c r="G398" s="87" t="s">
        <v>226</v>
      </c>
      <c r="H398" s="88">
        <f t="shared" si="3"/>
        <v>1.1</v>
      </c>
      <c r="I398" s="89">
        <v>1.0</v>
      </c>
      <c r="J398" s="130"/>
      <c r="K398" s="89">
        <f t="shared" si="4"/>
        <v>0.1</v>
      </c>
      <c r="L398" s="84">
        <f t="shared" si="5"/>
        <v>397</v>
      </c>
      <c r="M398" s="85" t="s">
        <v>133</v>
      </c>
    </row>
    <row r="399" ht="22.5" customHeight="1">
      <c r="A399" s="83">
        <v>46189.0</v>
      </c>
      <c r="B399" s="84" t="str">
        <f t="shared" si="1"/>
        <v>Jun 2026</v>
      </c>
      <c r="C399" s="84">
        <f t="shared" si="2"/>
        <v>25</v>
      </c>
      <c r="D399" s="85" t="s">
        <v>129</v>
      </c>
      <c r="E399" s="85" t="s">
        <v>167</v>
      </c>
      <c r="F399" s="86" t="s">
        <v>238</v>
      </c>
      <c r="G399" s="87" t="s">
        <v>226</v>
      </c>
      <c r="H399" s="88">
        <f t="shared" si="3"/>
        <v>1.1</v>
      </c>
      <c r="I399" s="89">
        <v>1.0</v>
      </c>
      <c r="J399" s="130"/>
      <c r="K399" s="89">
        <f t="shared" si="4"/>
        <v>0.1</v>
      </c>
      <c r="L399" s="84">
        <f t="shared" si="5"/>
        <v>398</v>
      </c>
      <c r="M399" s="85" t="s">
        <v>133</v>
      </c>
    </row>
    <row r="400" ht="22.5" customHeight="1">
      <c r="A400" s="83">
        <v>46189.0</v>
      </c>
      <c r="B400" s="84" t="str">
        <f t="shared" si="1"/>
        <v>Jun 2026</v>
      </c>
      <c r="C400" s="84">
        <f t="shared" si="2"/>
        <v>25</v>
      </c>
      <c r="D400" s="85" t="s">
        <v>159</v>
      </c>
      <c r="E400" s="85" t="s">
        <v>167</v>
      </c>
      <c r="F400" s="86" t="s">
        <v>171</v>
      </c>
      <c r="G400" s="87" t="s">
        <v>66</v>
      </c>
      <c r="H400" s="88">
        <f t="shared" si="3"/>
        <v>0.11</v>
      </c>
      <c r="I400" s="89">
        <v>0.1</v>
      </c>
      <c r="J400" s="130"/>
      <c r="K400" s="89">
        <f t="shared" si="4"/>
        <v>0.01</v>
      </c>
      <c r="L400" s="84">
        <f t="shared" si="5"/>
        <v>399</v>
      </c>
      <c r="M400" s="85" t="s">
        <v>181</v>
      </c>
    </row>
    <row r="401" ht="22.5" customHeight="1">
      <c r="A401" s="83">
        <v>46189.0</v>
      </c>
      <c r="B401" s="84" t="str">
        <f t="shared" si="1"/>
        <v>Jun 2026</v>
      </c>
      <c r="C401" s="84">
        <f t="shared" si="2"/>
        <v>25</v>
      </c>
      <c r="D401" s="85" t="s">
        <v>159</v>
      </c>
      <c r="E401" s="85" t="s">
        <v>167</v>
      </c>
      <c r="F401" s="86" t="s">
        <v>236</v>
      </c>
      <c r="G401" s="86" t="s">
        <v>192</v>
      </c>
      <c r="H401" s="88">
        <f t="shared" si="3"/>
        <v>0.11</v>
      </c>
      <c r="I401" s="89">
        <v>0.1</v>
      </c>
      <c r="J401" s="130"/>
      <c r="K401" s="89">
        <f t="shared" si="4"/>
        <v>0.01</v>
      </c>
      <c r="L401" s="84">
        <f t="shared" si="5"/>
        <v>400</v>
      </c>
      <c r="M401" s="85" t="s">
        <v>181</v>
      </c>
    </row>
    <row r="402" ht="22.5" customHeight="1">
      <c r="A402" s="83">
        <v>46189.0</v>
      </c>
      <c r="B402" s="84" t="str">
        <f t="shared" si="1"/>
        <v>Jun 2026</v>
      </c>
      <c r="C402" s="84">
        <f t="shared" si="2"/>
        <v>25</v>
      </c>
      <c r="D402" s="85" t="s">
        <v>159</v>
      </c>
      <c r="E402" s="85" t="s">
        <v>167</v>
      </c>
      <c r="F402" s="86" t="s">
        <v>239</v>
      </c>
      <c r="G402" s="86" t="s">
        <v>207</v>
      </c>
      <c r="H402" s="88">
        <f t="shared" si="3"/>
        <v>0.11</v>
      </c>
      <c r="I402" s="89">
        <v>0.1</v>
      </c>
      <c r="J402" s="130"/>
      <c r="K402" s="89">
        <f t="shared" si="4"/>
        <v>0.01</v>
      </c>
      <c r="L402" s="84">
        <f t="shared" si="5"/>
        <v>401</v>
      </c>
      <c r="M402" s="85" t="s">
        <v>181</v>
      </c>
    </row>
    <row r="403" ht="22.5" customHeight="1">
      <c r="A403" s="83">
        <v>46189.0</v>
      </c>
      <c r="B403" s="84" t="str">
        <f t="shared" si="1"/>
        <v>Jun 2026</v>
      </c>
      <c r="C403" s="84">
        <f t="shared" si="2"/>
        <v>25</v>
      </c>
      <c r="D403" s="85" t="s">
        <v>159</v>
      </c>
      <c r="E403" s="85" t="s">
        <v>167</v>
      </c>
      <c r="F403" s="86" t="s">
        <v>173</v>
      </c>
      <c r="G403" s="87" t="s">
        <v>174</v>
      </c>
      <c r="H403" s="88">
        <f t="shared" si="3"/>
        <v>0.11</v>
      </c>
      <c r="I403" s="89">
        <v>0.1</v>
      </c>
      <c r="J403" s="130"/>
      <c r="K403" s="89">
        <f t="shared" si="4"/>
        <v>0.01</v>
      </c>
      <c r="L403" s="84">
        <f t="shared" si="5"/>
        <v>402</v>
      </c>
      <c r="M403" s="85" t="s">
        <v>181</v>
      </c>
    </row>
    <row r="404" ht="22.5" customHeight="1">
      <c r="A404" s="83">
        <v>46189.0</v>
      </c>
      <c r="B404" s="84" t="str">
        <f t="shared" si="1"/>
        <v>Jun 2026</v>
      </c>
      <c r="C404" s="84">
        <f t="shared" si="2"/>
        <v>25</v>
      </c>
      <c r="D404" s="85" t="s">
        <v>159</v>
      </c>
      <c r="E404" s="85" t="s">
        <v>167</v>
      </c>
      <c r="F404" s="86" t="s">
        <v>229</v>
      </c>
      <c r="G404" s="86" t="s">
        <v>213</v>
      </c>
      <c r="H404" s="88">
        <f t="shared" si="3"/>
        <v>0.11</v>
      </c>
      <c r="I404" s="89">
        <v>0.1</v>
      </c>
      <c r="J404" s="130"/>
      <c r="K404" s="89">
        <f t="shared" si="4"/>
        <v>0.01</v>
      </c>
      <c r="L404" s="84">
        <f t="shared" si="5"/>
        <v>403</v>
      </c>
      <c r="M404" s="85" t="s">
        <v>133</v>
      </c>
    </row>
    <row r="405" ht="22.5" customHeight="1">
      <c r="A405" s="83">
        <v>46189.0</v>
      </c>
      <c r="B405" s="84" t="str">
        <f t="shared" si="1"/>
        <v>Jun 2026</v>
      </c>
      <c r="C405" s="84">
        <f t="shared" si="2"/>
        <v>25</v>
      </c>
      <c r="D405" s="85" t="s">
        <v>159</v>
      </c>
      <c r="E405" s="85" t="s">
        <v>167</v>
      </c>
      <c r="F405" s="86" t="s">
        <v>235</v>
      </c>
      <c r="G405" s="87" t="s">
        <v>214</v>
      </c>
      <c r="H405" s="88">
        <f t="shared" si="3"/>
        <v>0.11</v>
      </c>
      <c r="I405" s="89">
        <v>0.1</v>
      </c>
      <c r="J405" s="130"/>
      <c r="K405" s="89">
        <f t="shared" si="4"/>
        <v>0.01</v>
      </c>
      <c r="L405" s="84">
        <f t="shared" si="5"/>
        <v>404</v>
      </c>
      <c r="M405" s="85" t="s">
        <v>133</v>
      </c>
    </row>
    <row r="406" ht="22.5" customHeight="1">
      <c r="A406" s="83">
        <v>46189.0</v>
      </c>
      <c r="B406" s="84" t="str">
        <f t="shared" si="1"/>
        <v>Jun 2026</v>
      </c>
      <c r="C406" s="84">
        <f t="shared" si="2"/>
        <v>25</v>
      </c>
      <c r="D406" s="85" t="s">
        <v>129</v>
      </c>
      <c r="E406" s="85" t="s">
        <v>167</v>
      </c>
      <c r="F406" s="86" t="s">
        <v>238</v>
      </c>
      <c r="G406" s="87" t="s">
        <v>226</v>
      </c>
      <c r="H406" s="88">
        <f t="shared" si="3"/>
        <v>1.1</v>
      </c>
      <c r="I406" s="89">
        <v>1.0</v>
      </c>
      <c r="J406" s="130"/>
      <c r="K406" s="89">
        <f t="shared" si="4"/>
        <v>0.1</v>
      </c>
      <c r="L406" s="84">
        <f t="shared" si="5"/>
        <v>405</v>
      </c>
      <c r="M406" s="85" t="s">
        <v>133</v>
      </c>
    </row>
    <row r="407" ht="22.5" customHeight="1">
      <c r="A407" s="83">
        <v>46189.0</v>
      </c>
      <c r="B407" s="84" t="str">
        <f t="shared" si="1"/>
        <v>Jun 2026</v>
      </c>
      <c r="C407" s="84">
        <f t="shared" si="2"/>
        <v>25</v>
      </c>
      <c r="D407" s="85" t="s">
        <v>159</v>
      </c>
      <c r="E407" s="85" t="s">
        <v>167</v>
      </c>
      <c r="F407" s="86" t="s">
        <v>237</v>
      </c>
      <c r="G407" s="87" t="s">
        <v>212</v>
      </c>
      <c r="H407" s="88">
        <f t="shared" si="3"/>
        <v>0.11</v>
      </c>
      <c r="I407" s="89">
        <v>0.1</v>
      </c>
      <c r="J407" s="130"/>
      <c r="K407" s="89">
        <f t="shared" si="4"/>
        <v>0.01</v>
      </c>
      <c r="L407" s="84">
        <f t="shared" si="5"/>
        <v>406</v>
      </c>
      <c r="M407" s="85" t="s">
        <v>133</v>
      </c>
    </row>
    <row r="408" ht="22.5" customHeight="1">
      <c r="A408" s="83">
        <v>46189.0</v>
      </c>
      <c r="B408" s="84" t="str">
        <f t="shared" si="1"/>
        <v>Jun 2026</v>
      </c>
      <c r="C408" s="84">
        <f t="shared" si="2"/>
        <v>25</v>
      </c>
      <c r="D408" s="85" t="s">
        <v>129</v>
      </c>
      <c r="E408" s="85" t="s">
        <v>130</v>
      </c>
      <c r="F408" s="86" t="s">
        <v>238</v>
      </c>
      <c r="G408" s="87" t="s">
        <v>226</v>
      </c>
      <c r="H408" s="88">
        <f t="shared" si="3"/>
        <v>1.1</v>
      </c>
      <c r="I408" s="89">
        <v>1.0</v>
      </c>
      <c r="J408" s="130"/>
      <c r="K408" s="89">
        <f t="shared" si="4"/>
        <v>0.1</v>
      </c>
      <c r="L408" s="84">
        <f t="shared" si="5"/>
        <v>407</v>
      </c>
      <c r="M408" s="85" t="s">
        <v>133</v>
      </c>
    </row>
    <row r="409" ht="22.5" customHeight="1">
      <c r="A409" s="83">
        <v>46189.0</v>
      </c>
      <c r="B409" s="84" t="str">
        <f t="shared" si="1"/>
        <v>Jun 2026</v>
      </c>
      <c r="C409" s="84">
        <f t="shared" si="2"/>
        <v>25</v>
      </c>
      <c r="D409" s="85" t="s">
        <v>159</v>
      </c>
      <c r="E409" s="85" t="s">
        <v>130</v>
      </c>
      <c r="F409" s="86" t="s">
        <v>236</v>
      </c>
      <c r="G409" s="86" t="s">
        <v>192</v>
      </c>
      <c r="H409" s="88">
        <f t="shared" si="3"/>
        <v>0.11</v>
      </c>
      <c r="I409" s="89">
        <v>0.1</v>
      </c>
      <c r="J409" s="130"/>
      <c r="K409" s="89">
        <f t="shared" si="4"/>
        <v>0.01</v>
      </c>
      <c r="L409" s="84">
        <f t="shared" si="5"/>
        <v>408</v>
      </c>
      <c r="M409" s="85" t="s">
        <v>181</v>
      </c>
    </row>
    <row r="410" ht="22.5" customHeight="1">
      <c r="A410" s="83">
        <v>46189.0</v>
      </c>
      <c r="B410" s="84" t="str">
        <f t="shared" si="1"/>
        <v>Jun 2026</v>
      </c>
      <c r="C410" s="84">
        <f t="shared" si="2"/>
        <v>25</v>
      </c>
      <c r="D410" s="85" t="s">
        <v>159</v>
      </c>
      <c r="E410" s="85" t="s">
        <v>130</v>
      </c>
      <c r="F410" s="86" t="s">
        <v>239</v>
      </c>
      <c r="G410" s="86" t="s">
        <v>207</v>
      </c>
      <c r="H410" s="88">
        <f t="shared" si="3"/>
        <v>0.11</v>
      </c>
      <c r="I410" s="89">
        <v>0.1</v>
      </c>
      <c r="J410" s="130"/>
      <c r="K410" s="89">
        <f t="shared" si="4"/>
        <v>0.01</v>
      </c>
      <c r="L410" s="84">
        <f t="shared" si="5"/>
        <v>409</v>
      </c>
      <c r="M410" s="85" t="s">
        <v>181</v>
      </c>
    </row>
    <row r="411" ht="22.5" customHeight="1">
      <c r="A411" s="83">
        <v>46189.0</v>
      </c>
      <c r="B411" s="84" t="str">
        <f t="shared" si="1"/>
        <v>Jun 2026</v>
      </c>
      <c r="C411" s="84">
        <f t="shared" si="2"/>
        <v>25</v>
      </c>
      <c r="D411" s="85" t="s">
        <v>129</v>
      </c>
      <c r="E411" s="85" t="s">
        <v>130</v>
      </c>
      <c r="F411" s="86" t="s">
        <v>238</v>
      </c>
      <c r="G411" s="87" t="s">
        <v>226</v>
      </c>
      <c r="H411" s="88">
        <f t="shared" si="3"/>
        <v>1.1</v>
      </c>
      <c r="I411" s="89">
        <v>1.0</v>
      </c>
      <c r="J411" s="130"/>
      <c r="K411" s="89">
        <f t="shared" si="4"/>
        <v>0.1</v>
      </c>
      <c r="L411" s="84">
        <f t="shared" si="5"/>
        <v>410</v>
      </c>
      <c r="M411" s="85" t="s">
        <v>133</v>
      </c>
    </row>
    <row r="412" ht="22.5" customHeight="1">
      <c r="A412" s="83">
        <v>46189.0</v>
      </c>
      <c r="B412" s="84" t="str">
        <f t="shared" si="1"/>
        <v>Jun 2026</v>
      </c>
      <c r="C412" s="84">
        <f t="shared" si="2"/>
        <v>25</v>
      </c>
      <c r="D412" s="85" t="s">
        <v>159</v>
      </c>
      <c r="E412" s="85" t="s">
        <v>130</v>
      </c>
      <c r="F412" s="86" t="s">
        <v>246</v>
      </c>
      <c r="G412" s="87" t="s">
        <v>185</v>
      </c>
      <c r="H412" s="88">
        <f t="shared" si="3"/>
        <v>0.11</v>
      </c>
      <c r="I412" s="89">
        <v>0.1</v>
      </c>
      <c r="J412" s="130"/>
      <c r="K412" s="89">
        <f t="shared" si="4"/>
        <v>0.01</v>
      </c>
      <c r="L412" s="84">
        <f t="shared" si="5"/>
        <v>411</v>
      </c>
      <c r="M412" s="85" t="s">
        <v>181</v>
      </c>
    </row>
    <row r="413" ht="22.5" customHeight="1">
      <c r="A413" s="83">
        <v>46189.0</v>
      </c>
      <c r="B413" s="84" t="str">
        <f t="shared" si="1"/>
        <v>Jun 2026</v>
      </c>
      <c r="C413" s="84">
        <f t="shared" si="2"/>
        <v>25</v>
      </c>
      <c r="D413" s="85" t="s">
        <v>159</v>
      </c>
      <c r="E413" s="85" t="s">
        <v>130</v>
      </c>
      <c r="F413" s="86" t="s">
        <v>241</v>
      </c>
      <c r="G413" s="87" t="s">
        <v>188</v>
      </c>
      <c r="H413" s="88">
        <f t="shared" si="3"/>
        <v>0.11</v>
      </c>
      <c r="I413" s="89">
        <v>0.1</v>
      </c>
      <c r="J413" s="130"/>
      <c r="K413" s="89">
        <f t="shared" si="4"/>
        <v>0.01</v>
      </c>
      <c r="L413" s="84">
        <f t="shared" si="5"/>
        <v>412</v>
      </c>
      <c r="M413" s="85" t="s">
        <v>181</v>
      </c>
    </row>
    <row r="414" ht="22.5" customHeight="1">
      <c r="A414" s="83">
        <v>46189.0</v>
      </c>
      <c r="B414" s="84" t="str">
        <f t="shared" si="1"/>
        <v>Jun 2026</v>
      </c>
      <c r="C414" s="84">
        <f t="shared" si="2"/>
        <v>25</v>
      </c>
      <c r="D414" s="85" t="s">
        <v>159</v>
      </c>
      <c r="E414" s="85" t="s">
        <v>130</v>
      </c>
      <c r="F414" s="86" t="s">
        <v>247</v>
      </c>
      <c r="G414" s="87" t="s">
        <v>183</v>
      </c>
      <c r="H414" s="88">
        <f t="shared" si="3"/>
        <v>0.11</v>
      </c>
      <c r="I414" s="89">
        <v>0.1</v>
      </c>
      <c r="J414" s="130"/>
      <c r="K414" s="89">
        <f t="shared" si="4"/>
        <v>0.01</v>
      </c>
      <c r="L414" s="84">
        <f t="shared" si="5"/>
        <v>413</v>
      </c>
      <c r="M414" s="85" t="s">
        <v>181</v>
      </c>
    </row>
    <row r="415" ht="22.5" customHeight="1">
      <c r="A415" s="83">
        <v>46189.0</v>
      </c>
      <c r="B415" s="84" t="str">
        <f t="shared" si="1"/>
        <v>Jun 2026</v>
      </c>
      <c r="C415" s="84">
        <f t="shared" si="2"/>
        <v>25</v>
      </c>
      <c r="D415" s="85" t="s">
        <v>129</v>
      </c>
      <c r="E415" s="85" t="s">
        <v>130</v>
      </c>
      <c r="F415" s="86" t="s">
        <v>238</v>
      </c>
      <c r="G415" s="87" t="s">
        <v>226</v>
      </c>
      <c r="H415" s="88">
        <f t="shared" si="3"/>
        <v>1.1</v>
      </c>
      <c r="I415" s="89">
        <v>1.0</v>
      </c>
      <c r="J415" s="130"/>
      <c r="K415" s="89">
        <f t="shared" si="4"/>
        <v>0.1</v>
      </c>
      <c r="L415" s="84">
        <f t="shared" si="5"/>
        <v>414</v>
      </c>
      <c r="M415" s="85" t="s">
        <v>133</v>
      </c>
    </row>
    <row r="416" ht="22.5" customHeight="1">
      <c r="A416" s="83">
        <v>46189.0</v>
      </c>
      <c r="B416" s="84" t="str">
        <f t="shared" si="1"/>
        <v>Jun 2026</v>
      </c>
      <c r="C416" s="84">
        <f t="shared" si="2"/>
        <v>25</v>
      </c>
      <c r="D416" s="85" t="s">
        <v>159</v>
      </c>
      <c r="E416" s="85" t="s">
        <v>130</v>
      </c>
      <c r="F416" s="86" t="s">
        <v>245</v>
      </c>
      <c r="G416" s="86" t="s">
        <v>228</v>
      </c>
      <c r="H416" s="88">
        <f t="shared" si="3"/>
        <v>0.11</v>
      </c>
      <c r="I416" s="89">
        <v>0.1</v>
      </c>
      <c r="J416" s="130"/>
      <c r="K416" s="89">
        <f t="shared" si="4"/>
        <v>0.01</v>
      </c>
      <c r="L416" s="84">
        <f t="shared" si="5"/>
        <v>415</v>
      </c>
      <c r="M416" s="85" t="s">
        <v>181</v>
      </c>
    </row>
    <row r="417" ht="22.5" customHeight="1">
      <c r="A417" s="83">
        <v>46189.0</v>
      </c>
      <c r="B417" s="84" t="str">
        <f t="shared" si="1"/>
        <v>Jun 2026</v>
      </c>
      <c r="C417" s="84">
        <f t="shared" si="2"/>
        <v>25</v>
      </c>
      <c r="D417" s="85" t="s">
        <v>159</v>
      </c>
      <c r="E417" s="85" t="s">
        <v>130</v>
      </c>
      <c r="F417" s="86" t="s">
        <v>234</v>
      </c>
      <c r="G417" s="87" t="s">
        <v>211</v>
      </c>
      <c r="H417" s="88">
        <f t="shared" si="3"/>
        <v>0.11</v>
      </c>
      <c r="I417" s="89">
        <v>0.1</v>
      </c>
      <c r="J417" s="130"/>
      <c r="K417" s="89">
        <f t="shared" si="4"/>
        <v>0.01</v>
      </c>
      <c r="L417" s="84">
        <f t="shared" si="5"/>
        <v>416</v>
      </c>
      <c r="M417" s="85" t="s">
        <v>181</v>
      </c>
    </row>
    <row r="418" ht="22.5" customHeight="1">
      <c r="A418" s="83">
        <v>46189.0</v>
      </c>
      <c r="B418" s="84" t="str">
        <f t="shared" si="1"/>
        <v>Jun 2026</v>
      </c>
      <c r="C418" s="84">
        <f t="shared" si="2"/>
        <v>25</v>
      </c>
      <c r="D418" s="85" t="s">
        <v>159</v>
      </c>
      <c r="E418" s="85" t="s">
        <v>130</v>
      </c>
      <c r="F418" s="86" t="s">
        <v>173</v>
      </c>
      <c r="G418" s="87" t="s">
        <v>174</v>
      </c>
      <c r="H418" s="88">
        <f t="shared" si="3"/>
        <v>0.11</v>
      </c>
      <c r="I418" s="89">
        <v>0.1</v>
      </c>
      <c r="J418" s="130"/>
      <c r="K418" s="89">
        <f t="shared" si="4"/>
        <v>0.01</v>
      </c>
      <c r="L418" s="84">
        <f t="shared" si="5"/>
        <v>417</v>
      </c>
      <c r="M418" s="85" t="s">
        <v>181</v>
      </c>
    </row>
    <row r="419" ht="22.5" customHeight="1">
      <c r="A419" s="83">
        <v>46189.0</v>
      </c>
      <c r="B419" s="84" t="str">
        <f t="shared" si="1"/>
        <v>Jun 2026</v>
      </c>
      <c r="C419" s="84">
        <f t="shared" si="2"/>
        <v>25</v>
      </c>
      <c r="D419" s="85" t="s">
        <v>159</v>
      </c>
      <c r="E419" s="85" t="s">
        <v>130</v>
      </c>
      <c r="F419" s="86" t="s">
        <v>243</v>
      </c>
      <c r="G419" s="87" t="s">
        <v>182</v>
      </c>
      <c r="H419" s="88">
        <f t="shared" si="3"/>
        <v>0.11</v>
      </c>
      <c r="I419" s="89">
        <v>0.1</v>
      </c>
      <c r="J419" s="130"/>
      <c r="K419" s="89">
        <f t="shared" si="4"/>
        <v>0.01</v>
      </c>
      <c r="L419" s="84">
        <f t="shared" si="5"/>
        <v>418</v>
      </c>
      <c r="M419" s="85" t="s">
        <v>181</v>
      </c>
    </row>
    <row r="420" ht="22.5" customHeight="1">
      <c r="A420" s="83">
        <v>46189.0</v>
      </c>
      <c r="B420" s="84" t="str">
        <f t="shared" si="1"/>
        <v>Jun 2026</v>
      </c>
      <c r="C420" s="84">
        <f t="shared" si="2"/>
        <v>25</v>
      </c>
      <c r="D420" s="85" t="s">
        <v>159</v>
      </c>
      <c r="E420" s="85" t="s">
        <v>130</v>
      </c>
      <c r="F420" s="86" t="s">
        <v>189</v>
      </c>
      <c r="G420" s="86" t="s">
        <v>189</v>
      </c>
      <c r="H420" s="88">
        <f t="shared" si="3"/>
        <v>0.11</v>
      </c>
      <c r="I420" s="89">
        <v>0.1</v>
      </c>
      <c r="J420" s="130"/>
      <c r="K420" s="89">
        <f t="shared" si="4"/>
        <v>0.01</v>
      </c>
      <c r="L420" s="84">
        <f t="shared" si="5"/>
        <v>419</v>
      </c>
      <c r="M420" s="85" t="s">
        <v>181</v>
      </c>
    </row>
    <row r="421" ht="22.5" customHeight="1">
      <c r="A421" s="83">
        <v>46190.0</v>
      </c>
      <c r="B421" s="84" t="str">
        <f t="shared" si="1"/>
        <v>Jun 2026</v>
      </c>
      <c r="C421" s="84">
        <f t="shared" si="2"/>
        <v>25</v>
      </c>
      <c r="D421" s="85" t="s">
        <v>159</v>
      </c>
      <c r="E421" s="85" t="s">
        <v>164</v>
      </c>
      <c r="F421" s="86" t="s">
        <v>172</v>
      </c>
      <c r="G421" s="87" t="s">
        <v>62</v>
      </c>
      <c r="H421" s="88">
        <f t="shared" si="3"/>
        <v>0.11</v>
      </c>
      <c r="I421" s="89">
        <v>0.1</v>
      </c>
      <c r="J421" s="89"/>
      <c r="K421" s="89">
        <f t="shared" si="4"/>
        <v>0.01</v>
      </c>
      <c r="L421" s="84">
        <f t="shared" si="5"/>
        <v>420</v>
      </c>
      <c r="M421" s="85" t="s">
        <v>181</v>
      </c>
    </row>
    <row r="422" ht="22.5" customHeight="1">
      <c r="A422" s="83">
        <v>46190.0</v>
      </c>
      <c r="B422" s="84" t="str">
        <f t="shared" si="1"/>
        <v>Jun 2026</v>
      </c>
      <c r="C422" s="84">
        <f t="shared" si="2"/>
        <v>25</v>
      </c>
      <c r="D422" s="85" t="s">
        <v>159</v>
      </c>
      <c r="E422" s="85" t="s">
        <v>164</v>
      </c>
      <c r="F422" s="86" t="s">
        <v>235</v>
      </c>
      <c r="G422" s="87" t="s">
        <v>214</v>
      </c>
      <c r="H422" s="88">
        <f t="shared" si="3"/>
        <v>0.11</v>
      </c>
      <c r="I422" s="89">
        <v>0.1</v>
      </c>
      <c r="J422" s="89"/>
      <c r="K422" s="89">
        <f t="shared" si="4"/>
        <v>0.01</v>
      </c>
      <c r="L422" s="84">
        <f t="shared" si="5"/>
        <v>421</v>
      </c>
      <c r="M422" s="85" t="s">
        <v>181</v>
      </c>
    </row>
    <row r="423" ht="22.5" customHeight="1">
      <c r="A423" s="83">
        <v>46190.0</v>
      </c>
      <c r="B423" s="84" t="str">
        <f t="shared" si="1"/>
        <v>Jun 2026</v>
      </c>
      <c r="C423" s="84">
        <f t="shared" si="2"/>
        <v>25</v>
      </c>
      <c r="D423" s="85" t="s">
        <v>129</v>
      </c>
      <c r="E423" s="85" t="s">
        <v>164</v>
      </c>
      <c r="F423" s="86" t="s">
        <v>238</v>
      </c>
      <c r="G423" s="87" t="s">
        <v>226</v>
      </c>
      <c r="H423" s="88">
        <f t="shared" si="3"/>
        <v>1.1</v>
      </c>
      <c r="I423" s="89">
        <v>1.0</v>
      </c>
      <c r="J423" s="89"/>
      <c r="K423" s="89">
        <f t="shared" si="4"/>
        <v>0.1</v>
      </c>
      <c r="L423" s="84">
        <f t="shared" si="5"/>
        <v>422</v>
      </c>
      <c r="M423" s="85" t="s">
        <v>133</v>
      </c>
    </row>
    <row r="424" ht="22.5" customHeight="1">
      <c r="A424" s="83">
        <v>46190.0</v>
      </c>
      <c r="B424" s="84" t="str">
        <f t="shared" si="1"/>
        <v>Jun 2026</v>
      </c>
      <c r="C424" s="84">
        <f t="shared" si="2"/>
        <v>25</v>
      </c>
      <c r="D424" s="85" t="s">
        <v>159</v>
      </c>
      <c r="E424" s="85" t="s">
        <v>164</v>
      </c>
      <c r="F424" s="86" t="s">
        <v>237</v>
      </c>
      <c r="G424" s="87" t="s">
        <v>212</v>
      </c>
      <c r="H424" s="88">
        <f t="shared" si="3"/>
        <v>0.11</v>
      </c>
      <c r="I424" s="89">
        <v>0.1</v>
      </c>
      <c r="J424" s="89"/>
      <c r="K424" s="89">
        <f t="shared" si="4"/>
        <v>0.01</v>
      </c>
      <c r="L424" s="84">
        <f t="shared" si="5"/>
        <v>423</v>
      </c>
      <c r="M424" s="85" t="s">
        <v>181</v>
      </c>
    </row>
    <row r="425" ht="22.5" customHeight="1">
      <c r="A425" s="83">
        <v>46190.0</v>
      </c>
      <c r="B425" s="84" t="str">
        <f t="shared" si="1"/>
        <v>Jun 2026</v>
      </c>
      <c r="C425" s="84">
        <f t="shared" si="2"/>
        <v>25</v>
      </c>
      <c r="D425" s="85" t="s">
        <v>129</v>
      </c>
      <c r="E425" s="85" t="s">
        <v>164</v>
      </c>
      <c r="F425" s="86" t="s">
        <v>238</v>
      </c>
      <c r="G425" s="87" t="s">
        <v>226</v>
      </c>
      <c r="H425" s="88">
        <f t="shared" si="3"/>
        <v>1.1</v>
      </c>
      <c r="I425" s="89">
        <v>1.0</v>
      </c>
      <c r="J425" s="89"/>
      <c r="K425" s="89">
        <f t="shared" si="4"/>
        <v>0.1</v>
      </c>
      <c r="L425" s="84">
        <f t="shared" si="5"/>
        <v>424</v>
      </c>
      <c r="M425" s="85" t="s">
        <v>133</v>
      </c>
    </row>
    <row r="426" ht="22.5" customHeight="1">
      <c r="A426" s="83">
        <v>46190.0</v>
      </c>
      <c r="B426" s="84" t="str">
        <f t="shared" si="1"/>
        <v>Jun 2026</v>
      </c>
      <c r="C426" s="84">
        <f t="shared" si="2"/>
        <v>25</v>
      </c>
      <c r="D426" s="85" t="s">
        <v>159</v>
      </c>
      <c r="E426" s="85" t="s">
        <v>164</v>
      </c>
      <c r="F426" s="86" t="s">
        <v>233</v>
      </c>
      <c r="G426" s="87" t="s">
        <v>210</v>
      </c>
      <c r="H426" s="88">
        <f t="shared" si="3"/>
        <v>0.11</v>
      </c>
      <c r="I426" s="89">
        <v>0.1</v>
      </c>
      <c r="J426" s="89"/>
      <c r="K426" s="89">
        <f t="shared" si="4"/>
        <v>0.01</v>
      </c>
      <c r="L426" s="84">
        <f t="shared" si="5"/>
        <v>425</v>
      </c>
      <c r="M426" s="85" t="s">
        <v>181</v>
      </c>
    </row>
    <row r="427" ht="22.5" customHeight="1">
      <c r="A427" s="83">
        <v>46190.0</v>
      </c>
      <c r="B427" s="84" t="str">
        <f t="shared" si="1"/>
        <v>Jun 2026</v>
      </c>
      <c r="C427" s="84">
        <f t="shared" si="2"/>
        <v>25</v>
      </c>
      <c r="D427" s="85" t="s">
        <v>129</v>
      </c>
      <c r="E427" s="85" t="s">
        <v>164</v>
      </c>
      <c r="F427" s="86" t="s">
        <v>238</v>
      </c>
      <c r="G427" s="87" t="s">
        <v>226</v>
      </c>
      <c r="H427" s="88">
        <f t="shared" si="3"/>
        <v>1.1</v>
      </c>
      <c r="I427" s="89">
        <v>1.0</v>
      </c>
      <c r="J427" s="89"/>
      <c r="K427" s="89">
        <f t="shared" si="4"/>
        <v>0.1</v>
      </c>
      <c r="L427" s="84">
        <f t="shared" si="5"/>
        <v>426</v>
      </c>
      <c r="M427" s="85" t="s">
        <v>133</v>
      </c>
    </row>
    <row r="428" ht="22.5" customHeight="1">
      <c r="A428" s="83">
        <v>46190.0</v>
      </c>
      <c r="B428" s="84" t="str">
        <f t="shared" si="1"/>
        <v>Jun 2026</v>
      </c>
      <c r="C428" s="84">
        <f t="shared" si="2"/>
        <v>25</v>
      </c>
      <c r="D428" s="85" t="s">
        <v>159</v>
      </c>
      <c r="E428" s="85" t="s">
        <v>164</v>
      </c>
      <c r="F428" s="86" t="s">
        <v>244</v>
      </c>
      <c r="G428" s="87" t="s">
        <v>206</v>
      </c>
      <c r="H428" s="88">
        <f t="shared" si="3"/>
        <v>0.11</v>
      </c>
      <c r="I428" s="89">
        <v>0.1</v>
      </c>
      <c r="J428" s="89"/>
      <c r="K428" s="89">
        <f t="shared" si="4"/>
        <v>0.01</v>
      </c>
      <c r="L428" s="84">
        <f t="shared" si="5"/>
        <v>427</v>
      </c>
      <c r="M428" s="85" t="s">
        <v>181</v>
      </c>
    </row>
    <row r="429" ht="22.5" customHeight="1">
      <c r="A429" s="83">
        <v>46190.0</v>
      </c>
      <c r="B429" s="84" t="str">
        <f t="shared" si="1"/>
        <v>Jun 2026</v>
      </c>
      <c r="C429" s="84">
        <f t="shared" si="2"/>
        <v>25</v>
      </c>
      <c r="D429" s="85" t="s">
        <v>159</v>
      </c>
      <c r="E429" s="85" t="s">
        <v>164</v>
      </c>
      <c r="F429" s="86" t="s">
        <v>246</v>
      </c>
      <c r="G429" s="87" t="s">
        <v>185</v>
      </c>
      <c r="H429" s="88">
        <f t="shared" si="3"/>
        <v>0.11</v>
      </c>
      <c r="I429" s="89">
        <v>0.1</v>
      </c>
      <c r="J429" s="89"/>
      <c r="K429" s="89">
        <f t="shared" si="4"/>
        <v>0.01</v>
      </c>
      <c r="L429" s="84">
        <f t="shared" si="5"/>
        <v>428</v>
      </c>
      <c r="M429" s="85" t="s">
        <v>181</v>
      </c>
    </row>
    <row r="430" ht="22.5" customHeight="1">
      <c r="A430" s="83">
        <v>46190.0</v>
      </c>
      <c r="B430" s="84" t="str">
        <f t="shared" si="1"/>
        <v>Jun 2026</v>
      </c>
      <c r="C430" s="84">
        <f t="shared" si="2"/>
        <v>25</v>
      </c>
      <c r="D430" s="85" t="s">
        <v>159</v>
      </c>
      <c r="E430" s="85" t="s">
        <v>164</v>
      </c>
      <c r="F430" s="86" t="s">
        <v>235</v>
      </c>
      <c r="G430" s="87" t="s">
        <v>214</v>
      </c>
      <c r="H430" s="88">
        <f t="shared" si="3"/>
        <v>0.11</v>
      </c>
      <c r="I430" s="89">
        <v>0.1</v>
      </c>
      <c r="J430" s="89"/>
      <c r="K430" s="89">
        <f t="shared" si="4"/>
        <v>0.01</v>
      </c>
      <c r="L430" s="84">
        <f t="shared" si="5"/>
        <v>429</v>
      </c>
      <c r="M430" s="85" t="s">
        <v>181</v>
      </c>
    </row>
    <row r="431" ht="22.5" customHeight="1">
      <c r="A431" s="83">
        <v>46190.0</v>
      </c>
      <c r="B431" s="84" t="str">
        <f t="shared" si="1"/>
        <v>Jun 2026</v>
      </c>
      <c r="C431" s="84">
        <f t="shared" si="2"/>
        <v>25</v>
      </c>
      <c r="D431" s="85" t="s">
        <v>159</v>
      </c>
      <c r="E431" s="85" t="s">
        <v>164</v>
      </c>
      <c r="F431" s="86" t="s">
        <v>234</v>
      </c>
      <c r="G431" s="87" t="s">
        <v>211</v>
      </c>
      <c r="H431" s="88">
        <f t="shared" si="3"/>
        <v>0.11</v>
      </c>
      <c r="I431" s="89">
        <v>0.1</v>
      </c>
      <c r="J431" s="89"/>
      <c r="K431" s="89">
        <f t="shared" si="4"/>
        <v>0.01</v>
      </c>
      <c r="L431" s="84">
        <f t="shared" si="5"/>
        <v>430</v>
      </c>
      <c r="M431" s="85" t="s">
        <v>181</v>
      </c>
    </row>
    <row r="432" ht="22.5" customHeight="1">
      <c r="A432" s="83">
        <v>46190.0</v>
      </c>
      <c r="B432" s="84" t="str">
        <f t="shared" si="1"/>
        <v>Jun 2026</v>
      </c>
      <c r="C432" s="84">
        <f t="shared" si="2"/>
        <v>25</v>
      </c>
      <c r="D432" s="85" t="s">
        <v>159</v>
      </c>
      <c r="E432" s="85" t="s">
        <v>164</v>
      </c>
      <c r="F432" s="86" t="s">
        <v>173</v>
      </c>
      <c r="G432" s="87" t="s">
        <v>174</v>
      </c>
      <c r="H432" s="88">
        <f t="shared" si="3"/>
        <v>0.11</v>
      </c>
      <c r="I432" s="89">
        <v>0.1</v>
      </c>
      <c r="J432" s="89"/>
      <c r="K432" s="89">
        <f t="shared" si="4"/>
        <v>0.01</v>
      </c>
      <c r="L432" s="84">
        <f t="shared" si="5"/>
        <v>431</v>
      </c>
      <c r="M432" s="85" t="s">
        <v>181</v>
      </c>
    </row>
    <row r="433" ht="22.5" customHeight="1">
      <c r="A433" s="83">
        <v>46190.0</v>
      </c>
      <c r="B433" s="84" t="str">
        <f t="shared" si="1"/>
        <v>Jun 2026</v>
      </c>
      <c r="C433" s="84">
        <f t="shared" si="2"/>
        <v>25</v>
      </c>
      <c r="D433" s="85" t="s">
        <v>159</v>
      </c>
      <c r="E433" s="85" t="s">
        <v>164</v>
      </c>
      <c r="F433" s="86" t="s">
        <v>172</v>
      </c>
      <c r="G433" s="87" t="s">
        <v>62</v>
      </c>
      <c r="H433" s="88">
        <f t="shared" si="3"/>
        <v>0.11</v>
      </c>
      <c r="I433" s="89">
        <v>0.1</v>
      </c>
      <c r="J433" s="89"/>
      <c r="K433" s="89">
        <f t="shared" si="4"/>
        <v>0.01</v>
      </c>
      <c r="L433" s="84">
        <f t="shared" si="5"/>
        <v>432</v>
      </c>
      <c r="M433" s="85" t="s">
        <v>181</v>
      </c>
    </row>
    <row r="434" ht="22.5" customHeight="1">
      <c r="A434" s="83">
        <v>46190.0</v>
      </c>
      <c r="B434" s="84" t="str">
        <f t="shared" si="1"/>
        <v>Jun 2026</v>
      </c>
      <c r="C434" s="84">
        <f t="shared" si="2"/>
        <v>25</v>
      </c>
      <c r="D434" s="85" t="s">
        <v>159</v>
      </c>
      <c r="E434" s="85" t="s">
        <v>164</v>
      </c>
      <c r="F434" s="86" t="s">
        <v>236</v>
      </c>
      <c r="G434" s="87" t="s">
        <v>170</v>
      </c>
      <c r="H434" s="88">
        <f t="shared" si="3"/>
        <v>0.11</v>
      </c>
      <c r="I434" s="89">
        <v>0.1</v>
      </c>
      <c r="J434" s="89"/>
      <c r="K434" s="89">
        <f t="shared" si="4"/>
        <v>0.01</v>
      </c>
      <c r="L434" s="84">
        <f t="shared" si="5"/>
        <v>433</v>
      </c>
      <c r="M434" s="85" t="s">
        <v>181</v>
      </c>
    </row>
    <row r="435" ht="22.5" customHeight="1">
      <c r="A435" s="83">
        <v>46190.0</v>
      </c>
      <c r="B435" s="84" t="str">
        <f t="shared" si="1"/>
        <v>Jun 2026</v>
      </c>
      <c r="C435" s="84">
        <f t="shared" si="2"/>
        <v>25</v>
      </c>
      <c r="D435" s="85" t="s">
        <v>129</v>
      </c>
      <c r="E435" s="85" t="s">
        <v>165</v>
      </c>
      <c r="F435" s="86" t="s">
        <v>238</v>
      </c>
      <c r="G435" s="87" t="s">
        <v>226</v>
      </c>
      <c r="H435" s="88">
        <f t="shared" si="3"/>
        <v>1.1</v>
      </c>
      <c r="I435" s="89">
        <v>1.0</v>
      </c>
      <c r="J435" s="130"/>
      <c r="K435" s="89">
        <f t="shared" si="4"/>
        <v>0.1</v>
      </c>
      <c r="L435" s="84">
        <f t="shared" si="5"/>
        <v>434</v>
      </c>
      <c r="M435" s="85" t="s">
        <v>133</v>
      </c>
    </row>
    <row r="436" ht="22.5" customHeight="1">
      <c r="A436" s="83">
        <v>46190.0</v>
      </c>
      <c r="B436" s="84" t="str">
        <f t="shared" si="1"/>
        <v>Jun 2026</v>
      </c>
      <c r="C436" s="84">
        <f t="shared" si="2"/>
        <v>25</v>
      </c>
      <c r="D436" s="85" t="s">
        <v>129</v>
      </c>
      <c r="E436" s="85" t="s">
        <v>165</v>
      </c>
      <c r="F436" s="86" t="s">
        <v>238</v>
      </c>
      <c r="G436" s="87" t="s">
        <v>226</v>
      </c>
      <c r="H436" s="88">
        <f t="shared" si="3"/>
        <v>1.1</v>
      </c>
      <c r="I436" s="89">
        <v>1.0</v>
      </c>
      <c r="J436" s="130"/>
      <c r="K436" s="89">
        <f t="shared" si="4"/>
        <v>0.1</v>
      </c>
      <c r="L436" s="84">
        <f t="shared" si="5"/>
        <v>435</v>
      </c>
      <c r="M436" s="85" t="s">
        <v>133</v>
      </c>
    </row>
    <row r="437" ht="22.5" customHeight="1">
      <c r="A437" s="83">
        <v>46190.0</v>
      </c>
      <c r="B437" s="84" t="str">
        <f t="shared" si="1"/>
        <v>Jun 2026</v>
      </c>
      <c r="C437" s="84">
        <f t="shared" si="2"/>
        <v>25</v>
      </c>
      <c r="D437" s="85" t="s">
        <v>159</v>
      </c>
      <c r="E437" s="85" t="s">
        <v>165</v>
      </c>
      <c r="F437" s="86" t="s">
        <v>235</v>
      </c>
      <c r="G437" s="87" t="s">
        <v>214</v>
      </c>
      <c r="H437" s="88">
        <f t="shared" si="3"/>
        <v>0.11</v>
      </c>
      <c r="I437" s="89">
        <v>0.1</v>
      </c>
      <c r="J437" s="130"/>
      <c r="K437" s="89">
        <f t="shared" si="4"/>
        <v>0.01</v>
      </c>
      <c r="L437" s="84">
        <f t="shared" si="5"/>
        <v>436</v>
      </c>
      <c r="M437" s="85" t="s">
        <v>181</v>
      </c>
    </row>
    <row r="438" ht="22.5" customHeight="1">
      <c r="A438" s="83">
        <v>46190.0</v>
      </c>
      <c r="B438" s="84" t="str">
        <f t="shared" si="1"/>
        <v>Jun 2026</v>
      </c>
      <c r="C438" s="84">
        <f t="shared" si="2"/>
        <v>25</v>
      </c>
      <c r="D438" s="85" t="s">
        <v>159</v>
      </c>
      <c r="E438" s="85" t="s">
        <v>165</v>
      </c>
      <c r="F438" s="86" t="s">
        <v>244</v>
      </c>
      <c r="G438" s="87" t="s">
        <v>206</v>
      </c>
      <c r="H438" s="88">
        <f t="shared" si="3"/>
        <v>0.11</v>
      </c>
      <c r="I438" s="89">
        <v>0.1</v>
      </c>
      <c r="J438" s="130"/>
      <c r="K438" s="89">
        <f t="shared" si="4"/>
        <v>0.01</v>
      </c>
      <c r="L438" s="84">
        <f t="shared" si="5"/>
        <v>437</v>
      </c>
      <c r="M438" s="85" t="s">
        <v>181</v>
      </c>
    </row>
    <row r="439" ht="22.5" customHeight="1">
      <c r="A439" s="83">
        <v>46190.0</v>
      </c>
      <c r="B439" s="84" t="str">
        <f t="shared" si="1"/>
        <v>Jun 2026</v>
      </c>
      <c r="C439" s="84">
        <f t="shared" si="2"/>
        <v>25</v>
      </c>
      <c r="D439" s="85" t="s">
        <v>159</v>
      </c>
      <c r="E439" s="85" t="s">
        <v>165</v>
      </c>
      <c r="F439" s="86" t="s">
        <v>241</v>
      </c>
      <c r="G439" s="87" t="s">
        <v>188</v>
      </c>
      <c r="H439" s="88">
        <f t="shared" si="3"/>
        <v>0.11</v>
      </c>
      <c r="I439" s="89">
        <v>0.1</v>
      </c>
      <c r="J439" s="130"/>
      <c r="K439" s="89">
        <f t="shared" si="4"/>
        <v>0.01</v>
      </c>
      <c r="L439" s="84">
        <f t="shared" si="5"/>
        <v>438</v>
      </c>
      <c r="M439" s="85" t="s">
        <v>181</v>
      </c>
    </row>
    <row r="440" ht="22.5" customHeight="1">
      <c r="A440" s="83">
        <v>46190.0</v>
      </c>
      <c r="B440" s="84" t="str">
        <f t="shared" si="1"/>
        <v>Jun 2026</v>
      </c>
      <c r="C440" s="84">
        <f t="shared" si="2"/>
        <v>25</v>
      </c>
      <c r="D440" s="85" t="s">
        <v>159</v>
      </c>
      <c r="E440" s="85" t="s">
        <v>165</v>
      </c>
      <c r="F440" s="86" t="s">
        <v>234</v>
      </c>
      <c r="G440" s="87" t="s">
        <v>211</v>
      </c>
      <c r="H440" s="88">
        <f t="shared" si="3"/>
        <v>0.11</v>
      </c>
      <c r="I440" s="89">
        <v>0.1</v>
      </c>
      <c r="J440" s="130"/>
      <c r="K440" s="89">
        <f t="shared" si="4"/>
        <v>0.01</v>
      </c>
      <c r="L440" s="84">
        <f t="shared" si="5"/>
        <v>439</v>
      </c>
      <c r="M440" s="85" t="s">
        <v>181</v>
      </c>
    </row>
    <row r="441" ht="22.5" customHeight="1">
      <c r="A441" s="83">
        <v>46190.0</v>
      </c>
      <c r="B441" s="84" t="str">
        <f t="shared" si="1"/>
        <v>Jun 2026</v>
      </c>
      <c r="C441" s="84">
        <f t="shared" si="2"/>
        <v>25</v>
      </c>
      <c r="D441" s="85" t="s">
        <v>159</v>
      </c>
      <c r="E441" s="85" t="s">
        <v>165</v>
      </c>
      <c r="F441" s="86" t="s">
        <v>247</v>
      </c>
      <c r="G441" s="87" t="s">
        <v>183</v>
      </c>
      <c r="H441" s="88">
        <f t="shared" si="3"/>
        <v>0.11</v>
      </c>
      <c r="I441" s="89">
        <v>0.1</v>
      </c>
      <c r="J441" s="130"/>
      <c r="K441" s="89">
        <f t="shared" si="4"/>
        <v>0.01</v>
      </c>
      <c r="L441" s="84">
        <f t="shared" si="5"/>
        <v>440</v>
      </c>
      <c r="M441" s="85" t="s">
        <v>181</v>
      </c>
    </row>
    <row r="442" ht="22.5" customHeight="1">
      <c r="A442" s="83">
        <v>46190.0</v>
      </c>
      <c r="B442" s="84" t="str">
        <f t="shared" si="1"/>
        <v>Jun 2026</v>
      </c>
      <c r="C442" s="84">
        <f t="shared" si="2"/>
        <v>25</v>
      </c>
      <c r="D442" s="85" t="s">
        <v>159</v>
      </c>
      <c r="E442" s="85" t="s">
        <v>165</v>
      </c>
      <c r="F442" s="86" t="s">
        <v>171</v>
      </c>
      <c r="G442" s="87" t="s">
        <v>66</v>
      </c>
      <c r="H442" s="88">
        <f t="shared" si="3"/>
        <v>0.11</v>
      </c>
      <c r="I442" s="89">
        <v>0.1</v>
      </c>
      <c r="J442" s="130"/>
      <c r="K442" s="89">
        <f t="shared" si="4"/>
        <v>0.01</v>
      </c>
      <c r="L442" s="84">
        <f t="shared" si="5"/>
        <v>441</v>
      </c>
      <c r="M442" s="85" t="s">
        <v>181</v>
      </c>
    </row>
    <row r="443" ht="22.5" customHeight="1">
      <c r="A443" s="83">
        <v>46190.0</v>
      </c>
      <c r="B443" s="84" t="str">
        <f t="shared" si="1"/>
        <v>Jun 2026</v>
      </c>
      <c r="C443" s="84">
        <f t="shared" si="2"/>
        <v>25</v>
      </c>
      <c r="D443" s="85" t="s">
        <v>129</v>
      </c>
      <c r="E443" s="85" t="s">
        <v>165</v>
      </c>
      <c r="F443" s="86" t="s">
        <v>238</v>
      </c>
      <c r="G443" s="87" t="s">
        <v>226</v>
      </c>
      <c r="H443" s="88">
        <f t="shared" si="3"/>
        <v>1.1</v>
      </c>
      <c r="I443" s="89">
        <v>1.0</v>
      </c>
      <c r="J443" s="130"/>
      <c r="K443" s="89">
        <f t="shared" si="4"/>
        <v>0.1</v>
      </c>
      <c r="L443" s="84">
        <f t="shared" si="5"/>
        <v>442</v>
      </c>
      <c r="M443" s="85" t="s">
        <v>133</v>
      </c>
    </row>
    <row r="444" ht="22.5" customHeight="1">
      <c r="A444" s="83">
        <v>46190.0</v>
      </c>
      <c r="B444" s="84" t="str">
        <f t="shared" si="1"/>
        <v>Jun 2026</v>
      </c>
      <c r="C444" s="84">
        <f t="shared" si="2"/>
        <v>25</v>
      </c>
      <c r="D444" s="85" t="s">
        <v>159</v>
      </c>
      <c r="E444" s="85" t="s">
        <v>165</v>
      </c>
      <c r="F444" s="86" t="s">
        <v>237</v>
      </c>
      <c r="G444" s="87" t="s">
        <v>212</v>
      </c>
      <c r="H444" s="88">
        <f t="shared" si="3"/>
        <v>0.11</v>
      </c>
      <c r="I444" s="89">
        <v>0.1</v>
      </c>
      <c r="J444" s="130"/>
      <c r="K444" s="89">
        <f t="shared" si="4"/>
        <v>0.01</v>
      </c>
      <c r="L444" s="84">
        <f t="shared" si="5"/>
        <v>443</v>
      </c>
      <c r="M444" s="85" t="s">
        <v>133</v>
      </c>
    </row>
    <row r="445" ht="22.5" customHeight="1">
      <c r="A445" s="83">
        <v>46190.0</v>
      </c>
      <c r="B445" s="84" t="str">
        <f t="shared" si="1"/>
        <v>Jun 2026</v>
      </c>
      <c r="C445" s="84">
        <f t="shared" si="2"/>
        <v>25</v>
      </c>
      <c r="D445" s="85" t="s">
        <v>129</v>
      </c>
      <c r="E445" s="85" t="s">
        <v>167</v>
      </c>
      <c r="F445" s="86" t="s">
        <v>238</v>
      </c>
      <c r="G445" s="87" t="s">
        <v>226</v>
      </c>
      <c r="H445" s="88">
        <f t="shared" si="3"/>
        <v>1.1</v>
      </c>
      <c r="I445" s="89">
        <v>1.0</v>
      </c>
      <c r="J445" s="130"/>
      <c r="K445" s="89">
        <f t="shared" si="4"/>
        <v>0.1</v>
      </c>
      <c r="L445" s="84">
        <f t="shared" si="5"/>
        <v>444</v>
      </c>
      <c r="M445" s="85" t="s">
        <v>133</v>
      </c>
    </row>
    <row r="446" ht="22.5" customHeight="1">
      <c r="A446" s="83">
        <v>46190.0</v>
      </c>
      <c r="B446" s="84" t="str">
        <f t="shared" si="1"/>
        <v>Jun 2026</v>
      </c>
      <c r="C446" s="84">
        <f t="shared" si="2"/>
        <v>25</v>
      </c>
      <c r="D446" s="85" t="s">
        <v>129</v>
      </c>
      <c r="E446" s="85" t="s">
        <v>167</v>
      </c>
      <c r="F446" s="86" t="s">
        <v>238</v>
      </c>
      <c r="G446" s="87" t="s">
        <v>226</v>
      </c>
      <c r="H446" s="88">
        <f t="shared" si="3"/>
        <v>0.11</v>
      </c>
      <c r="I446" s="89">
        <v>0.1</v>
      </c>
      <c r="J446" s="130"/>
      <c r="K446" s="89">
        <f t="shared" si="4"/>
        <v>0.01</v>
      </c>
      <c r="L446" s="84">
        <f t="shared" si="5"/>
        <v>445</v>
      </c>
      <c r="M446" s="85" t="s">
        <v>133</v>
      </c>
    </row>
    <row r="447" ht="22.5" customHeight="1">
      <c r="A447" s="83">
        <v>46190.0</v>
      </c>
      <c r="B447" s="84" t="str">
        <f t="shared" si="1"/>
        <v>Jun 2026</v>
      </c>
      <c r="C447" s="84">
        <f t="shared" si="2"/>
        <v>25</v>
      </c>
      <c r="D447" s="85" t="s">
        <v>159</v>
      </c>
      <c r="E447" s="85" t="s">
        <v>167</v>
      </c>
      <c r="F447" s="86" t="s">
        <v>237</v>
      </c>
      <c r="G447" s="87" t="s">
        <v>212</v>
      </c>
      <c r="H447" s="88">
        <f t="shared" si="3"/>
        <v>0.11</v>
      </c>
      <c r="I447" s="89">
        <v>0.1</v>
      </c>
      <c r="J447" s="130"/>
      <c r="K447" s="89">
        <f t="shared" si="4"/>
        <v>0.01</v>
      </c>
      <c r="L447" s="84">
        <f t="shared" si="5"/>
        <v>446</v>
      </c>
      <c r="M447" s="85" t="s">
        <v>133</v>
      </c>
    </row>
    <row r="448" ht="22.5" customHeight="1">
      <c r="A448" s="83">
        <v>46190.0</v>
      </c>
      <c r="B448" s="84" t="str">
        <f t="shared" si="1"/>
        <v>Jun 2026</v>
      </c>
      <c r="C448" s="84">
        <f t="shared" si="2"/>
        <v>25</v>
      </c>
      <c r="D448" s="85" t="s">
        <v>159</v>
      </c>
      <c r="E448" s="85" t="s">
        <v>167</v>
      </c>
      <c r="F448" s="86" t="s">
        <v>236</v>
      </c>
      <c r="G448" s="87" t="s">
        <v>170</v>
      </c>
      <c r="H448" s="88">
        <f t="shared" si="3"/>
        <v>0.11</v>
      </c>
      <c r="I448" s="89">
        <v>0.1</v>
      </c>
      <c r="J448" s="130"/>
      <c r="K448" s="89">
        <f t="shared" si="4"/>
        <v>0.01</v>
      </c>
      <c r="L448" s="84">
        <f t="shared" si="5"/>
        <v>447</v>
      </c>
      <c r="M448" s="85" t="s">
        <v>133</v>
      </c>
    </row>
    <row r="449" ht="22.5" customHeight="1">
      <c r="A449" s="83">
        <v>46190.0</v>
      </c>
      <c r="B449" s="84" t="str">
        <f t="shared" si="1"/>
        <v>Jun 2026</v>
      </c>
      <c r="C449" s="84">
        <f t="shared" si="2"/>
        <v>25</v>
      </c>
      <c r="D449" s="85" t="s">
        <v>159</v>
      </c>
      <c r="E449" s="85" t="s">
        <v>167</v>
      </c>
      <c r="F449" s="86" t="s">
        <v>235</v>
      </c>
      <c r="G449" s="87" t="s">
        <v>214</v>
      </c>
      <c r="H449" s="88">
        <f t="shared" si="3"/>
        <v>0.11</v>
      </c>
      <c r="I449" s="89">
        <v>0.1</v>
      </c>
      <c r="J449" s="130"/>
      <c r="K449" s="89">
        <f t="shared" si="4"/>
        <v>0.01</v>
      </c>
      <c r="L449" s="84">
        <f t="shared" si="5"/>
        <v>448</v>
      </c>
      <c r="M449" s="85" t="s">
        <v>133</v>
      </c>
    </row>
    <row r="450" ht="22.5" customHeight="1">
      <c r="A450" s="83">
        <v>46190.0</v>
      </c>
      <c r="B450" s="84" t="str">
        <f t="shared" si="1"/>
        <v>Jun 2026</v>
      </c>
      <c r="C450" s="84">
        <f t="shared" si="2"/>
        <v>25</v>
      </c>
      <c r="D450" s="85" t="s">
        <v>159</v>
      </c>
      <c r="E450" s="85" t="s">
        <v>167</v>
      </c>
      <c r="F450" s="86" t="s">
        <v>233</v>
      </c>
      <c r="G450" s="87" t="s">
        <v>210</v>
      </c>
      <c r="H450" s="88">
        <f t="shared" si="3"/>
        <v>0.11</v>
      </c>
      <c r="I450" s="89">
        <v>0.1</v>
      </c>
      <c r="J450" s="130"/>
      <c r="K450" s="89">
        <f t="shared" si="4"/>
        <v>0.01</v>
      </c>
      <c r="L450" s="84">
        <f t="shared" si="5"/>
        <v>449</v>
      </c>
      <c r="M450" s="85" t="s">
        <v>181</v>
      </c>
    </row>
    <row r="451" ht="22.5" customHeight="1">
      <c r="A451" s="83">
        <v>46190.0</v>
      </c>
      <c r="B451" s="84" t="str">
        <f t="shared" si="1"/>
        <v>Jun 2026</v>
      </c>
      <c r="C451" s="84">
        <f t="shared" si="2"/>
        <v>25</v>
      </c>
      <c r="D451" s="85" t="s">
        <v>159</v>
      </c>
      <c r="E451" s="85" t="s">
        <v>167</v>
      </c>
      <c r="F451" s="86" t="s">
        <v>236</v>
      </c>
      <c r="G451" s="87" t="s">
        <v>170</v>
      </c>
      <c r="H451" s="88">
        <f t="shared" si="3"/>
        <v>0.11</v>
      </c>
      <c r="I451" s="89">
        <v>0.1</v>
      </c>
      <c r="J451" s="130"/>
      <c r="K451" s="89">
        <f t="shared" si="4"/>
        <v>0.01</v>
      </c>
      <c r="L451" s="84">
        <f t="shared" si="5"/>
        <v>450</v>
      </c>
      <c r="M451" s="85" t="s">
        <v>181</v>
      </c>
    </row>
    <row r="452" ht="22.5" customHeight="1">
      <c r="A452" s="83">
        <v>46190.0</v>
      </c>
      <c r="B452" s="84" t="str">
        <f t="shared" si="1"/>
        <v>Jun 2026</v>
      </c>
      <c r="C452" s="84">
        <f t="shared" si="2"/>
        <v>25</v>
      </c>
      <c r="D452" s="85" t="s">
        <v>159</v>
      </c>
      <c r="E452" s="85" t="s">
        <v>167</v>
      </c>
      <c r="F452" s="86" t="s">
        <v>243</v>
      </c>
      <c r="G452" s="87" t="s">
        <v>182</v>
      </c>
      <c r="H452" s="88">
        <f t="shared" si="3"/>
        <v>0.11</v>
      </c>
      <c r="I452" s="89">
        <v>0.1</v>
      </c>
      <c r="J452" s="130"/>
      <c r="K452" s="89">
        <f t="shared" si="4"/>
        <v>0.01</v>
      </c>
      <c r="L452" s="84">
        <f t="shared" si="5"/>
        <v>451</v>
      </c>
      <c r="M452" s="85" t="s">
        <v>181</v>
      </c>
    </row>
    <row r="453" ht="22.5" customHeight="1">
      <c r="A453" s="83">
        <v>46190.0</v>
      </c>
      <c r="B453" s="84" t="str">
        <f t="shared" si="1"/>
        <v>Jun 2026</v>
      </c>
      <c r="C453" s="84">
        <f t="shared" si="2"/>
        <v>25</v>
      </c>
      <c r="D453" s="85" t="s">
        <v>159</v>
      </c>
      <c r="E453" s="85" t="s">
        <v>167</v>
      </c>
      <c r="F453" s="86" t="s">
        <v>246</v>
      </c>
      <c r="G453" s="87" t="s">
        <v>185</v>
      </c>
      <c r="H453" s="88">
        <f t="shared" si="3"/>
        <v>0.11</v>
      </c>
      <c r="I453" s="89">
        <v>0.1</v>
      </c>
      <c r="J453" s="130"/>
      <c r="K453" s="89">
        <f t="shared" si="4"/>
        <v>0.01</v>
      </c>
      <c r="L453" s="84">
        <f t="shared" si="5"/>
        <v>452</v>
      </c>
      <c r="M453" s="85" t="s">
        <v>181</v>
      </c>
    </row>
    <row r="454" ht="22.5" customHeight="1">
      <c r="A454" s="83">
        <v>46190.0</v>
      </c>
      <c r="B454" s="84" t="str">
        <f t="shared" si="1"/>
        <v>Jun 2026</v>
      </c>
      <c r="C454" s="84">
        <f t="shared" si="2"/>
        <v>25</v>
      </c>
      <c r="D454" s="85" t="s">
        <v>159</v>
      </c>
      <c r="E454" s="85" t="s">
        <v>167</v>
      </c>
      <c r="F454" s="86" t="s">
        <v>235</v>
      </c>
      <c r="G454" s="87" t="s">
        <v>214</v>
      </c>
      <c r="H454" s="88">
        <f t="shared" si="3"/>
        <v>0.11</v>
      </c>
      <c r="I454" s="89">
        <v>0.1</v>
      </c>
      <c r="J454" s="130"/>
      <c r="K454" s="89">
        <f t="shared" si="4"/>
        <v>0.01</v>
      </c>
      <c r="L454" s="84">
        <f t="shared" si="5"/>
        <v>453</v>
      </c>
      <c r="M454" s="85" t="s">
        <v>181</v>
      </c>
    </row>
    <row r="455" ht="22.5" customHeight="1">
      <c r="A455" s="83">
        <v>46190.0</v>
      </c>
      <c r="B455" s="84" t="str">
        <f t="shared" si="1"/>
        <v>Jun 2026</v>
      </c>
      <c r="C455" s="84">
        <f t="shared" si="2"/>
        <v>25</v>
      </c>
      <c r="D455" s="85" t="s">
        <v>160</v>
      </c>
      <c r="E455" s="85" t="s">
        <v>130</v>
      </c>
      <c r="F455" s="86" t="s">
        <v>248</v>
      </c>
      <c r="G455" s="87" t="s">
        <v>227</v>
      </c>
      <c r="H455" s="88">
        <f t="shared" si="3"/>
        <v>1.1</v>
      </c>
      <c r="I455" s="89">
        <v>1.0</v>
      </c>
      <c r="J455" s="130"/>
      <c r="K455" s="89">
        <f t="shared" si="4"/>
        <v>0.1</v>
      </c>
      <c r="L455" s="84">
        <f t="shared" si="5"/>
        <v>454</v>
      </c>
      <c r="M455" s="85" t="s">
        <v>133</v>
      </c>
    </row>
    <row r="456" ht="22.5" customHeight="1">
      <c r="A456" s="83">
        <v>46190.0</v>
      </c>
      <c r="B456" s="84" t="str">
        <f t="shared" si="1"/>
        <v>Jun 2026</v>
      </c>
      <c r="C456" s="84">
        <f t="shared" si="2"/>
        <v>25</v>
      </c>
      <c r="D456" s="85" t="s">
        <v>160</v>
      </c>
      <c r="E456" s="85" t="s">
        <v>130</v>
      </c>
      <c r="F456" s="86" t="s">
        <v>248</v>
      </c>
      <c r="G456" s="87" t="s">
        <v>227</v>
      </c>
      <c r="H456" s="88">
        <f t="shared" si="3"/>
        <v>1.1</v>
      </c>
      <c r="I456" s="89">
        <v>1.0</v>
      </c>
      <c r="J456" s="130"/>
      <c r="K456" s="89">
        <f t="shared" si="4"/>
        <v>0.1</v>
      </c>
      <c r="L456" s="84">
        <f t="shared" si="5"/>
        <v>455</v>
      </c>
      <c r="M456" s="85" t="s">
        <v>175</v>
      </c>
    </row>
    <row r="457" ht="22.5" customHeight="1">
      <c r="A457" s="83">
        <v>46190.0</v>
      </c>
      <c r="B457" s="84" t="str">
        <f t="shared" si="1"/>
        <v>Jun 2026</v>
      </c>
      <c r="C457" s="84">
        <f t="shared" si="2"/>
        <v>25</v>
      </c>
      <c r="D457" s="85" t="s">
        <v>160</v>
      </c>
      <c r="E457" s="85" t="s">
        <v>130</v>
      </c>
      <c r="F457" s="86" t="s">
        <v>248</v>
      </c>
      <c r="G457" s="87" t="s">
        <v>227</v>
      </c>
      <c r="H457" s="88">
        <f t="shared" si="3"/>
        <v>1.1</v>
      </c>
      <c r="I457" s="89">
        <v>1.0</v>
      </c>
      <c r="J457" s="130"/>
      <c r="K457" s="89">
        <f t="shared" si="4"/>
        <v>0.1</v>
      </c>
      <c r="L457" s="84">
        <f t="shared" si="5"/>
        <v>456</v>
      </c>
      <c r="M457" s="85" t="s">
        <v>175</v>
      </c>
    </row>
    <row r="458" ht="22.5" customHeight="1">
      <c r="A458" s="83">
        <v>46190.0</v>
      </c>
      <c r="B458" s="84" t="str">
        <f t="shared" si="1"/>
        <v>Jun 2026</v>
      </c>
      <c r="C458" s="84">
        <f t="shared" si="2"/>
        <v>25</v>
      </c>
      <c r="D458" s="85" t="s">
        <v>160</v>
      </c>
      <c r="E458" s="85" t="s">
        <v>130</v>
      </c>
      <c r="F458" s="86" t="s">
        <v>248</v>
      </c>
      <c r="G458" s="87" t="s">
        <v>227</v>
      </c>
      <c r="H458" s="88">
        <f t="shared" si="3"/>
        <v>1.1</v>
      </c>
      <c r="I458" s="89">
        <v>1.0</v>
      </c>
      <c r="J458" s="130"/>
      <c r="K458" s="89">
        <f t="shared" si="4"/>
        <v>0.1</v>
      </c>
      <c r="L458" s="84">
        <f t="shared" si="5"/>
        <v>457</v>
      </c>
      <c r="M458" s="85" t="s">
        <v>175</v>
      </c>
    </row>
    <row r="459" ht="22.5" customHeight="1">
      <c r="A459" s="83">
        <v>46190.0</v>
      </c>
      <c r="B459" s="84" t="str">
        <f t="shared" si="1"/>
        <v>Jun 2026</v>
      </c>
      <c r="C459" s="84">
        <f t="shared" si="2"/>
        <v>25</v>
      </c>
      <c r="D459" s="85" t="s">
        <v>129</v>
      </c>
      <c r="E459" s="85" t="s">
        <v>130</v>
      </c>
      <c r="F459" s="86" t="s">
        <v>238</v>
      </c>
      <c r="G459" s="87" t="s">
        <v>226</v>
      </c>
      <c r="H459" s="88">
        <f t="shared" si="3"/>
        <v>1.1</v>
      </c>
      <c r="I459" s="89">
        <v>1.0</v>
      </c>
      <c r="J459" s="130"/>
      <c r="K459" s="89">
        <f t="shared" si="4"/>
        <v>0.1</v>
      </c>
      <c r="L459" s="84">
        <f t="shared" si="5"/>
        <v>458</v>
      </c>
      <c r="M459" s="85" t="s">
        <v>133</v>
      </c>
    </row>
    <row r="460" ht="22.5" customHeight="1">
      <c r="A460" s="83">
        <v>46190.0</v>
      </c>
      <c r="B460" s="84" t="str">
        <f t="shared" si="1"/>
        <v>Jun 2026</v>
      </c>
      <c r="C460" s="84">
        <f t="shared" si="2"/>
        <v>25</v>
      </c>
      <c r="D460" s="85" t="s">
        <v>129</v>
      </c>
      <c r="E460" s="85" t="s">
        <v>130</v>
      </c>
      <c r="F460" s="86" t="s">
        <v>238</v>
      </c>
      <c r="G460" s="87" t="s">
        <v>226</v>
      </c>
      <c r="H460" s="88">
        <f t="shared" si="3"/>
        <v>1.1</v>
      </c>
      <c r="I460" s="89">
        <v>1.0</v>
      </c>
      <c r="J460" s="130"/>
      <c r="K460" s="89">
        <f t="shared" si="4"/>
        <v>0.1</v>
      </c>
      <c r="L460" s="84">
        <f t="shared" si="5"/>
        <v>459</v>
      </c>
      <c r="M460" s="85" t="s">
        <v>133</v>
      </c>
    </row>
    <row r="461" ht="22.5" customHeight="1">
      <c r="A461" s="83">
        <v>46190.0</v>
      </c>
      <c r="B461" s="84" t="str">
        <f t="shared" si="1"/>
        <v>Jun 2026</v>
      </c>
      <c r="C461" s="84">
        <f t="shared" si="2"/>
        <v>25</v>
      </c>
      <c r="D461" s="85" t="s">
        <v>159</v>
      </c>
      <c r="E461" s="85" t="s">
        <v>130</v>
      </c>
      <c r="F461" s="86" t="s">
        <v>233</v>
      </c>
      <c r="G461" s="87" t="s">
        <v>210</v>
      </c>
      <c r="H461" s="88">
        <f t="shared" si="3"/>
        <v>0.11</v>
      </c>
      <c r="I461" s="89">
        <v>0.1</v>
      </c>
      <c r="J461" s="130"/>
      <c r="K461" s="89">
        <f t="shared" si="4"/>
        <v>0.01</v>
      </c>
      <c r="L461" s="84">
        <f t="shared" si="5"/>
        <v>460</v>
      </c>
      <c r="M461" s="85" t="s">
        <v>181</v>
      </c>
    </row>
    <row r="462" ht="22.5" customHeight="1">
      <c r="A462" s="83">
        <v>46190.0</v>
      </c>
      <c r="B462" s="84" t="str">
        <f t="shared" si="1"/>
        <v>Jun 2026</v>
      </c>
      <c r="C462" s="84">
        <f t="shared" si="2"/>
        <v>25</v>
      </c>
      <c r="D462" s="85" t="s">
        <v>159</v>
      </c>
      <c r="E462" s="85" t="s">
        <v>130</v>
      </c>
      <c r="F462" s="86" t="s">
        <v>236</v>
      </c>
      <c r="G462" s="87" t="s">
        <v>170</v>
      </c>
      <c r="H462" s="88">
        <f t="shared" si="3"/>
        <v>0.11</v>
      </c>
      <c r="I462" s="89">
        <v>0.1</v>
      </c>
      <c r="J462" s="130"/>
      <c r="K462" s="89">
        <f t="shared" si="4"/>
        <v>0.01</v>
      </c>
      <c r="L462" s="84">
        <f t="shared" si="5"/>
        <v>461</v>
      </c>
      <c r="M462" s="85" t="s">
        <v>181</v>
      </c>
    </row>
    <row r="463" ht="22.5" customHeight="1">
      <c r="A463" s="83">
        <v>46190.0</v>
      </c>
      <c r="B463" s="84" t="str">
        <f t="shared" si="1"/>
        <v>Jun 2026</v>
      </c>
      <c r="C463" s="84">
        <f t="shared" si="2"/>
        <v>25</v>
      </c>
      <c r="D463" s="85" t="s">
        <v>159</v>
      </c>
      <c r="E463" s="85" t="s">
        <v>130</v>
      </c>
      <c r="F463" s="86" t="s">
        <v>235</v>
      </c>
      <c r="G463" s="87" t="s">
        <v>214</v>
      </c>
      <c r="H463" s="88">
        <f t="shared" si="3"/>
        <v>0.11</v>
      </c>
      <c r="I463" s="89">
        <v>0.1</v>
      </c>
      <c r="J463" s="130"/>
      <c r="K463" s="89">
        <f t="shared" si="4"/>
        <v>0.01</v>
      </c>
      <c r="L463" s="84">
        <f t="shared" si="5"/>
        <v>462</v>
      </c>
      <c r="M463" s="85" t="s">
        <v>181</v>
      </c>
    </row>
    <row r="464" ht="22.5" customHeight="1">
      <c r="A464" s="83">
        <v>46190.0</v>
      </c>
      <c r="B464" s="84" t="str">
        <f t="shared" si="1"/>
        <v>Jun 2026</v>
      </c>
      <c r="C464" s="84">
        <f t="shared" si="2"/>
        <v>25</v>
      </c>
      <c r="D464" s="85" t="s">
        <v>159</v>
      </c>
      <c r="E464" s="85" t="s">
        <v>130</v>
      </c>
      <c r="F464" s="86" t="s">
        <v>189</v>
      </c>
      <c r="G464" s="86" t="s">
        <v>189</v>
      </c>
      <c r="H464" s="88">
        <f t="shared" si="3"/>
        <v>0.11</v>
      </c>
      <c r="I464" s="89">
        <v>0.1</v>
      </c>
      <c r="J464" s="130"/>
      <c r="K464" s="89">
        <f t="shared" si="4"/>
        <v>0.01</v>
      </c>
      <c r="L464" s="84">
        <f t="shared" si="5"/>
        <v>463</v>
      </c>
      <c r="M464" s="85" t="s">
        <v>181</v>
      </c>
    </row>
    <row r="465" ht="22.5" customHeight="1">
      <c r="A465" s="83">
        <v>46191.0</v>
      </c>
      <c r="B465" s="84" t="str">
        <f t="shared" si="1"/>
        <v>Jun 2026</v>
      </c>
      <c r="C465" s="84">
        <f t="shared" si="2"/>
        <v>25</v>
      </c>
      <c r="D465" s="85" t="s">
        <v>160</v>
      </c>
      <c r="E465" s="85" t="s">
        <v>164</v>
      </c>
      <c r="F465" s="86" t="s">
        <v>248</v>
      </c>
      <c r="G465" s="87" t="s">
        <v>227</v>
      </c>
      <c r="H465" s="88">
        <f t="shared" si="3"/>
        <v>1.1</v>
      </c>
      <c r="I465" s="89">
        <v>1.0</v>
      </c>
      <c r="J465" s="89"/>
      <c r="K465" s="89">
        <f t="shared" si="4"/>
        <v>0.1</v>
      </c>
      <c r="L465" s="84">
        <f t="shared" si="5"/>
        <v>464</v>
      </c>
      <c r="M465" s="85" t="s">
        <v>175</v>
      </c>
    </row>
    <row r="466" ht="22.5" customHeight="1">
      <c r="A466" s="83">
        <v>46191.0</v>
      </c>
      <c r="B466" s="84" t="str">
        <f t="shared" si="1"/>
        <v>Jun 2026</v>
      </c>
      <c r="C466" s="84">
        <f t="shared" si="2"/>
        <v>25</v>
      </c>
      <c r="D466" s="85" t="s">
        <v>129</v>
      </c>
      <c r="E466" s="85" t="s">
        <v>164</v>
      </c>
      <c r="F466" s="86" t="s">
        <v>238</v>
      </c>
      <c r="G466" s="87" t="s">
        <v>226</v>
      </c>
      <c r="H466" s="88">
        <f t="shared" si="3"/>
        <v>1.1</v>
      </c>
      <c r="I466" s="89">
        <v>1.0</v>
      </c>
      <c r="J466" s="89"/>
      <c r="K466" s="89">
        <f t="shared" si="4"/>
        <v>0.1</v>
      </c>
      <c r="L466" s="84">
        <f t="shared" si="5"/>
        <v>465</v>
      </c>
      <c r="M466" s="85" t="s">
        <v>133</v>
      </c>
    </row>
    <row r="467" ht="22.5" customHeight="1">
      <c r="A467" s="83">
        <v>46191.0</v>
      </c>
      <c r="B467" s="84" t="str">
        <f t="shared" si="1"/>
        <v>Jun 2026</v>
      </c>
      <c r="C467" s="84">
        <f t="shared" si="2"/>
        <v>25</v>
      </c>
      <c r="D467" s="85" t="s">
        <v>159</v>
      </c>
      <c r="E467" s="85" t="s">
        <v>164</v>
      </c>
      <c r="F467" s="86" t="s">
        <v>172</v>
      </c>
      <c r="G467" s="87" t="s">
        <v>62</v>
      </c>
      <c r="H467" s="88">
        <f t="shared" si="3"/>
        <v>0.11</v>
      </c>
      <c r="I467" s="89">
        <v>0.1</v>
      </c>
      <c r="J467" s="89"/>
      <c r="K467" s="89">
        <f t="shared" si="4"/>
        <v>0.01</v>
      </c>
      <c r="L467" s="84">
        <f t="shared" si="5"/>
        <v>466</v>
      </c>
      <c r="M467" s="85" t="s">
        <v>181</v>
      </c>
    </row>
    <row r="468" ht="22.5" customHeight="1">
      <c r="A468" s="83">
        <v>46191.0</v>
      </c>
      <c r="B468" s="84" t="str">
        <f t="shared" si="1"/>
        <v>Jun 2026</v>
      </c>
      <c r="C468" s="84">
        <f t="shared" si="2"/>
        <v>25</v>
      </c>
      <c r="D468" s="85" t="s">
        <v>159</v>
      </c>
      <c r="E468" s="85" t="s">
        <v>164</v>
      </c>
      <c r="F468" s="86" t="s">
        <v>249</v>
      </c>
      <c r="G468" s="87" t="s">
        <v>190</v>
      </c>
      <c r="H468" s="88">
        <f t="shared" si="3"/>
        <v>0.11</v>
      </c>
      <c r="I468" s="89">
        <v>0.1</v>
      </c>
      <c r="J468" s="89"/>
      <c r="K468" s="89">
        <f t="shared" si="4"/>
        <v>0.01</v>
      </c>
      <c r="L468" s="84">
        <f t="shared" si="5"/>
        <v>467</v>
      </c>
      <c r="M468" s="85" t="s">
        <v>181</v>
      </c>
    </row>
    <row r="469" ht="22.5" customHeight="1">
      <c r="A469" s="83">
        <v>46191.0</v>
      </c>
      <c r="B469" s="84" t="str">
        <f t="shared" si="1"/>
        <v>Jun 2026</v>
      </c>
      <c r="C469" s="84">
        <f t="shared" si="2"/>
        <v>25</v>
      </c>
      <c r="D469" s="85" t="s">
        <v>159</v>
      </c>
      <c r="E469" s="85" t="s">
        <v>164</v>
      </c>
      <c r="F469" s="86" t="s">
        <v>244</v>
      </c>
      <c r="G469" s="87" t="s">
        <v>206</v>
      </c>
      <c r="H469" s="88">
        <f t="shared" si="3"/>
        <v>0.11</v>
      </c>
      <c r="I469" s="89">
        <v>0.1</v>
      </c>
      <c r="J469" s="89"/>
      <c r="K469" s="89">
        <f t="shared" si="4"/>
        <v>0.01</v>
      </c>
      <c r="L469" s="84">
        <f t="shared" si="5"/>
        <v>468</v>
      </c>
      <c r="M469" s="85" t="s">
        <v>181</v>
      </c>
    </row>
    <row r="470" ht="22.5" customHeight="1">
      <c r="A470" s="83">
        <v>46191.0</v>
      </c>
      <c r="B470" s="84" t="str">
        <f t="shared" si="1"/>
        <v>Jun 2026</v>
      </c>
      <c r="C470" s="84">
        <f t="shared" si="2"/>
        <v>25</v>
      </c>
      <c r="D470" s="85" t="s">
        <v>159</v>
      </c>
      <c r="E470" s="85" t="s">
        <v>164</v>
      </c>
      <c r="F470" s="86" t="s">
        <v>246</v>
      </c>
      <c r="G470" s="87" t="s">
        <v>185</v>
      </c>
      <c r="H470" s="88">
        <f t="shared" si="3"/>
        <v>0.11</v>
      </c>
      <c r="I470" s="89">
        <v>0.1</v>
      </c>
      <c r="J470" s="89"/>
      <c r="K470" s="89">
        <f t="shared" si="4"/>
        <v>0.01</v>
      </c>
      <c r="L470" s="84">
        <f t="shared" si="5"/>
        <v>469</v>
      </c>
      <c r="M470" s="85" t="s">
        <v>181</v>
      </c>
    </row>
    <row r="471" ht="22.5" customHeight="1">
      <c r="A471" s="83">
        <v>46191.0</v>
      </c>
      <c r="B471" s="84" t="str">
        <f t="shared" si="1"/>
        <v>Jun 2026</v>
      </c>
      <c r="C471" s="84">
        <f t="shared" si="2"/>
        <v>25</v>
      </c>
      <c r="D471" s="85" t="s">
        <v>159</v>
      </c>
      <c r="E471" s="85" t="s">
        <v>164</v>
      </c>
      <c r="F471" s="86" t="s">
        <v>236</v>
      </c>
      <c r="G471" s="86" t="s">
        <v>192</v>
      </c>
      <c r="H471" s="88">
        <f t="shared" si="3"/>
        <v>0.11</v>
      </c>
      <c r="I471" s="89">
        <v>0.1</v>
      </c>
      <c r="J471" s="89"/>
      <c r="K471" s="89">
        <f t="shared" si="4"/>
        <v>0.01</v>
      </c>
      <c r="L471" s="84">
        <f t="shared" si="5"/>
        <v>470</v>
      </c>
      <c r="M471" s="85" t="s">
        <v>181</v>
      </c>
    </row>
    <row r="472" ht="22.5" customHeight="1">
      <c r="A472" s="83">
        <v>46191.0</v>
      </c>
      <c r="B472" s="84" t="str">
        <f t="shared" si="1"/>
        <v>Jun 2026</v>
      </c>
      <c r="C472" s="84">
        <f t="shared" si="2"/>
        <v>25</v>
      </c>
      <c r="D472" s="85" t="s">
        <v>159</v>
      </c>
      <c r="E472" s="85" t="s">
        <v>164</v>
      </c>
      <c r="F472" s="86" t="s">
        <v>250</v>
      </c>
      <c r="G472" s="86" t="s">
        <v>194</v>
      </c>
      <c r="H472" s="88">
        <f t="shared" si="3"/>
        <v>0.11</v>
      </c>
      <c r="I472" s="89">
        <v>0.1</v>
      </c>
      <c r="J472" s="89"/>
      <c r="K472" s="89">
        <f t="shared" si="4"/>
        <v>0.01</v>
      </c>
      <c r="L472" s="84">
        <f t="shared" si="5"/>
        <v>471</v>
      </c>
      <c r="M472" s="85" t="s">
        <v>181</v>
      </c>
    </row>
    <row r="473" ht="22.5" customHeight="1">
      <c r="A473" s="83">
        <v>46191.0</v>
      </c>
      <c r="B473" s="84" t="str">
        <f t="shared" si="1"/>
        <v>Jun 2026</v>
      </c>
      <c r="C473" s="84">
        <f t="shared" si="2"/>
        <v>25</v>
      </c>
      <c r="D473" s="85" t="s">
        <v>159</v>
      </c>
      <c r="E473" s="85" t="s">
        <v>164</v>
      </c>
      <c r="F473" s="86" t="s">
        <v>172</v>
      </c>
      <c r="G473" s="87" t="s">
        <v>62</v>
      </c>
      <c r="H473" s="88">
        <f t="shared" si="3"/>
        <v>0.11</v>
      </c>
      <c r="I473" s="89">
        <v>0.1</v>
      </c>
      <c r="J473" s="89"/>
      <c r="K473" s="89">
        <f t="shared" si="4"/>
        <v>0.01</v>
      </c>
      <c r="L473" s="84">
        <f t="shared" si="5"/>
        <v>472</v>
      </c>
      <c r="M473" s="85" t="s">
        <v>181</v>
      </c>
    </row>
    <row r="474" ht="22.5" customHeight="1">
      <c r="A474" s="83">
        <v>46191.0</v>
      </c>
      <c r="B474" s="84" t="str">
        <f t="shared" si="1"/>
        <v>Jun 2026</v>
      </c>
      <c r="C474" s="84">
        <f t="shared" si="2"/>
        <v>25</v>
      </c>
      <c r="D474" s="85" t="s">
        <v>159</v>
      </c>
      <c r="E474" s="85" t="s">
        <v>164</v>
      </c>
      <c r="F474" s="86" t="s">
        <v>249</v>
      </c>
      <c r="G474" s="87" t="s">
        <v>190</v>
      </c>
      <c r="H474" s="88">
        <f t="shared" si="3"/>
        <v>0.11</v>
      </c>
      <c r="I474" s="89">
        <v>0.1</v>
      </c>
      <c r="J474" s="89"/>
      <c r="K474" s="89">
        <f t="shared" si="4"/>
        <v>0.01</v>
      </c>
      <c r="L474" s="84">
        <f t="shared" si="5"/>
        <v>473</v>
      </c>
      <c r="M474" s="85" t="s">
        <v>181</v>
      </c>
    </row>
    <row r="475" ht="22.5" customHeight="1">
      <c r="A475" s="83">
        <v>46191.0</v>
      </c>
      <c r="B475" s="84" t="str">
        <f t="shared" si="1"/>
        <v>Jun 2026</v>
      </c>
      <c r="C475" s="84">
        <f t="shared" si="2"/>
        <v>25</v>
      </c>
      <c r="D475" s="85" t="s">
        <v>159</v>
      </c>
      <c r="E475" s="85" t="s">
        <v>164</v>
      </c>
      <c r="F475" s="86" t="s">
        <v>245</v>
      </c>
      <c r="G475" s="86" t="s">
        <v>228</v>
      </c>
      <c r="H475" s="88">
        <f t="shared" si="3"/>
        <v>0.11</v>
      </c>
      <c r="I475" s="89">
        <v>0.1</v>
      </c>
      <c r="J475" s="89"/>
      <c r="K475" s="89">
        <f t="shared" si="4"/>
        <v>0.01</v>
      </c>
      <c r="L475" s="84">
        <f t="shared" si="5"/>
        <v>474</v>
      </c>
      <c r="M475" s="85" t="s">
        <v>181</v>
      </c>
    </row>
    <row r="476" ht="22.5" customHeight="1">
      <c r="A476" s="83">
        <v>46191.0</v>
      </c>
      <c r="B476" s="84" t="str">
        <f t="shared" si="1"/>
        <v>Jun 2026</v>
      </c>
      <c r="C476" s="84">
        <f t="shared" si="2"/>
        <v>25</v>
      </c>
      <c r="D476" s="85" t="s">
        <v>159</v>
      </c>
      <c r="E476" s="85" t="s">
        <v>164</v>
      </c>
      <c r="F476" s="86" t="s">
        <v>250</v>
      </c>
      <c r="G476" s="86" t="s">
        <v>194</v>
      </c>
      <c r="H476" s="88">
        <f t="shared" si="3"/>
        <v>0.11</v>
      </c>
      <c r="I476" s="89">
        <v>0.1</v>
      </c>
      <c r="J476" s="89"/>
      <c r="K476" s="89">
        <f t="shared" si="4"/>
        <v>0.01</v>
      </c>
      <c r="L476" s="84">
        <f t="shared" si="5"/>
        <v>475</v>
      </c>
      <c r="M476" s="85" t="s">
        <v>181</v>
      </c>
    </row>
    <row r="477" ht="22.5" customHeight="1">
      <c r="A477" s="83">
        <v>46191.0</v>
      </c>
      <c r="B477" s="84" t="str">
        <f t="shared" si="1"/>
        <v>Jun 2026</v>
      </c>
      <c r="C477" s="84">
        <f t="shared" si="2"/>
        <v>25</v>
      </c>
      <c r="D477" s="85" t="s">
        <v>159</v>
      </c>
      <c r="E477" s="85" t="s">
        <v>164</v>
      </c>
      <c r="F477" s="86" t="s">
        <v>239</v>
      </c>
      <c r="G477" s="86" t="s">
        <v>207</v>
      </c>
      <c r="H477" s="88">
        <f t="shared" si="3"/>
        <v>0.11</v>
      </c>
      <c r="I477" s="89">
        <v>0.1</v>
      </c>
      <c r="J477" s="89"/>
      <c r="K477" s="89">
        <f t="shared" si="4"/>
        <v>0.01</v>
      </c>
      <c r="L477" s="84">
        <f t="shared" si="5"/>
        <v>476</v>
      </c>
      <c r="M477" s="85" t="s">
        <v>181</v>
      </c>
    </row>
    <row r="478" ht="22.5" customHeight="1">
      <c r="A478" s="83">
        <v>46191.0</v>
      </c>
      <c r="B478" s="84" t="str">
        <f t="shared" si="1"/>
        <v>Jun 2026</v>
      </c>
      <c r="C478" s="84">
        <f t="shared" si="2"/>
        <v>25</v>
      </c>
      <c r="D478" s="85" t="s">
        <v>159</v>
      </c>
      <c r="E478" s="85" t="s">
        <v>164</v>
      </c>
      <c r="F478" s="86" t="s">
        <v>244</v>
      </c>
      <c r="G478" s="87" t="s">
        <v>206</v>
      </c>
      <c r="H478" s="88">
        <f t="shared" si="3"/>
        <v>0.11</v>
      </c>
      <c r="I478" s="89">
        <v>0.1</v>
      </c>
      <c r="J478" s="89"/>
      <c r="K478" s="89">
        <f t="shared" si="4"/>
        <v>0.01</v>
      </c>
      <c r="L478" s="84">
        <f t="shared" si="5"/>
        <v>477</v>
      </c>
      <c r="M478" s="85" t="s">
        <v>181</v>
      </c>
    </row>
    <row r="479" ht="22.5" customHeight="1">
      <c r="A479" s="83">
        <v>46191.0</v>
      </c>
      <c r="B479" s="84" t="str">
        <f t="shared" si="1"/>
        <v>Jun 2026</v>
      </c>
      <c r="C479" s="84">
        <f t="shared" si="2"/>
        <v>25</v>
      </c>
      <c r="D479" s="85" t="s">
        <v>159</v>
      </c>
      <c r="E479" s="85" t="s">
        <v>164</v>
      </c>
      <c r="F479" s="86" t="s">
        <v>249</v>
      </c>
      <c r="G479" s="87" t="s">
        <v>190</v>
      </c>
      <c r="H479" s="88">
        <f t="shared" si="3"/>
        <v>0.11</v>
      </c>
      <c r="I479" s="89">
        <v>0.1</v>
      </c>
      <c r="J479" s="89"/>
      <c r="K479" s="89">
        <f t="shared" si="4"/>
        <v>0.01</v>
      </c>
      <c r="L479" s="84">
        <f t="shared" si="5"/>
        <v>478</v>
      </c>
      <c r="M479" s="85" t="s">
        <v>181</v>
      </c>
    </row>
    <row r="480" ht="22.5" customHeight="1">
      <c r="A480" s="83">
        <v>46191.0</v>
      </c>
      <c r="B480" s="84" t="str">
        <f t="shared" si="1"/>
        <v>Jun 2026</v>
      </c>
      <c r="C480" s="84">
        <f t="shared" si="2"/>
        <v>25</v>
      </c>
      <c r="D480" s="85" t="s">
        <v>160</v>
      </c>
      <c r="E480" s="85" t="s">
        <v>165</v>
      </c>
      <c r="F480" s="86" t="s">
        <v>251</v>
      </c>
      <c r="G480" s="87" t="s">
        <v>218</v>
      </c>
      <c r="H480" s="88">
        <f t="shared" si="3"/>
        <v>1.1</v>
      </c>
      <c r="I480" s="89">
        <v>1.0</v>
      </c>
      <c r="J480" s="130"/>
      <c r="K480" s="89">
        <f t="shared" si="4"/>
        <v>0.1</v>
      </c>
      <c r="L480" s="84">
        <f t="shared" si="5"/>
        <v>479</v>
      </c>
      <c r="M480" s="85" t="s">
        <v>175</v>
      </c>
    </row>
    <row r="481" ht="22.5" customHeight="1">
      <c r="A481" s="83">
        <v>46191.0</v>
      </c>
      <c r="B481" s="84" t="str">
        <f t="shared" si="1"/>
        <v>Jun 2026</v>
      </c>
      <c r="C481" s="84">
        <f t="shared" si="2"/>
        <v>25</v>
      </c>
      <c r="D481" s="85" t="s">
        <v>160</v>
      </c>
      <c r="E481" s="85" t="s">
        <v>165</v>
      </c>
      <c r="F481" s="86" t="s">
        <v>251</v>
      </c>
      <c r="G481" s="87" t="s">
        <v>218</v>
      </c>
      <c r="H481" s="88">
        <f t="shared" si="3"/>
        <v>1.1</v>
      </c>
      <c r="I481" s="89">
        <v>1.0</v>
      </c>
      <c r="J481" s="130"/>
      <c r="K481" s="89">
        <f t="shared" si="4"/>
        <v>0.1</v>
      </c>
      <c r="L481" s="84">
        <f t="shared" si="5"/>
        <v>480</v>
      </c>
      <c r="M481" s="85" t="s">
        <v>175</v>
      </c>
    </row>
    <row r="482" ht="22.5" customHeight="1">
      <c r="A482" s="83">
        <v>46191.0</v>
      </c>
      <c r="B482" s="84" t="str">
        <f t="shared" si="1"/>
        <v>Jun 2026</v>
      </c>
      <c r="C482" s="84">
        <f t="shared" si="2"/>
        <v>25</v>
      </c>
      <c r="D482" s="85" t="s">
        <v>160</v>
      </c>
      <c r="E482" s="85" t="s">
        <v>165</v>
      </c>
      <c r="F482" s="86" t="s">
        <v>251</v>
      </c>
      <c r="G482" s="87" t="s">
        <v>218</v>
      </c>
      <c r="H482" s="88">
        <f t="shared" si="3"/>
        <v>1.1</v>
      </c>
      <c r="I482" s="89">
        <v>1.0</v>
      </c>
      <c r="J482" s="130"/>
      <c r="K482" s="89">
        <f t="shared" si="4"/>
        <v>0.1</v>
      </c>
      <c r="L482" s="84">
        <f t="shared" si="5"/>
        <v>481</v>
      </c>
      <c r="M482" s="85" t="s">
        <v>175</v>
      </c>
    </row>
    <row r="483" ht="22.5" customHeight="1">
      <c r="A483" s="83">
        <v>46191.0</v>
      </c>
      <c r="B483" s="84" t="str">
        <f t="shared" si="1"/>
        <v>Jun 2026</v>
      </c>
      <c r="C483" s="84">
        <f t="shared" si="2"/>
        <v>25</v>
      </c>
      <c r="D483" s="85" t="s">
        <v>160</v>
      </c>
      <c r="E483" s="85" t="s">
        <v>165</v>
      </c>
      <c r="F483" s="86" t="s">
        <v>251</v>
      </c>
      <c r="G483" s="87" t="s">
        <v>218</v>
      </c>
      <c r="H483" s="88">
        <f t="shared" si="3"/>
        <v>1.1</v>
      </c>
      <c r="I483" s="89">
        <v>1.0</v>
      </c>
      <c r="J483" s="130"/>
      <c r="K483" s="89">
        <f t="shared" si="4"/>
        <v>0.1</v>
      </c>
      <c r="L483" s="84">
        <f t="shared" si="5"/>
        <v>482</v>
      </c>
      <c r="M483" s="85" t="s">
        <v>175</v>
      </c>
    </row>
    <row r="484" ht="22.5" customHeight="1">
      <c r="A484" s="83">
        <v>46191.0</v>
      </c>
      <c r="B484" s="84" t="str">
        <f t="shared" si="1"/>
        <v>Jun 2026</v>
      </c>
      <c r="C484" s="84">
        <f t="shared" si="2"/>
        <v>25</v>
      </c>
      <c r="D484" s="85" t="s">
        <v>160</v>
      </c>
      <c r="E484" s="85" t="s">
        <v>165</v>
      </c>
      <c r="F484" s="86" t="s">
        <v>251</v>
      </c>
      <c r="G484" s="87" t="s">
        <v>218</v>
      </c>
      <c r="H484" s="88">
        <f t="shared" si="3"/>
        <v>1.1</v>
      </c>
      <c r="I484" s="89">
        <v>1.0</v>
      </c>
      <c r="J484" s="130"/>
      <c r="K484" s="89">
        <f t="shared" si="4"/>
        <v>0.1</v>
      </c>
      <c r="L484" s="84">
        <f t="shared" si="5"/>
        <v>483</v>
      </c>
      <c r="M484" s="85" t="s">
        <v>133</v>
      </c>
    </row>
    <row r="485" ht="22.5" customHeight="1">
      <c r="A485" s="83">
        <v>46191.0</v>
      </c>
      <c r="B485" s="84" t="str">
        <f t="shared" si="1"/>
        <v>Jun 2026</v>
      </c>
      <c r="C485" s="84">
        <f t="shared" si="2"/>
        <v>25</v>
      </c>
      <c r="D485" s="85" t="s">
        <v>129</v>
      </c>
      <c r="E485" s="85" t="s">
        <v>165</v>
      </c>
      <c r="F485" s="86" t="s">
        <v>238</v>
      </c>
      <c r="G485" s="87" t="s">
        <v>226</v>
      </c>
      <c r="H485" s="88">
        <f t="shared" si="3"/>
        <v>1.1</v>
      </c>
      <c r="I485" s="89">
        <v>1.0</v>
      </c>
      <c r="J485" s="130"/>
      <c r="K485" s="89">
        <f t="shared" si="4"/>
        <v>0.1</v>
      </c>
      <c r="L485" s="84">
        <f t="shared" si="5"/>
        <v>484</v>
      </c>
      <c r="M485" s="85" t="s">
        <v>133</v>
      </c>
    </row>
    <row r="486" ht="22.5" customHeight="1">
      <c r="A486" s="83">
        <v>46191.0</v>
      </c>
      <c r="B486" s="84" t="str">
        <f t="shared" si="1"/>
        <v>Jun 2026</v>
      </c>
      <c r="C486" s="84">
        <f t="shared" si="2"/>
        <v>25</v>
      </c>
      <c r="D486" s="85" t="s">
        <v>159</v>
      </c>
      <c r="E486" s="85" t="s">
        <v>165</v>
      </c>
      <c r="F486" s="86" t="s">
        <v>250</v>
      </c>
      <c r="G486" s="86" t="s">
        <v>194</v>
      </c>
      <c r="H486" s="88">
        <f t="shared" si="3"/>
        <v>0.11</v>
      </c>
      <c r="I486" s="89">
        <v>0.1</v>
      </c>
      <c r="J486" s="130"/>
      <c r="K486" s="89">
        <f t="shared" si="4"/>
        <v>0.01</v>
      </c>
      <c r="L486" s="84">
        <f t="shared" si="5"/>
        <v>485</v>
      </c>
      <c r="M486" s="85" t="s">
        <v>181</v>
      </c>
    </row>
    <row r="487" ht="22.5" customHeight="1">
      <c r="A487" s="83">
        <v>46191.0</v>
      </c>
      <c r="B487" s="84" t="str">
        <f t="shared" si="1"/>
        <v>Jun 2026</v>
      </c>
      <c r="C487" s="84">
        <f t="shared" si="2"/>
        <v>25</v>
      </c>
      <c r="D487" s="85" t="s">
        <v>159</v>
      </c>
      <c r="E487" s="85" t="s">
        <v>165</v>
      </c>
      <c r="F487" s="86" t="s">
        <v>171</v>
      </c>
      <c r="G487" s="87" t="s">
        <v>66</v>
      </c>
      <c r="H487" s="88">
        <f t="shared" si="3"/>
        <v>0.11</v>
      </c>
      <c r="I487" s="89">
        <v>0.1</v>
      </c>
      <c r="J487" s="130"/>
      <c r="K487" s="89">
        <f t="shared" si="4"/>
        <v>0.01</v>
      </c>
      <c r="L487" s="84">
        <f t="shared" si="5"/>
        <v>486</v>
      </c>
      <c r="M487" s="85" t="s">
        <v>181</v>
      </c>
    </row>
    <row r="488" ht="22.5" customHeight="1">
      <c r="A488" s="83">
        <v>46191.0</v>
      </c>
      <c r="B488" s="84" t="str">
        <f t="shared" si="1"/>
        <v>Jun 2026</v>
      </c>
      <c r="C488" s="84">
        <f t="shared" si="2"/>
        <v>25</v>
      </c>
      <c r="D488" s="85" t="s">
        <v>159</v>
      </c>
      <c r="E488" s="85" t="s">
        <v>165</v>
      </c>
      <c r="F488" s="86" t="s">
        <v>172</v>
      </c>
      <c r="G488" s="87" t="s">
        <v>62</v>
      </c>
      <c r="H488" s="88">
        <f t="shared" si="3"/>
        <v>0.11</v>
      </c>
      <c r="I488" s="89">
        <v>0.1</v>
      </c>
      <c r="J488" s="130"/>
      <c r="K488" s="89">
        <f t="shared" si="4"/>
        <v>0.01</v>
      </c>
      <c r="L488" s="84">
        <f t="shared" si="5"/>
        <v>487</v>
      </c>
      <c r="M488" s="85" t="s">
        <v>181</v>
      </c>
    </row>
    <row r="489" ht="22.5" customHeight="1">
      <c r="A489" s="83">
        <v>46191.0</v>
      </c>
      <c r="B489" s="84" t="str">
        <f t="shared" si="1"/>
        <v>Jun 2026</v>
      </c>
      <c r="C489" s="84">
        <f t="shared" si="2"/>
        <v>25</v>
      </c>
      <c r="D489" s="85" t="s">
        <v>159</v>
      </c>
      <c r="E489" s="85" t="s">
        <v>165</v>
      </c>
      <c r="F489" s="86" t="s">
        <v>245</v>
      </c>
      <c r="G489" s="86" t="s">
        <v>228</v>
      </c>
      <c r="H489" s="88">
        <f t="shared" si="3"/>
        <v>0.11</v>
      </c>
      <c r="I489" s="89">
        <v>0.1</v>
      </c>
      <c r="J489" s="130"/>
      <c r="K489" s="89">
        <f t="shared" si="4"/>
        <v>0.01</v>
      </c>
      <c r="L489" s="84">
        <f t="shared" si="5"/>
        <v>488</v>
      </c>
      <c r="M489" s="85" t="s">
        <v>181</v>
      </c>
    </row>
    <row r="490" ht="22.5" customHeight="1">
      <c r="A490" s="83">
        <v>46191.0</v>
      </c>
      <c r="B490" s="84" t="str">
        <f t="shared" si="1"/>
        <v>Jun 2026</v>
      </c>
      <c r="C490" s="84">
        <f t="shared" si="2"/>
        <v>25</v>
      </c>
      <c r="D490" s="85" t="s">
        <v>160</v>
      </c>
      <c r="E490" s="85" t="s">
        <v>167</v>
      </c>
      <c r="F490" s="86" t="s">
        <v>248</v>
      </c>
      <c r="G490" s="87" t="s">
        <v>227</v>
      </c>
      <c r="H490" s="88">
        <f t="shared" si="3"/>
        <v>1.1</v>
      </c>
      <c r="I490" s="89">
        <v>1.0</v>
      </c>
      <c r="J490" s="130"/>
      <c r="K490" s="89">
        <f t="shared" si="4"/>
        <v>0.1</v>
      </c>
      <c r="L490" s="84">
        <f t="shared" si="5"/>
        <v>489</v>
      </c>
      <c r="M490" s="85" t="s">
        <v>175</v>
      </c>
    </row>
    <row r="491" ht="22.5" customHeight="1">
      <c r="A491" s="83">
        <v>46191.0</v>
      </c>
      <c r="B491" s="84" t="str">
        <f t="shared" si="1"/>
        <v>Jun 2026</v>
      </c>
      <c r="C491" s="84">
        <f t="shared" si="2"/>
        <v>25</v>
      </c>
      <c r="D491" s="85" t="s">
        <v>129</v>
      </c>
      <c r="E491" s="85" t="s">
        <v>167</v>
      </c>
      <c r="F491" s="86" t="s">
        <v>238</v>
      </c>
      <c r="G491" s="87" t="s">
        <v>226</v>
      </c>
      <c r="H491" s="88">
        <f t="shared" si="3"/>
        <v>1.1</v>
      </c>
      <c r="I491" s="89">
        <v>1.0</v>
      </c>
      <c r="J491" s="130"/>
      <c r="K491" s="89">
        <f t="shared" si="4"/>
        <v>0.1</v>
      </c>
      <c r="L491" s="84">
        <f t="shared" si="5"/>
        <v>490</v>
      </c>
      <c r="M491" s="85" t="s">
        <v>133</v>
      </c>
    </row>
    <row r="492" ht="22.5" customHeight="1">
      <c r="A492" s="83">
        <v>46191.0</v>
      </c>
      <c r="B492" s="84" t="str">
        <f t="shared" si="1"/>
        <v>Jun 2026</v>
      </c>
      <c r="C492" s="84">
        <f t="shared" si="2"/>
        <v>25</v>
      </c>
      <c r="D492" s="85" t="s">
        <v>159</v>
      </c>
      <c r="E492" s="85" t="s">
        <v>167</v>
      </c>
      <c r="F492" s="86" t="s">
        <v>171</v>
      </c>
      <c r="G492" s="87" t="s">
        <v>66</v>
      </c>
      <c r="H492" s="88">
        <f t="shared" si="3"/>
        <v>0.11</v>
      </c>
      <c r="I492" s="89">
        <v>0.1</v>
      </c>
      <c r="J492" s="130"/>
      <c r="K492" s="89">
        <f t="shared" si="4"/>
        <v>0.01</v>
      </c>
      <c r="L492" s="84">
        <f t="shared" si="5"/>
        <v>491</v>
      </c>
      <c r="M492" s="85" t="s">
        <v>181</v>
      </c>
    </row>
    <row r="493" ht="22.5" customHeight="1">
      <c r="A493" s="83">
        <v>46191.0</v>
      </c>
      <c r="B493" s="84" t="str">
        <f t="shared" si="1"/>
        <v>Jun 2026</v>
      </c>
      <c r="C493" s="84">
        <f t="shared" si="2"/>
        <v>25</v>
      </c>
      <c r="D493" s="85" t="s">
        <v>159</v>
      </c>
      <c r="E493" s="85" t="s">
        <v>167</v>
      </c>
      <c r="F493" s="86" t="s">
        <v>243</v>
      </c>
      <c r="G493" s="87" t="s">
        <v>182</v>
      </c>
      <c r="H493" s="88">
        <f t="shared" si="3"/>
        <v>0.11</v>
      </c>
      <c r="I493" s="89">
        <v>0.1</v>
      </c>
      <c r="J493" s="130"/>
      <c r="K493" s="89">
        <f t="shared" si="4"/>
        <v>0.01</v>
      </c>
      <c r="L493" s="84">
        <f t="shared" si="5"/>
        <v>492</v>
      </c>
      <c r="M493" s="85" t="s">
        <v>181</v>
      </c>
    </row>
    <row r="494" ht="22.5" customHeight="1">
      <c r="A494" s="83">
        <v>46191.0</v>
      </c>
      <c r="B494" s="84" t="str">
        <f t="shared" si="1"/>
        <v>Jun 2026</v>
      </c>
      <c r="C494" s="84">
        <f t="shared" si="2"/>
        <v>25</v>
      </c>
      <c r="D494" s="85" t="s">
        <v>159</v>
      </c>
      <c r="E494" s="85" t="s">
        <v>167</v>
      </c>
      <c r="F494" s="86" t="s">
        <v>242</v>
      </c>
      <c r="G494" s="87" t="s">
        <v>191</v>
      </c>
      <c r="H494" s="88">
        <f t="shared" si="3"/>
        <v>0.11</v>
      </c>
      <c r="I494" s="89">
        <v>0.1</v>
      </c>
      <c r="J494" s="130"/>
      <c r="K494" s="89">
        <f t="shared" si="4"/>
        <v>0.01</v>
      </c>
      <c r="L494" s="84">
        <f t="shared" si="5"/>
        <v>493</v>
      </c>
      <c r="M494" s="85" t="s">
        <v>181</v>
      </c>
    </row>
    <row r="495" ht="22.5" customHeight="1">
      <c r="A495" s="83">
        <v>46191.0</v>
      </c>
      <c r="B495" s="84" t="str">
        <f t="shared" si="1"/>
        <v>Jun 2026</v>
      </c>
      <c r="C495" s="84">
        <f t="shared" si="2"/>
        <v>25</v>
      </c>
      <c r="D495" s="85" t="s">
        <v>159</v>
      </c>
      <c r="E495" s="85" t="s">
        <v>167</v>
      </c>
      <c r="F495" s="86" t="s">
        <v>189</v>
      </c>
      <c r="G495" s="86" t="s">
        <v>189</v>
      </c>
      <c r="H495" s="88">
        <f t="shared" si="3"/>
        <v>0.11</v>
      </c>
      <c r="I495" s="89">
        <v>0.1</v>
      </c>
      <c r="J495" s="130"/>
      <c r="K495" s="89">
        <f t="shared" si="4"/>
        <v>0.01</v>
      </c>
      <c r="L495" s="84">
        <f t="shared" si="5"/>
        <v>494</v>
      </c>
      <c r="M495" s="85" t="s">
        <v>181</v>
      </c>
    </row>
    <row r="496" ht="22.5" customHeight="1">
      <c r="A496" s="83">
        <v>46191.0</v>
      </c>
      <c r="B496" s="84" t="str">
        <f t="shared" si="1"/>
        <v>Jun 2026</v>
      </c>
      <c r="C496" s="84">
        <f t="shared" si="2"/>
        <v>25</v>
      </c>
      <c r="D496" s="85" t="s">
        <v>159</v>
      </c>
      <c r="E496" s="85" t="s">
        <v>167</v>
      </c>
      <c r="F496" s="86" t="s">
        <v>239</v>
      </c>
      <c r="G496" s="86" t="s">
        <v>207</v>
      </c>
      <c r="H496" s="88">
        <f t="shared" si="3"/>
        <v>0.11</v>
      </c>
      <c r="I496" s="89">
        <v>0.1</v>
      </c>
      <c r="J496" s="130"/>
      <c r="K496" s="89">
        <f t="shared" si="4"/>
        <v>0.01</v>
      </c>
      <c r="L496" s="84">
        <f t="shared" si="5"/>
        <v>495</v>
      </c>
      <c r="M496" s="85" t="s">
        <v>181</v>
      </c>
    </row>
    <row r="497" ht="22.5" customHeight="1">
      <c r="A497" s="83">
        <v>46191.0</v>
      </c>
      <c r="B497" s="84" t="str">
        <f t="shared" si="1"/>
        <v>Jun 2026</v>
      </c>
      <c r="C497" s="84">
        <f t="shared" si="2"/>
        <v>25</v>
      </c>
      <c r="D497" s="85" t="s">
        <v>159</v>
      </c>
      <c r="E497" s="85" t="s">
        <v>167</v>
      </c>
      <c r="F497" s="86" t="s">
        <v>236</v>
      </c>
      <c r="G497" s="86" t="s">
        <v>192</v>
      </c>
      <c r="H497" s="88">
        <f t="shared" si="3"/>
        <v>0.11</v>
      </c>
      <c r="I497" s="89">
        <v>0.1</v>
      </c>
      <c r="J497" s="130"/>
      <c r="K497" s="89">
        <f t="shared" si="4"/>
        <v>0.01</v>
      </c>
      <c r="L497" s="84">
        <f t="shared" si="5"/>
        <v>496</v>
      </c>
      <c r="M497" s="85" t="s">
        <v>181</v>
      </c>
    </row>
    <row r="498" ht="22.5" customHeight="1">
      <c r="A498" s="83">
        <v>46191.0</v>
      </c>
      <c r="B498" s="84" t="str">
        <f t="shared" si="1"/>
        <v>Jun 2026</v>
      </c>
      <c r="C498" s="84">
        <f t="shared" si="2"/>
        <v>25</v>
      </c>
      <c r="D498" s="85" t="s">
        <v>159</v>
      </c>
      <c r="E498" s="85" t="s">
        <v>167</v>
      </c>
      <c r="F498" s="86" t="s">
        <v>249</v>
      </c>
      <c r="G498" s="87" t="s">
        <v>190</v>
      </c>
      <c r="H498" s="88">
        <f t="shared" si="3"/>
        <v>0.11</v>
      </c>
      <c r="I498" s="89">
        <v>0.1</v>
      </c>
      <c r="J498" s="130"/>
      <c r="K498" s="89">
        <f t="shared" si="4"/>
        <v>0.01</v>
      </c>
      <c r="L498" s="84">
        <f t="shared" si="5"/>
        <v>497</v>
      </c>
      <c r="M498" s="85" t="s">
        <v>181</v>
      </c>
    </row>
    <row r="499" ht="22.5" customHeight="1">
      <c r="A499" s="83">
        <v>46191.0</v>
      </c>
      <c r="B499" s="84" t="str">
        <f t="shared" si="1"/>
        <v>Jun 2026</v>
      </c>
      <c r="C499" s="84">
        <f t="shared" si="2"/>
        <v>25</v>
      </c>
      <c r="D499" s="85" t="s">
        <v>159</v>
      </c>
      <c r="E499" s="85" t="s">
        <v>167</v>
      </c>
      <c r="F499" s="86" t="s">
        <v>250</v>
      </c>
      <c r="G499" s="86" t="s">
        <v>194</v>
      </c>
      <c r="H499" s="88">
        <f t="shared" si="3"/>
        <v>0.11</v>
      </c>
      <c r="I499" s="89">
        <v>0.1</v>
      </c>
      <c r="J499" s="130"/>
      <c r="K499" s="89">
        <f t="shared" si="4"/>
        <v>0.01</v>
      </c>
      <c r="L499" s="84">
        <f t="shared" si="5"/>
        <v>498</v>
      </c>
      <c r="M499" s="85" t="s">
        <v>181</v>
      </c>
    </row>
    <row r="500" ht="22.5" customHeight="1">
      <c r="A500" s="83">
        <v>46191.0</v>
      </c>
      <c r="B500" s="84" t="str">
        <f t="shared" si="1"/>
        <v>Jun 2026</v>
      </c>
      <c r="C500" s="84">
        <f t="shared" si="2"/>
        <v>25</v>
      </c>
      <c r="D500" s="85" t="s">
        <v>159</v>
      </c>
      <c r="E500" s="85" t="s">
        <v>167</v>
      </c>
      <c r="F500" s="86" t="s">
        <v>247</v>
      </c>
      <c r="G500" s="87" t="s">
        <v>183</v>
      </c>
      <c r="H500" s="88">
        <f t="shared" si="3"/>
        <v>0.11</v>
      </c>
      <c r="I500" s="89">
        <v>0.1</v>
      </c>
      <c r="J500" s="130"/>
      <c r="K500" s="89">
        <f t="shared" si="4"/>
        <v>0.01</v>
      </c>
      <c r="L500" s="84">
        <f t="shared" si="5"/>
        <v>499</v>
      </c>
      <c r="M500" s="85" t="s">
        <v>181</v>
      </c>
    </row>
    <row r="501" ht="22.5" customHeight="1">
      <c r="A501" s="83">
        <v>46191.0</v>
      </c>
      <c r="B501" s="84" t="str">
        <f t="shared" si="1"/>
        <v>Jun 2026</v>
      </c>
      <c r="C501" s="84">
        <f t="shared" si="2"/>
        <v>25</v>
      </c>
      <c r="D501" s="85" t="s">
        <v>160</v>
      </c>
      <c r="E501" s="85" t="s">
        <v>130</v>
      </c>
      <c r="F501" s="86" t="s">
        <v>248</v>
      </c>
      <c r="G501" s="87" t="s">
        <v>227</v>
      </c>
      <c r="H501" s="88">
        <f t="shared" si="3"/>
        <v>1.1</v>
      </c>
      <c r="I501" s="89">
        <v>1.0</v>
      </c>
      <c r="J501" s="130"/>
      <c r="K501" s="89">
        <f t="shared" si="4"/>
        <v>0.1</v>
      </c>
      <c r="L501" s="84">
        <f t="shared" si="5"/>
        <v>500</v>
      </c>
      <c r="M501" s="85" t="s">
        <v>175</v>
      </c>
    </row>
    <row r="502" ht="22.5" customHeight="1">
      <c r="A502" s="83">
        <v>46191.0</v>
      </c>
      <c r="B502" s="84" t="str">
        <f t="shared" si="1"/>
        <v>Jun 2026</v>
      </c>
      <c r="C502" s="84">
        <f t="shared" si="2"/>
        <v>25</v>
      </c>
      <c r="D502" s="85" t="s">
        <v>129</v>
      </c>
      <c r="E502" s="85" t="s">
        <v>130</v>
      </c>
      <c r="F502" s="86" t="s">
        <v>238</v>
      </c>
      <c r="G502" s="87" t="s">
        <v>226</v>
      </c>
      <c r="H502" s="88">
        <f t="shared" si="3"/>
        <v>1.1</v>
      </c>
      <c r="I502" s="89">
        <v>1.0</v>
      </c>
      <c r="J502" s="130"/>
      <c r="K502" s="89">
        <f t="shared" si="4"/>
        <v>0.1</v>
      </c>
      <c r="L502" s="84">
        <f t="shared" si="5"/>
        <v>501</v>
      </c>
      <c r="M502" s="85" t="s">
        <v>133</v>
      </c>
    </row>
    <row r="503" ht="22.5" customHeight="1">
      <c r="A503" s="83">
        <v>46191.0</v>
      </c>
      <c r="B503" s="84" t="str">
        <f t="shared" si="1"/>
        <v>Jun 2026</v>
      </c>
      <c r="C503" s="84">
        <f t="shared" si="2"/>
        <v>25</v>
      </c>
      <c r="D503" s="85" t="s">
        <v>159</v>
      </c>
      <c r="E503" s="85" t="s">
        <v>130</v>
      </c>
      <c r="F503" s="86" t="s">
        <v>243</v>
      </c>
      <c r="G503" s="87" t="s">
        <v>182</v>
      </c>
      <c r="H503" s="88">
        <f t="shared" si="3"/>
        <v>0.11</v>
      </c>
      <c r="I503" s="89">
        <v>0.1</v>
      </c>
      <c r="J503" s="130"/>
      <c r="K503" s="89">
        <f t="shared" si="4"/>
        <v>0.01</v>
      </c>
      <c r="L503" s="84">
        <f t="shared" si="5"/>
        <v>502</v>
      </c>
      <c r="M503" s="85" t="s">
        <v>181</v>
      </c>
    </row>
    <row r="504" ht="22.5" customHeight="1">
      <c r="A504" s="83">
        <v>46191.0</v>
      </c>
      <c r="B504" s="84" t="str">
        <f t="shared" si="1"/>
        <v>Jun 2026</v>
      </c>
      <c r="C504" s="84">
        <f t="shared" si="2"/>
        <v>25</v>
      </c>
      <c r="D504" s="85" t="s">
        <v>159</v>
      </c>
      <c r="E504" s="85" t="s">
        <v>130</v>
      </c>
      <c r="F504" s="86" t="s">
        <v>244</v>
      </c>
      <c r="G504" s="87" t="s">
        <v>206</v>
      </c>
      <c r="H504" s="88">
        <f t="shared" si="3"/>
        <v>0.11</v>
      </c>
      <c r="I504" s="89">
        <v>0.1</v>
      </c>
      <c r="J504" s="130"/>
      <c r="K504" s="89">
        <f t="shared" si="4"/>
        <v>0.01</v>
      </c>
      <c r="L504" s="84">
        <f t="shared" si="5"/>
        <v>503</v>
      </c>
      <c r="M504" s="85" t="s">
        <v>181</v>
      </c>
    </row>
    <row r="505" ht="22.5" customHeight="1">
      <c r="A505" s="83">
        <v>46191.0</v>
      </c>
      <c r="B505" s="84" t="str">
        <f t="shared" si="1"/>
        <v>Jun 2026</v>
      </c>
      <c r="C505" s="84">
        <f t="shared" si="2"/>
        <v>25</v>
      </c>
      <c r="D505" s="85" t="s">
        <v>159</v>
      </c>
      <c r="E505" s="85" t="s">
        <v>130</v>
      </c>
      <c r="F505" s="86" t="s">
        <v>242</v>
      </c>
      <c r="G505" s="87" t="s">
        <v>191</v>
      </c>
      <c r="H505" s="88">
        <f t="shared" si="3"/>
        <v>0.11</v>
      </c>
      <c r="I505" s="89">
        <v>0.1</v>
      </c>
      <c r="J505" s="130"/>
      <c r="K505" s="89">
        <f t="shared" si="4"/>
        <v>0.01</v>
      </c>
      <c r="L505" s="84">
        <f t="shared" si="5"/>
        <v>504</v>
      </c>
      <c r="M505" s="85" t="s">
        <v>181</v>
      </c>
    </row>
    <row r="506" ht="22.5" customHeight="1">
      <c r="A506" s="83">
        <v>46191.0</v>
      </c>
      <c r="B506" s="84" t="str">
        <f t="shared" si="1"/>
        <v>Jun 2026</v>
      </c>
      <c r="C506" s="84">
        <f t="shared" si="2"/>
        <v>25</v>
      </c>
      <c r="D506" s="85" t="s">
        <v>159</v>
      </c>
      <c r="E506" s="85" t="s">
        <v>130</v>
      </c>
      <c r="F506" s="86" t="s">
        <v>173</v>
      </c>
      <c r="G506" s="87" t="s">
        <v>174</v>
      </c>
      <c r="H506" s="88">
        <f t="shared" si="3"/>
        <v>0.11</v>
      </c>
      <c r="I506" s="89">
        <v>0.1</v>
      </c>
      <c r="J506" s="130"/>
      <c r="K506" s="89">
        <f t="shared" si="4"/>
        <v>0.01</v>
      </c>
      <c r="L506" s="84">
        <f t="shared" si="5"/>
        <v>505</v>
      </c>
      <c r="M506" s="85" t="s">
        <v>181</v>
      </c>
    </row>
    <row r="507" ht="22.5" customHeight="1">
      <c r="A507" s="83">
        <v>46191.0</v>
      </c>
      <c r="B507" s="84" t="str">
        <f t="shared" si="1"/>
        <v>Jun 2026</v>
      </c>
      <c r="C507" s="84">
        <f t="shared" si="2"/>
        <v>25</v>
      </c>
      <c r="D507" s="85" t="s">
        <v>159</v>
      </c>
      <c r="E507" s="85" t="s">
        <v>130</v>
      </c>
      <c r="F507" s="86" t="s">
        <v>250</v>
      </c>
      <c r="G507" s="86" t="s">
        <v>194</v>
      </c>
      <c r="H507" s="88">
        <f t="shared" si="3"/>
        <v>0.11</v>
      </c>
      <c r="I507" s="89">
        <v>0.1</v>
      </c>
      <c r="J507" s="130"/>
      <c r="K507" s="89">
        <f t="shared" si="4"/>
        <v>0.01</v>
      </c>
      <c r="L507" s="84">
        <f t="shared" si="5"/>
        <v>506</v>
      </c>
      <c r="M507" s="85" t="s">
        <v>181</v>
      </c>
    </row>
    <row r="508" ht="22.5" customHeight="1">
      <c r="A508" s="83">
        <v>46191.0</v>
      </c>
      <c r="B508" s="84" t="str">
        <f t="shared" si="1"/>
        <v>Jun 2026</v>
      </c>
      <c r="C508" s="84">
        <f t="shared" si="2"/>
        <v>25</v>
      </c>
      <c r="D508" s="85" t="s">
        <v>159</v>
      </c>
      <c r="E508" s="85" t="s">
        <v>130</v>
      </c>
      <c r="F508" s="86" t="s">
        <v>247</v>
      </c>
      <c r="G508" s="87" t="s">
        <v>183</v>
      </c>
      <c r="H508" s="88">
        <f t="shared" si="3"/>
        <v>0.11</v>
      </c>
      <c r="I508" s="89">
        <v>0.1</v>
      </c>
      <c r="J508" s="130"/>
      <c r="K508" s="89">
        <f t="shared" si="4"/>
        <v>0.01</v>
      </c>
      <c r="L508" s="84">
        <f t="shared" si="5"/>
        <v>507</v>
      </c>
      <c r="M508" s="85" t="s">
        <v>181</v>
      </c>
    </row>
    <row r="509" ht="22.5" customHeight="1">
      <c r="A509" s="83">
        <v>46191.0</v>
      </c>
      <c r="B509" s="84" t="str">
        <f t="shared" si="1"/>
        <v>Jun 2026</v>
      </c>
      <c r="C509" s="84">
        <f t="shared" si="2"/>
        <v>25</v>
      </c>
      <c r="D509" s="85" t="s">
        <v>159</v>
      </c>
      <c r="E509" s="85" t="s">
        <v>130</v>
      </c>
      <c r="F509" s="86" t="s">
        <v>236</v>
      </c>
      <c r="G509" s="86" t="s">
        <v>192</v>
      </c>
      <c r="H509" s="88">
        <f t="shared" si="3"/>
        <v>0.11</v>
      </c>
      <c r="I509" s="89">
        <v>0.1</v>
      </c>
      <c r="J509" s="130"/>
      <c r="K509" s="89">
        <f t="shared" si="4"/>
        <v>0.01</v>
      </c>
      <c r="L509" s="84">
        <f t="shared" si="5"/>
        <v>508</v>
      </c>
      <c r="M509" s="85" t="s">
        <v>181</v>
      </c>
    </row>
    <row r="510" ht="22.5" customHeight="1">
      <c r="A510" s="83">
        <v>46191.0</v>
      </c>
      <c r="B510" s="84" t="str">
        <f t="shared" si="1"/>
        <v>Jun 2026</v>
      </c>
      <c r="C510" s="84">
        <f t="shared" si="2"/>
        <v>25</v>
      </c>
      <c r="D510" s="85" t="s">
        <v>159</v>
      </c>
      <c r="E510" s="85" t="s">
        <v>130</v>
      </c>
      <c r="F510" s="86" t="s">
        <v>244</v>
      </c>
      <c r="G510" s="87" t="s">
        <v>206</v>
      </c>
      <c r="H510" s="88">
        <f t="shared" si="3"/>
        <v>0.11</v>
      </c>
      <c r="I510" s="89">
        <v>0.1</v>
      </c>
      <c r="J510" s="130"/>
      <c r="K510" s="89">
        <f t="shared" si="4"/>
        <v>0.01</v>
      </c>
      <c r="L510" s="84">
        <f t="shared" si="5"/>
        <v>509</v>
      </c>
      <c r="M510" s="85" t="s">
        <v>181</v>
      </c>
    </row>
    <row r="511" ht="22.5" customHeight="1">
      <c r="A511" s="83">
        <v>46191.0</v>
      </c>
      <c r="B511" s="84" t="str">
        <f t="shared" si="1"/>
        <v>Jun 2026</v>
      </c>
      <c r="C511" s="84">
        <f t="shared" si="2"/>
        <v>25</v>
      </c>
      <c r="D511" s="85" t="s">
        <v>159</v>
      </c>
      <c r="E511" s="85" t="s">
        <v>130</v>
      </c>
      <c r="F511" s="86" t="s">
        <v>244</v>
      </c>
      <c r="G511" s="87" t="s">
        <v>206</v>
      </c>
      <c r="H511" s="88">
        <f t="shared" si="3"/>
        <v>0.11</v>
      </c>
      <c r="I511" s="89">
        <v>0.1</v>
      </c>
      <c r="J511" s="130"/>
      <c r="K511" s="89">
        <f t="shared" si="4"/>
        <v>0.01</v>
      </c>
      <c r="L511" s="84">
        <f t="shared" si="5"/>
        <v>510</v>
      </c>
      <c r="M511" s="85" t="s">
        <v>181</v>
      </c>
    </row>
    <row r="512" ht="22.5" customHeight="1">
      <c r="A512" s="83">
        <v>46191.0</v>
      </c>
      <c r="B512" s="84" t="str">
        <f t="shared" si="1"/>
        <v>Jun 2026</v>
      </c>
      <c r="C512" s="84">
        <f t="shared" si="2"/>
        <v>25</v>
      </c>
      <c r="D512" s="85" t="s">
        <v>159</v>
      </c>
      <c r="E512" s="85" t="s">
        <v>130</v>
      </c>
      <c r="F512" s="86" t="s">
        <v>173</v>
      </c>
      <c r="G512" s="87" t="s">
        <v>174</v>
      </c>
      <c r="H512" s="88">
        <f t="shared" si="3"/>
        <v>0.11</v>
      </c>
      <c r="I512" s="89">
        <v>0.1</v>
      </c>
      <c r="J512" s="130"/>
      <c r="K512" s="89">
        <f t="shared" si="4"/>
        <v>0.01</v>
      </c>
      <c r="L512" s="84">
        <f t="shared" si="5"/>
        <v>511</v>
      </c>
      <c r="M512" s="85" t="s">
        <v>181</v>
      </c>
    </row>
    <row r="513" ht="22.5" customHeight="1">
      <c r="A513" s="83">
        <v>46191.0</v>
      </c>
      <c r="B513" s="84" t="str">
        <f t="shared" si="1"/>
        <v>Jun 2026</v>
      </c>
      <c r="C513" s="84">
        <f t="shared" si="2"/>
        <v>25</v>
      </c>
      <c r="D513" s="85" t="s">
        <v>159</v>
      </c>
      <c r="E513" s="85" t="s">
        <v>130</v>
      </c>
      <c r="F513" s="86" t="s">
        <v>244</v>
      </c>
      <c r="G513" s="87" t="s">
        <v>206</v>
      </c>
      <c r="H513" s="88">
        <f t="shared" si="3"/>
        <v>0.11</v>
      </c>
      <c r="I513" s="89">
        <v>0.1</v>
      </c>
      <c r="J513" s="130"/>
      <c r="K513" s="89">
        <f t="shared" si="4"/>
        <v>0.01</v>
      </c>
      <c r="L513" s="84">
        <f t="shared" si="5"/>
        <v>512</v>
      </c>
      <c r="M513" s="85" t="s">
        <v>181</v>
      </c>
    </row>
    <row r="514" ht="22.5" customHeight="1">
      <c r="A514" s="83">
        <v>46191.0</v>
      </c>
      <c r="B514" s="84" t="str">
        <f t="shared" si="1"/>
        <v>Jun 2026</v>
      </c>
      <c r="C514" s="84">
        <f t="shared" si="2"/>
        <v>25</v>
      </c>
      <c r="D514" s="85" t="s">
        <v>159</v>
      </c>
      <c r="E514" s="85" t="s">
        <v>130</v>
      </c>
      <c r="F514" s="86" t="s">
        <v>172</v>
      </c>
      <c r="G514" s="87" t="s">
        <v>62</v>
      </c>
      <c r="H514" s="88">
        <f t="shared" si="3"/>
        <v>0.11</v>
      </c>
      <c r="I514" s="89">
        <v>0.1</v>
      </c>
      <c r="J514" s="130"/>
      <c r="K514" s="89">
        <f t="shared" si="4"/>
        <v>0.01</v>
      </c>
      <c r="L514" s="84">
        <f t="shared" si="5"/>
        <v>513</v>
      </c>
      <c r="M514" s="85" t="s">
        <v>181</v>
      </c>
    </row>
    <row r="515" ht="22.5" customHeight="1">
      <c r="A515" s="83">
        <v>46192.0</v>
      </c>
      <c r="B515" s="84" t="str">
        <f t="shared" si="1"/>
        <v>Jun 2026</v>
      </c>
      <c r="C515" s="84">
        <f t="shared" si="2"/>
        <v>25</v>
      </c>
      <c r="D515" s="85" t="s">
        <v>159</v>
      </c>
      <c r="E515" s="85" t="s">
        <v>164</v>
      </c>
      <c r="F515" s="86" t="s">
        <v>173</v>
      </c>
      <c r="G515" s="87" t="s">
        <v>174</v>
      </c>
      <c r="H515" s="88">
        <f t="shared" si="3"/>
        <v>0.11</v>
      </c>
      <c r="I515" s="89">
        <v>0.1</v>
      </c>
      <c r="J515" s="89"/>
      <c r="K515" s="89">
        <f t="shared" si="4"/>
        <v>0.01</v>
      </c>
      <c r="L515" s="84">
        <f t="shared" si="5"/>
        <v>514</v>
      </c>
      <c r="M515" s="85" t="s">
        <v>181</v>
      </c>
    </row>
    <row r="516" ht="22.5" customHeight="1">
      <c r="A516" s="83">
        <v>46192.0</v>
      </c>
      <c r="B516" s="84" t="str">
        <f t="shared" si="1"/>
        <v>Jun 2026</v>
      </c>
      <c r="C516" s="84">
        <f t="shared" si="2"/>
        <v>25</v>
      </c>
      <c r="D516" s="85" t="s">
        <v>129</v>
      </c>
      <c r="E516" s="85" t="s">
        <v>164</v>
      </c>
      <c r="F516" s="86" t="s">
        <v>245</v>
      </c>
      <c r="G516" s="86" t="s">
        <v>228</v>
      </c>
      <c r="H516" s="88">
        <f t="shared" si="3"/>
        <v>0.7337</v>
      </c>
      <c r="I516" s="89">
        <v>0.667</v>
      </c>
      <c r="J516" s="89"/>
      <c r="K516" s="89">
        <f t="shared" si="4"/>
        <v>0.0667</v>
      </c>
      <c r="L516" s="84">
        <f t="shared" si="5"/>
        <v>515</v>
      </c>
      <c r="M516" s="85" t="s">
        <v>133</v>
      </c>
    </row>
    <row r="517" ht="22.5" customHeight="1">
      <c r="A517" s="83">
        <v>46192.0</v>
      </c>
      <c r="B517" s="84" t="str">
        <f t="shared" si="1"/>
        <v>Jun 2026</v>
      </c>
      <c r="C517" s="84">
        <f t="shared" si="2"/>
        <v>25</v>
      </c>
      <c r="D517" s="85" t="s">
        <v>129</v>
      </c>
      <c r="E517" s="85" t="s">
        <v>164</v>
      </c>
      <c r="F517" s="86" t="s">
        <v>245</v>
      </c>
      <c r="G517" s="86" t="s">
        <v>228</v>
      </c>
      <c r="H517" s="88">
        <f t="shared" si="3"/>
        <v>0.7337</v>
      </c>
      <c r="I517" s="89">
        <v>0.667</v>
      </c>
      <c r="J517" s="89"/>
      <c r="K517" s="89">
        <f t="shared" si="4"/>
        <v>0.0667</v>
      </c>
      <c r="L517" s="84">
        <f t="shared" si="5"/>
        <v>516</v>
      </c>
      <c r="M517" s="85" t="s">
        <v>133</v>
      </c>
    </row>
    <row r="518" ht="22.5" customHeight="1">
      <c r="A518" s="83">
        <v>46192.0</v>
      </c>
      <c r="B518" s="84" t="str">
        <f t="shared" si="1"/>
        <v>Jun 2026</v>
      </c>
      <c r="C518" s="84">
        <f t="shared" si="2"/>
        <v>25</v>
      </c>
      <c r="D518" s="85" t="s">
        <v>129</v>
      </c>
      <c r="E518" s="85" t="s">
        <v>164</v>
      </c>
      <c r="F518" s="86" t="s">
        <v>245</v>
      </c>
      <c r="G518" s="86" t="s">
        <v>228</v>
      </c>
      <c r="H518" s="88">
        <f t="shared" si="3"/>
        <v>0.7337</v>
      </c>
      <c r="I518" s="89">
        <v>0.667</v>
      </c>
      <c r="J518" s="89"/>
      <c r="K518" s="89">
        <f t="shared" si="4"/>
        <v>0.0667</v>
      </c>
      <c r="L518" s="84">
        <f t="shared" si="5"/>
        <v>517</v>
      </c>
      <c r="M518" s="85" t="s">
        <v>133</v>
      </c>
    </row>
    <row r="519" ht="22.5" customHeight="1">
      <c r="A519" s="83">
        <v>46192.0</v>
      </c>
      <c r="B519" s="84" t="str">
        <f t="shared" si="1"/>
        <v>Jun 2026</v>
      </c>
      <c r="C519" s="84">
        <f t="shared" si="2"/>
        <v>25</v>
      </c>
      <c r="D519" s="85" t="s">
        <v>129</v>
      </c>
      <c r="E519" s="85" t="s">
        <v>164</v>
      </c>
      <c r="F519" s="86" t="s">
        <v>176</v>
      </c>
      <c r="G519" s="87" t="s">
        <v>177</v>
      </c>
      <c r="H519" s="88">
        <f t="shared" si="3"/>
        <v>0.7337</v>
      </c>
      <c r="I519" s="89">
        <v>0.667</v>
      </c>
      <c r="J519" s="89"/>
      <c r="K519" s="89">
        <f t="shared" si="4"/>
        <v>0.0667</v>
      </c>
      <c r="L519" s="84">
        <f t="shared" si="5"/>
        <v>518</v>
      </c>
      <c r="M519" s="85" t="s">
        <v>133</v>
      </c>
    </row>
    <row r="520" ht="22.5" customHeight="1">
      <c r="A520" s="83">
        <v>46192.0</v>
      </c>
      <c r="B520" s="84" t="str">
        <f t="shared" si="1"/>
        <v>Jun 2026</v>
      </c>
      <c r="C520" s="84">
        <f t="shared" si="2"/>
        <v>25</v>
      </c>
      <c r="D520" s="85" t="s">
        <v>129</v>
      </c>
      <c r="E520" s="85" t="s">
        <v>164</v>
      </c>
      <c r="F520" s="86" t="s">
        <v>176</v>
      </c>
      <c r="G520" s="87" t="s">
        <v>177</v>
      </c>
      <c r="H520" s="88">
        <f t="shared" si="3"/>
        <v>0.7337</v>
      </c>
      <c r="I520" s="89">
        <v>0.667</v>
      </c>
      <c r="J520" s="89"/>
      <c r="K520" s="89">
        <f t="shared" si="4"/>
        <v>0.0667</v>
      </c>
      <c r="L520" s="84">
        <f t="shared" si="5"/>
        <v>519</v>
      </c>
      <c r="M520" s="85" t="s">
        <v>133</v>
      </c>
    </row>
    <row r="521" ht="22.5" customHeight="1">
      <c r="A521" s="83">
        <v>46192.0</v>
      </c>
      <c r="B521" s="84" t="str">
        <f t="shared" si="1"/>
        <v>Jun 2026</v>
      </c>
      <c r="C521" s="84">
        <f t="shared" si="2"/>
        <v>25</v>
      </c>
      <c r="D521" s="85" t="s">
        <v>129</v>
      </c>
      <c r="E521" s="85" t="s">
        <v>164</v>
      </c>
      <c r="F521" s="86" t="s">
        <v>176</v>
      </c>
      <c r="G521" s="87" t="s">
        <v>177</v>
      </c>
      <c r="H521" s="88">
        <f t="shared" si="3"/>
        <v>0.7337</v>
      </c>
      <c r="I521" s="89">
        <v>0.667</v>
      </c>
      <c r="J521" s="89"/>
      <c r="K521" s="89">
        <f t="shared" si="4"/>
        <v>0.0667</v>
      </c>
      <c r="L521" s="84">
        <f t="shared" si="5"/>
        <v>520</v>
      </c>
      <c r="M521" s="85" t="s">
        <v>133</v>
      </c>
    </row>
    <row r="522" ht="22.5" customHeight="1">
      <c r="A522" s="83">
        <v>46192.0</v>
      </c>
      <c r="B522" s="84" t="str">
        <f t="shared" si="1"/>
        <v>Jun 2026</v>
      </c>
      <c r="C522" s="84">
        <f t="shared" si="2"/>
        <v>25</v>
      </c>
      <c r="D522" s="85" t="s">
        <v>129</v>
      </c>
      <c r="E522" s="85" t="s">
        <v>164</v>
      </c>
      <c r="F522" s="86" t="s">
        <v>245</v>
      </c>
      <c r="G522" s="86" t="s">
        <v>228</v>
      </c>
      <c r="H522" s="88">
        <f t="shared" si="3"/>
        <v>0.7337</v>
      </c>
      <c r="I522" s="89">
        <v>0.667</v>
      </c>
      <c r="J522" s="89"/>
      <c r="K522" s="89">
        <f t="shared" si="4"/>
        <v>0.0667</v>
      </c>
      <c r="L522" s="84">
        <f t="shared" si="5"/>
        <v>521</v>
      </c>
      <c r="M522" s="85" t="s">
        <v>133</v>
      </c>
    </row>
    <row r="523" ht="22.5" customHeight="1">
      <c r="A523" s="83">
        <v>46192.0</v>
      </c>
      <c r="B523" s="84" t="str">
        <f t="shared" si="1"/>
        <v>Jun 2026</v>
      </c>
      <c r="C523" s="84">
        <f t="shared" si="2"/>
        <v>25</v>
      </c>
      <c r="D523" s="85" t="s">
        <v>129</v>
      </c>
      <c r="E523" s="85" t="s">
        <v>164</v>
      </c>
      <c r="F523" s="86" t="s">
        <v>176</v>
      </c>
      <c r="G523" s="87" t="s">
        <v>177</v>
      </c>
      <c r="H523" s="88">
        <f t="shared" si="3"/>
        <v>0.7337</v>
      </c>
      <c r="I523" s="89">
        <v>0.667</v>
      </c>
      <c r="J523" s="89"/>
      <c r="K523" s="89">
        <f t="shared" si="4"/>
        <v>0.0667</v>
      </c>
      <c r="L523" s="84">
        <f t="shared" si="5"/>
        <v>522</v>
      </c>
      <c r="M523" s="85" t="s">
        <v>133</v>
      </c>
    </row>
    <row r="524" ht="22.5" customHeight="1">
      <c r="A524" s="83">
        <v>46192.0</v>
      </c>
      <c r="B524" s="84" t="str">
        <f t="shared" si="1"/>
        <v>Jun 2026</v>
      </c>
      <c r="C524" s="84">
        <f t="shared" si="2"/>
        <v>25</v>
      </c>
      <c r="D524" s="85" t="s">
        <v>129</v>
      </c>
      <c r="E524" s="85" t="s">
        <v>164</v>
      </c>
      <c r="F524" s="86" t="s">
        <v>245</v>
      </c>
      <c r="G524" s="86" t="s">
        <v>228</v>
      </c>
      <c r="H524" s="88">
        <f t="shared" si="3"/>
        <v>0.7337</v>
      </c>
      <c r="I524" s="89">
        <v>0.667</v>
      </c>
      <c r="J524" s="89"/>
      <c r="K524" s="89">
        <f t="shared" si="4"/>
        <v>0.0667</v>
      </c>
      <c r="L524" s="84">
        <f t="shared" si="5"/>
        <v>523</v>
      </c>
      <c r="M524" s="85" t="s">
        <v>133</v>
      </c>
    </row>
    <row r="525" ht="22.5" customHeight="1">
      <c r="A525" s="83">
        <v>46192.0</v>
      </c>
      <c r="B525" s="84" t="str">
        <f t="shared" si="1"/>
        <v>Jun 2026</v>
      </c>
      <c r="C525" s="84">
        <f t="shared" si="2"/>
        <v>25</v>
      </c>
      <c r="D525" s="85" t="s">
        <v>129</v>
      </c>
      <c r="E525" s="85" t="s">
        <v>164</v>
      </c>
      <c r="F525" s="86" t="s">
        <v>176</v>
      </c>
      <c r="G525" s="87" t="s">
        <v>177</v>
      </c>
      <c r="H525" s="88">
        <f t="shared" si="3"/>
        <v>0.7337</v>
      </c>
      <c r="I525" s="89">
        <v>0.667</v>
      </c>
      <c r="J525" s="89"/>
      <c r="K525" s="89">
        <f t="shared" si="4"/>
        <v>0.0667</v>
      </c>
      <c r="L525" s="84">
        <f t="shared" si="5"/>
        <v>524</v>
      </c>
      <c r="M525" s="85" t="s">
        <v>133</v>
      </c>
    </row>
    <row r="526" ht="22.5" customHeight="1">
      <c r="A526" s="83">
        <v>46192.0</v>
      </c>
      <c r="B526" s="84" t="str">
        <f t="shared" si="1"/>
        <v>Jun 2026</v>
      </c>
      <c r="C526" s="84">
        <f t="shared" si="2"/>
        <v>25</v>
      </c>
      <c r="D526" s="85" t="s">
        <v>159</v>
      </c>
      <c r="E526" s="85" t="s">
        <v>165</v>
      </c>
      <c r="F526" s="86" t="s">
        <v>250</v>
      </c>
      <c r="G526" s="86" t="s">
        <v>194</v>
      </c>
      <c r="H526" s="88">
        <f t="shared" si="3"/>
        <v>0.11</v>
      </c>
      <c r="I526" s="89">
        <v>0.1</v>
      </c>
      <c r="J526" s="130"/>
      <c r="K526" s="89">
        <f t="shared" si="4"/>
        <v>0.01</v>
      </c>
      <c r="L526" s="84">
        <f t="shared" si="5"/>
        <v>525</v>
      </c>
      <c r="M526" s="85" t="s">
        <v>181</v>
      </c>
    </row>
    <row r="527" ht="22.5" customHeight="1">
      <c r="A527" s="83">
        <v>46192.0</v>
      </c>
      <c r="B527" s="84" t="str">
        <f t="shared" si="1"/>
        <v>Jun 2026</v>
      </c>
      <c r="C527" s="84">
        <f t="shared" si="2"/>
        <v>25</v>
      </c>
      <c r="D527" s="85" t="s">
        <v>129</v>
      </c>
      <c r="E527" s="85" t="s">
        <v>165</v>
      </c>
      <c r="F527" s="86" t="s">
        <v>245</v>
      </c>
      <c r="G527" s="86" t="s">
        <v>228</v>
      </c>
      <c r="H527" s="88">
        <f t="shared" si="3"/>
        <v>0.7337</v>
      </c>
      <c r="I527" s="89">
        <v>0.667</v>
      </c>
      <c r="J527" s="130"/>
      <c r="K527" s="89">
        <f t="shared" si="4"/>
        <v>0.0667</v>
      </c>
      <c r="L527" s="84">
        <f t="shared" si="5"/>
        <v>526</v>
      </c>
      <c r="M527" s="85" t="s">
        <v>133</v>
      </c>
    </row>
    <row r="528" ht="22.5" customHeight="1">
      <c r="A528" s="83">
        <v>46192.0</v>
      </c>
      <c r="B528" s="84" t="str">
        <f t="shared" si="1"/>
        <v>Jun 2026</v>
      </c>
      <c r="C528" s="84">
        <f t="shared" si="2"/>
        <v>25</v>
      </c>
      <c r="D528" s="85" t="s">
        <v>129</v>
      </c>
      <c r="E528" s="85" t="s">
        <v>165</v>
      </c>
      <c r="F528" s="86" t="s">
        <v>176</v>
      </c>
      <c r="G528" s="87" t="s">
        <v>177</v>
      </c>
      <c r="H528" s="88">
        <f t="shared" si="3"/>
        <v>0.7337</v>
      </c>
      <c r="I528" s="89">
        <v>0.667</v>
      </c>
      <c r="J528" s="130"/>
      <c r="K528" s="89">
        <f t="shared" si="4"/>
        <v>0.0667</v>
      </c>
      <c r="L528" s="84">
        <f t="shared" si="5"/>
        <v>527</v>
      </c>
      <c r="M528" s="85" t="s">
        <v>133</v>
      </c>
    </row>
    <row r="529" ht="22.5" customHeight="1">
      <c r="A529" s="83">
        <v>46192.0</v>
      </c>
      <c r="B529" s="84" t="str">
        <f t="shared" si="1"/>
        <v>Jun 2026</v>
      </c>
      <c r="C529" s="84">
        <f t="shared" si="2"/>
        <v>25</v>
      </c>
      <c r="D529" s="85" t="s">
        <v>129</v>
      </c>
      <c r="E529" s="85" t="s">
        <v>165</v>
      </c>
      <c r="F529" s="86" t="s">
        <v>176</v>
      </c>
      <c r="G529" s="87" t="s">
        <v>177</v>
      </c>
      <c r="H529" s="88">
        <f t="shared" si="3"/>
        <v>0.7337</v>
      </c>
      <c r="I529" s="89">
        <v>0.667</v>
      </c>
      <c r="J529" s="130"/>
      <c r="K529" s="89">
        <f t="shared" si="4"/>
        <v>0.0667</v>
      </c>
      <c r="L529" s="84">
        <f t="shared" si="5"/>
        <v>528</v>
      </c>
      <c r="M529" s="85" t="s">
        <v>133</v>
      </c>
    </row>
    <row r="530" ht="22.5" customHeight="1">
      <c r="A530" s="83">
        <v>46192.0</v>
      </c>
      <c r="B530" s="84" t="str">
        <f t="shared" si="1"/>
        <v>Jun 2026</v>
      </c>
      <c r="C530" s="84">
        <f t="shared" si="2"/>
        <v>25</v>
      </c>
      <c r="D530" s="85" t="s">
        <v>129</v>
      </c>
      <c r="E530" s="85" t="s">
        <v>165</v>
      </c>
      <c r="F530" s="86" t="s">
        <v>176</v>
      </c>
      <c r="G530" s="87" t="s">
        <v>177</v>
      </c>
      <c r="H530" s="88">
        <f t="shared" si="3"/>
        <v>0.7337</v>
      </c>
      <c r="I530" s="89">
        <v>0.667</v>
      </c>
      <c r="J530" s="130"/>
      <c r="K530" s="89">
        <f t="shared" si="4"/>
        <v>0.0667</v>
      </c>
      <c r="L530" s="84">
        <f t="shared" si="5"/>
        <v>529</v>
      </c>
      <c r="M530" s="85" t="s">
        <v>133</v>
      </c>
    </row>
    <row r="531" ht="22.5" customHeight="1">
      <c r="A531" s="83">
        <v>46192.0</v>
      </c>
      <c r="B531" s="84" t="str">
        <f t="shared" si="1"/>
        <v>Jun 2026</v>
      </c>
      <c r="C531" s="84">
        <f t="shared" si="2"/>
        <v>25</v>
      </c>
      <c r="D531" s="85" t="s">
        <v>129</v>
      </c>
      <c r="E531" s="85" t="s">
        <v>165</v>
      </c>
      <c r="F531" s="86" t="s">
        <v>245</v>
      </c>
      <c r="G531" s="86" t="s">
        <v>228</v>
      </c>
      <c r="H531" s="88">
        <f t="shared" si="3"/>
        <v>0.7337</v>
      </c>
      <c r="I531" s="89">
        <v>0.667</v>
      </c>
      <c r="J531" s="130"/>
      <c r="K531" s="89">
        <f t="shared" si="4"/>
        <v>0.0667</v>
      </c>
      <c r="L531" s="84">
        <f t="shared" si="5"/>
        <v>530</v>
      </c>
      <c r="M531" s="85" t="s">
        <v>133</v>
      </c>
    </row>
    <row r="532" ht="22.5" customHeight="1">
      <c r="A532" s="83">
        <v>46192.0</v>
      </c>
      <c r="B532" s="84" t="str">
        <f t="shared" si="1"/>
        <v>Jun 2026</v>
      </c>
      <c r="C532" s="84">
        <f t="shared" si="2"/>
        <v>25</v>
      </c>
      <c r="D532" s="85" t="s">
        <v>129</v>
      </c>
      <c r="E532" s="85" t="s">
        <v>165</v>
      </c>
      <c r="F532" s="86" t="s">
        <v>245</v>
      </c>
      <c r="G532" s="86" t="s">
        <v>228</v>
      </c>
      <c r="H532" s="88">
        <f t="shared" si="3"/>
        <v>0.7337</v>
      </c>
      <c r="I532" s="89">
        <v>0.667</v>
      </c>
      <c r="J532" s="130"/>
      <c r="K532" s="89">
        <f t="shared" si="4"/>
        <v>0.0667</v>
      </c>
      <c r="L532" s="84">
        <f t="shared" si="5"/>
        <v>531</v>
      </c>
      <c r="M532" s="85" t="s">
        <v>133</v>
      </c>
    </row>
    <row r="533" ht="22.5" customHeight="1">
      <c r="A533" s="83">
        <v>46192.0</v>
      </c>
      <c r="B533" s="84" t="str">
        <f t="shared" si="1"/>
        <v>Jun 2026</v>
      </c>
      <c r="C533" s="84">
        <f t="shared" si="2"/>
        <v>25</v>
      </c>
      <c r="D533" s="85" t="s">
        <v>129</v>
      </c>
      <c r="E533" s="85" t="s">
        <v>165</v>
      </c>
      <c r="F533" s="86" t="s">
        <v>245</v>
      </c>
      <c r="G533" s="86" t="s">
        <v>228</v>
      </c>
      <c r="H533" s="88">
        <f t="shared" si="3"/>
        <v>0.7337</v>
      </c>
      <c r="I533" s="89">
        <v>0.667</v>
      </c>
      <c r="J533" s="130"/>
      <c r="K533" s="89">
        <f t="shared" si="4"/>
        <v>0.0667</v>
      </c>
      <c r="L533" s="84">
        <f t="shared" si="5"/>
        <v>532</v>
      </c>
      <c r="M533" s="85" t="s">
        <v>133</v>
      </c>
    </row>
    <row r="534" ht="22.5" customHeight="1">
      <c r="A534" s="83">
        <v>46192.0</v>
      </c>
      <c r="B534" s="84" t="str">
        <f t="shared" si="1"/>
        <v>Jun 2026</v>
      </c>
      <c r="C534" s="84">
        <f t="shared" si="2"/>
        <v>25</v>
      </c>
      <c r="D534" s="85" t="s">
        <v>129</v>
      </c>
      <c r="E534" s="85" t="s">
        <v>165</v>
      </c>
      <c r="F534" s="86" t="s">
        <v>245</v>
      </c>
      <c r="G534" s="86" t="s">
        <v>228</v>
      </c>
      <c r="H534" s="88">
        <f t="shared" si="3"/>
        <v>0.7337</v>
      </c>
      <c r="I534" s="89">
        <v>0.667</v>
      </c>
      <c r="J534" s="130"/>
      <c r="K534" s="89">
        <f t="shared" si="4"/>
        <v>0.0667</v>
      </c>
      <c r="L534" s="84">
        <f t="shared" si="5"/>
        <v>533</v>
      </c>
      <c r="M534" s="85" t="s">
        <v>133</v>
      </c>
    </row>
    <row r="535" ht="22.5" customHeight="1">
      <c r="A535" s="83">
        <v>46192.0</v>
      </c>
      <c r="B535" s="84" t="str">
        <f t="shared" si="1"/>
        <v>Jun 2026</v>
      </c>
      <c r="C535" s="84">
        <f t="shared" si="2"/>
        <v>25</v>
      </c>
      <c r="D535" s="85" t="s">
        <v>129</v>
      </c>
      <c r="E535" s="85" t="s">
        <v>165</v>
      </c>
      <c r="F535" s="86" t="s">
        <v>176</v>
      </c>
      <c r="G535" s="87" t="s">
        <v>177</v>
      </c>
      <c r="H535" s="88">
        <f t="shared" si="3"/>
        <v>0.7337</v>
      </c>
      <c r="I535" s="89">
        <v>0.667</v>
      </c>
      <c r="J535" s="130"/>
      <c r="K535" s="89">
        <f t="shared" si="4"/>
        <v>0.0667</v>
      </c>
      <c r="L535" s="84">
        <f t="shared" si="5"/>
        <v>534</v>
      </c>
      <c r="M535" s="85" t="s">
        <v>133</v>
      </c>
    </row>
    <row r="536" ht="22.5" customHeight="1">
      <c r="A536" s="83">
        <v>46192.0</v>
      </c>
      <c r="B536" s="84" t="str">
        <f t="shared" si="1"/>
        <v>Jun 2026</v>
      </c>
      <c r="C536" s="84">
        <f t="shared" si="2"/>
        <v>25</v>
      </c>
      <c r="D536" s="85" t="s">
        <v>129</v>
      </c>
      <c r="E536" s="85" t="s">
        <v>165</v>
      </c>
      <c r="F536" s="86" t="s">
        <v>176</v>
      </c>
      <c r="G536" s="87" t="s">
        <v>177</v>
      </c>
      <c r="H536" s="88">
        <f t="shared" si="3"/>
        <v>0.7337</v>
      </c>
      <c r="I536" s="89">
        <v>0.667</v>
      </c>
      <c r="J536" s="130"/>
      <c r="K536" s="89">
        <f t="shared" si="4"/>
        <v>0.0667</v>
      </c>
      <c r="L536" s="84">
        <f t="shared" si="5"/>
        <v>535</v>
      </c>
      <c r="M536" s="85" t="s">
        <v>133</v>
      </c>
    </row>
    <row r="537" ht="22.5" customHeight="1">
      <c r="A537" s="83">
        <v>46192.0</v>
      </c>
      <c r="B537" s="84" t="str">
        <f t="shared" si="1"/>
        <v>Jun 2026</v>
      </c>
      <c r="C537" s="84">
        <f t="shared" si="2"/>
        <v>25</v>
      </c>
      <c r="D537" s="85" t="s">
        <v>159</v>
      </c>
      <c r="E537" s="85" t="s">
        <v>167</v>
      </c>
      <c r="F537" s="86" t="s">
        <v>234</v>
      </c>
      <c r="G537" s="87" t="s">
        <v>211</v>
      </c>
      <c r="H537" s="88">
        <f t="shared" si="3"/>
        <v>0.11</v>
      </c>
      <c r="I537" s="89">
        <v>0.1</v>
      </c>
      <c r="J537" s="130"/>
      <c r="K537" s="89">
        <f t="shared" si="4"/>
        <v>0.01</v>
      </c>
      <c r="L537" s="84">
        <f t="shared" si="5"/>
        <v>536</v>
      </c>
      <c r="M537" s="85" t="s">
        <v>181</v>
      </c>
    </row>
    <row r="538" ht="22.5" customHeight="1">
      <c r="A538" s="83">
        <v>46192.0</v>
      </c>
      <c r="B538" s="84" t="str">
        <f t="shared" si="1"/>
        <v>Jun 2026</v>
      </c>
      <c r="C538" s="84">
        <f t="shared" si="2"/>
        <v>25</v>
      </c>
      <c r="D538" s="85" t="s">
        <v>129</v>
      </c>
      <c r="E538" s="85" t="s">
        <v>167</v>
      </c>
      <c r="F538" s="86" t="s">
        <v>245</v>
      </c>
      <c r="G538" s="86" t="s">
        <v>228</v>
      </c>
      <c r="H538" s="88">
        <f t="shared" si="3"/>
        <v>0.7337</v>
      </c>
      <c r="I538" s="89">
        <v>0.667</v>
      </c>
      <c r="J538" s="130"/>
      <c r="K538" s="89">
        <f t="shared" si="4"/>
        <v>0.0667</v>
      </c>
      <c r="L538" s="84">
        <f t="shared" si="5"/>
        <v>537</v>
      </c>
      <c r="M538" s="85" t="s">
        <v>133</v>
      </c>
    </row>
    <row r="539" ht="22.5" customHeight="1">
      <c r="A539" s="83">
        <v>46192.0</v>
      </c>
      <c r="B539" s="84" t="str">
        <f t="shared" si="1"/>
        <v>Jun 2026</v>
      </c>
      <c r="C539" s="84">
        <f t="shared" si="2"/>
        <v>25</v>
      </c>
      <c r="D539" s="85" t="s">
        <v>129</v>
      </c>
      <c r="E539" s="85" t="s">
        <v>167</v>
      </c>
      <c r="F539" s="86" t="s">
        <v>245</v>
      </c>
      <c r="G539" s="86" t="s">
        <v>228</v>
      </c>
      <c r="H539" s="88">
        <f t="shared" si="3"/>
        <v>0.7337</v>
      </c>
      <c r="I539" s="89">
        <v>0.667</v>
      </c>
      <c r="J539" s="130"/>
      <c r="K539" s="89">
        <f t="shared" si="4"/>
        <v>0.0667</v>
      </c>
      <c r="L539" s="84">
        <f t="shared" si="5"/>
        <v>538</v>
      </c>
      <c r="M539" s="85" t="s">
        <v>133</v>
      </c>
    </row>
    <row r="540" ht="22.5" customHeight="1">
      <c r="A540" s="83">
        <v>46192.0</v>
      </c>
      <c r="B540" s="84" t="str">
        <f t="shared" si="1"/>
        <v>Jun 2026</v>
      </c>
      <c r="C540" s="84">
        <f t="shared" si="2"/>
        <v>25</v>
      </c>
      <c r="D540" s="85" t="s">
        <v>129</v>
      </c>
      <c r="E540" s="85" t="s">
        <v>167</v>
      </c>
      <c r="F540" s="86" t="s">
        <v>245</v>
      </c>
      <c r="G540" s="86" t="s">
        <v>228</v>
      </c>
      <c r="H540" s="88">
        <f t="shared" si="3"/>
        <v>0.7337</v>
      </c>
      <c r="I540" s="89">
        <v>0.667</v>
      </c>
      <c r="J540" s="130"/>
      <c r="K540" s="89">
        <f t="shared" si="4"/>
        <v>0.0667</v>
      </c>
      <c r="L540" s="84">
        <f t="shared" si="5"/>
        <v>539</v>
      </c>
      <c r="M540" s="85" t="s">
        <v>133</v>
      </c>
    </row>
    <row r="541" ht="22.5" customHeight="1">
      <c r="A541" s="83">
        <v>46192.0</v>
      </c>
      <c r="B541" s="84" t="str">
        <f t="shared" si="1"/>
        <v>Jun 2026</v>
      </c>
      <c r="C541" s="84">
        <f t="shared" si="2"/>
        <v>25</v>
      </c>
      <c r="D541" s="85" t="s">
        <v>129</v>
      </c>
      <c r="E541" s="85" t="s">
        <v>167</v>
      </c>
      <c r="F541" s="86" t="s">
        <v>176</v>
      </c>
      <c r="G541" s="87" t="s">
        <v>177</v>
      </c>
      <c r="H541" s="88">
        <f t="shared" si="3"/>
        <v>0.7337</v>
      </c>
      <c r="I541" s="89">
        <v>0.667</v>
      </c>
      <c r="J541" s="130"/>
      <c r="K541" s="89">
        <f t="shared" si="4"/>
        <v>0.0667</v>
      </c>
      <c r="L541" s="84">
        <f t="shared" si="5"/>
        <v>540</v>
      </c>
      <c r="M541" s="85" t="s">
        <v>133</v>
      </c>
    </row>
    <row r="542" ht="22.5" customHeight="1">
      <c r="A542" s="83">
        <v>46192.0</v>
      </c>
      <c r="B542" s="84" t="str">
        <f t="shared" si="1"/>
        <v>Jun 2026</v>
      </c>
      <c r="C542" s="84">
        <f t="shared" si="2"/>
        <v>25</v>
      </c>
      <c r="D542" s="85" t="s">
        <v>129</v>
      </c>
      <c r="E542" s="85" t="s">
        <v>167</v>
      </c>
      <c r="F542" s="86" t="s">
        <v>176</v>
      </c>
      <c r="G542" s="87" t="s">
        <v>177</v>
      </c>
      <c r="H542" s="88">
        <f t="shared" si="3"/>
        <v>0.7337</v>
      </c>
      <c r="I542" s="89">
        <v>0.667</v>
      </c>
      <c r="J542" s="130"/>
      <c r="K542" s="89">
        <f t="shared" si="4"/>
        <v>0.0667</v>
      </c>
      <c r="L542" s="84">
        <f t="shared" si="5"/>
        <v>541</v>
      </c>
      <c r="M542" s="85" t="s">
        <v>133</v>
      </c>
    </row>
    <row r="543" ht="22.5" customHeight="1">
      <c r="A543" s="83">
        <v>46192.0</v>
      </c>
      <c r="B543" s="84" t="str">
        <f t="shared" si="1"/>
        <v>Jun 2026</v>
      </c>
      <c r="C543" s="84">
        <f t="shared" si="2"/>
        <v>25</v>
      </c>
      <c r="D543" s="85" t="s">
        <v>129</v>
      </c>
      <c r="E543" s="85" t="s">
        <v>167</v>
      </c>
      <c r="F543" s="86" t="s">
        <v>245</v>
      </c>
      <c r="G543" s="86" t="s">
        <v>228</v>
      </c>
      <c r="H543" s="88">
        <f t="shared" si="3"/>
        <v>0.7337</v>
      </c>
      <c r="I543" s="89">
        <v>0.667</v>
      </c>
      <c r="J543" s="130"/>
      <c r="K543" s="89">
        <f t="shared" si="4"/>
        <v>0.0667</v>
      </c>
      <c r="L543" s="84">
        <f t="shared" si="5"/>
        <v>542</v>
      </c>
      <c r="M543" s="85" t="s">
        <v>133</v>
      </c>
    </row>
    <row r="544" ht="22.5" customHeight="1">
      <c r="A544" s="83">
        <v>46192.0</v>
      </c>
      <c r="B544" s="84" t="str">
        <f t="shared" si="1"/>
        <v>Jun 2026</v>
      </c>
      <c r="C544" s="84">
        <f t="shared" si="2"/>
        <v>25</v>
      </c>
      <c r="D544" s="85" t="s">
        <v>129</v>
      </c>
      <c r="E544" s="85" t="s">
        <v>167</v>
      </c>
      <c r="F544" s="86" t="s">
        <v>176</v>
      </c>
      <c r="G544" s="87" t="s">
        <v>177</v>
      </c>
      <c r="H544" s="88">
        <f t="shared" si="3"/>
        <v>0.7337</v>
      </c>
      <c r="I544" s="89">
        <v>0.667</v>
      </c>
      <c r="J544" s="130"/>
      <c r="K544" s="89">
        <f t="shared" si="4"/>
        <v>0.0667</v>
      </c>
      <c r="L544" s="84">
        <f t="shared" si="5"/>
        <v>543</v>
      </c>
      <c r="M544" s="85" t="s">
        <v>133</v>
      </c>
    </row>
    <row r="545" ht="22.5" customHeight="1">
      <c r="A545" s="83">
        <v>46192.0</v>
      </c>
      <c r="B545" s="84" t="str">
        <f t="shared" si="1"/>
        <v>Jun 2026</v>
      </c>
      <c r="C545" s="84">
        <f t="shared" si="2"/>
        <v>25</v>
      </c>
      <c r="D545" s="85" t="s">
        <v>129</v>
      </c>
      <c r="E545" s="85" t="s">
        <v>167</v>
      </c>
      <c r="F545" s="86" t="s">
        <v>176</v>
      </c>
      <c r="G545" s="87" t="s">
        <v>177</v>
      </c>
      <c r="H545" s="88">
        <f t="shared" si="3"/>
        <v>0.7337</v>
      </c>
      <c r="I545" s="89">
        <v>0.667</v>
      </c>
      <c r="J545" s="130"/>
      <c r="K545" s="89">
        <f t="shared" si="4"/>
        <v>0.0667</v>
      </c>
      <c r="L545" s="84">
        <f t="shared" si="5"/>
        <v>544</v>
      </c>
      <c r="M545" s="85" t="s">
        <v>133</v>
      </c>
    </row>
    <row r="546" ht="22.5" customHeight="1">
      <c r="A546" s="83">
        <v>46192.0</v>
      </c>
      <c r="B546" s="84" t="str">
        <f t="shared" si="1"/>
        <v>Jun 2026</v>
      </c>
      <c r="C546" s="84">
        <f t="shared" si="2"/>
        <v>25</v>
      </c>
      <c r="D546" s="85" t="s">
        <v>129</v>
      </c>
      <c r="E546" s="85" t="s">
        <v>167</v>
      </c>
      <c r="F546" s="86" t="s">
        <v>245</v>
      </c>
      <c r="G546" s="86" t="s">
        <v>228</v>
      </c>
      <c r="H546" s="88">
        <f t="shared" si="3"/>
        <v>0.7337</v>
      </c>
      <c r="I546" s="89">
        <v>0.667</v>
      </c>
      <c r="J546" s="130"/>
      <c r="K546" s="89">
        <f t="shared" si="4"/>
        <v>0.0667</v>
      </c>
      <c r="L546" s="84">
        <f t="shared" si="5"/>
        <v>545</v>
      </c>
      <c r="M546" s="85" t="s">
        <v>133</v>
      </c>
    </row>
    <row r="547" ht="22.5" customHeight="1">
      <c r="A547" s="83">
        <v>46192.0</v>
      </c>
      <c r="B547" s="84" t="str">
        <f t="shared" si="1"/>
        <v>Jun 2026</v>
      </c>
      <c r="C547" s="84">
        <f t="shared" si="2"/>
        <v>25</v>
      </c>
      <c r="D547" s="85" t="s">
        <v>129</v>
      </c>
      <c r="E547" s="85" t="s">
        <v>167</v>
      </c>
      <c r="F547" s="86" t="s">
        <v>176</v>
      </c>
      <c r="G547" s="87" t="s">
        <v>177</v>
      </c>
      <c r="H547" s="88">
        <f t="shared" si="3"/>
        <v>0.7337</v>
      </c>
      <c r="I547" s="89">
        <v>0.667</v>
      </c>
      <c r="J547" s="130"/>
      <c r="K547" s="89">
        <f t="shared" si="4"/>
        <v>0.0667</v>
      </c>
      <c r="L547" s="84">
        <f t="shared" si="5"/>
        <v>546</v>
      </c>
      <c r="M547" s="85" t="s">
        <v>133</v>
      </c>
    </row>
    <row r="548" ht="22.5" customHeight="1">
      <c r="A548" s="83">
        <v>46192.0</v>
      </c>
      <c r="B548" s="84" t="str">
        <f t="shared" si="1"/>
        <v>Jun 2026</v>
      </c>
      <c r="C548" s="84">
        <f t="shared" si="2"/>
        <v>25</v>
      </c>
      <c r="D548" s="85" t="s">
        <v>159</v>
      </c>
      <c r="E548" s="85" t="s">
        <v>130</v>
      </c>
      <c r="F548" s="86" t="s">
        <v>172</v>
      </c>
      <c r="G548" s="87" t="s">
        <v>62</v>
      </c>
      <c r="H548" s="88">
        <f t="shared" si="3"/>
        <v>0.11</v>
      </c>
      <c r="I548" s="89">
        <v>0.1</v>
      </c>
      <c r="J548" s="130"/>
      <c r="K548" s="89">
        <f t="shared" si="4"/>
        <v>0.01</v>
      </c>
      <c r="L548" s="84">
        <f t="shared" si="5"/>
        <v>547</v>
      </c>
      <c r="M548" s="85" t="s">
        <v>181</v>
      </c>
    </row>
    <row r="549" ht="22.5" customHeight="1">
      <c r="A549" s="83">
        <v>46192.0</v>
      </c>
      <c r="B549" s="84" t="str">
        <f t="shared" si="1"/>
        <v>Jun 2026</v>
      </c>
      <c r="C549" s="84">
        <f t="shared" si="2"/>
        <v>25</v>
      </c>
      <c r="D549" s="85" t="s">
        <v>129</v>
      </c>
      <c r="E549" s="85" t="s">
        <v>130</v>
      </c>
      <c r="F549" s="86" t="s">
        <v>245</v>
      </c>
      <c r="G549" s="86" t="s">
        <v>228</v>
      </c>
      <c r="H549" s="88">
        <f t="shared" si="3"/>
        <v>0.7337</v>
      </c>
      <c r="I549" s="89">
        <v>0.667</v>
      </c>
      <c r="J549" s="130"/>
      <c r="K549" s="89">
        <f t="shared" si="4"/>
        <v>0.0667</v>
      </c>
      <c r="L549" s="84">
        <f t="shared" si="5"/>
        <v>548</v>
      </c>
      <c r="M549" s="85" t="s">
        <v>133</v>
      </c>
    </row>
    <row r="550" ht="22.5" customHeight="1">
      <c r="A550" s="83">
        <v>46192.0</v>
      </c>
      <c r="B550" s="84" t="str">
        <f t="shared" si="1"/>
        <v>Jun 2026</v>
      </c>
      <c r="C550" s="84">
        <f t="shared" si="2"/>
        <v>25</v>
      </c>
      <c r="D550" s="85" t="s">
        <v>129</v>
      </c>
      <c r="E550" s="85" t="s">
        <v>130</v>
      </c>
      <c r="F550" s="86" t="s">
        <v>245</v>
      </c>
      <c r="G550" s="86" t="s">
        <v>228</v>
      </c>
      <c r="H550" s="88">
        <f t="shared" si="3"/>
        <v>0.7337</v>
      </c>
      <c r="I550" s="89">
        <v>0.667</v>
      </c>
      <c r="J550" s="130"/>
      <c r="K550" s="89">
        <f t="shared" si="4"/>
        <v>0.0667</v>
      </c>
      <c r="L550" s="84">
        <f t="shared" si="5"/>
        <v>549</v>
      </c>
      <c r="M550" s="85" t="s">
        <v>133</v>
      </c>
    </row>
    <row r="551" ht="22.5" customHeight="1">
      <c r="A551" s="83">
        <v>46192.0</v>
      </c>
      <c r="B551" s="84" t="str">
        <f t="shared" si="1"/>
        <v>Jun 2026</v>
      </c>
      <c r="C551" s="84">
        <f t="shared" si="2"/>
        <v>25</v>
      </c>
      <c r="D551" s="85" t="s">
        <v>129</v>
      </c>
      <c r="E551" s="85" t="s">
        <v>130</v>
      </c>
      <c r="F551" s="86" t="s">
        <v>245</v>
      </c>
      <c r="G551" s="86" t="s">
        <v>228</v>
      </c>
      <c r="H551" s="88">
        <f t="shared" si="3"/>
        <v>0.7337</v>
      </c>
      <c r="I551" s="89">
        <v>0.667</v>
      </c>
      <c r="J551" s="130"/>
      <c r="K551" s="89">
        <f t="shared" si="4"/>
        <v>0.0667</v>
      </c>
      <c r="L551" s="84">
        <f t="shared" si="5"/>
        <v>550</v>
      </c>
      <c r="M551" s="85" t="s">
        <v>133</v>
      </c>
    </row>
    <row r="552" ht="22.5" customHeight="1">
      <c r="A552" s="83">
        <v>46192.0</v>
      </c>
      <c r="B552" s="84" t="str">
        <f t="shared" si="1"/>
        <v>Jun 2026</v>
      </c>
      <c r="C552" s="84">
        <f t="shared" si="2"/>
        <v>25</v>
      </c>
      <c r="D552" s="85" t="s">
        <v>129</v>
      </c>
      <c r="E552" s="85" t="s">
        <v>130</v>
      </c>
      <c r="F552" s="86" t="s">
        <v>176</v>
      </c>
      <c r="G552" s="87" t="s">
        <v>177</v>
      </c>
      <c r="H552" s="88">
        <f t="shared" si="3"/>
        <v>0.7337</v>
      </c>
      <c r="I552" s="89">
        <v>0.667</v>
      </c>
      <c r="J552" s="130"/>
      <c r="K552" s="89">
        <f t="shared" si="4"/>
        <v>0.0667</v>
      </c>
      <c r="L552" s="84">
        <f t="shared" si="5"/>
        <v>551</v>
      </c>
      <c r="M552" s="85" t="s">
        <v>133</v>
      </c>
    </row>
    <row r="553" ht="22.5" customHeight="1">
      <c r="A553" s="83">
        <v>46192.0</v>
      </c>
      <c r="B553" s="84" t="str">
        <f t="shared" si="1"/>
        <v>Jun 2026</v>
      </c>
      <c r="C553" s="84">
        <f t="shared" si="2"/>
        <v>25</v>
      </c>
      <c r="D553" s="85" t="s">
        <v>129</v>
      </c>
      <c r="E553" s="85" t="s">
        <v>130</v>
      </c>
      <c r="F553" s="86" t="s">
        <v>176</v>
      </c>
      <c r="G553" s="87" t="s">
        <v>177</v>
      </c>
      <c r="H553" s="88">
        <f t="shared" si="3"/>
        <v>0.7337</v>
      </c>
      <c r="I553" s="89">
        <v>0.667</v>
      </c>
      <c r="J553" s="130"/>
      <c r="K553" s="89">
        <f t="shared" si="4"/>
        <v>0.0667</v>
      </c>
      <c r="L553" s="84">
        <f t="shared" si="5"/>
        <v>552</v>
      </c>
      <c r="M553" s="85" t="s">
        <v>133</v>
      </c>
    </row>
    <row r="554" ht="22.5" customHeight="1">
      <c r="A554" s="83">
        <v>46192.0</v>
      </c>
      <c r="B554" s="84" t="str">
        <f t="shared" si="1"/>
        <v>Jun 2026</v>
      </c>
      <c r="C554" s="84">
        <f t="shared" si="2"/>
        <v>25</v>
      </c>
      <c r="D554" s="85" t="s">
        <v>129</v>
      </c>
      <c r="E554" s="85" t="s">
        <v>130</v>
      </c>
      <c r="F554" s="86" t="s">
        <v>245</v>
      </c>
      <c r="G554" s="86" t="s">
        <v>228</v>
      </c>
      <c r="H554" s="88">
        <f t="shared" si="3"/>
        <v>0.7337</v>
      </c>
      <c r="I554" s="89">
        <v>0.667</v>
      </c>
      <c r="J554" s="130"/>
      <c r="K554" s="89">
        <f t="shared" si="4"/>
        <v>0.0667</v>
      </c>
      <c r="L554" s="84">
        <f t="shared" si="5"/>
        <v>553</v>
      </c>
      <c r="M554" s="85" t="s">
        <v>133</v>
      </c>
    </row>
    <row r="555" ht="22.5" customHeight="1">
      <c r="A555" s="83">
        <v>46192.0</v>
      </c>
      <c r="B555" s="84" t="str">
        <f t="shared" si="1"/>
        <v>Jun 2026</v>
      </c>
      <c r="C555" s="84">
        <f t="shared" si="2"/>
        <v>25</v>
      </c>
      <c r="D555" s="85" t="s">
        <v>129</v>
      </c>
      <c r="E555" s="85" t="s">
        <v>130</v>
      </c>
      <c r="F555" s="86" t="s">
        <v>176</v>
      </c>
      <c r="G555" s="87" t="s">
        <v>177</v>
      </c>
      <c r="H555" s="88">
        <f t="shared" si="3"/>
        <v>0.7337</v>
      </c>
      <c r="I555" s="89">
        <v>0.667</v>
      </c>
      <c r="J555" s="130"/>
      <c r="K555" s="89">
        <f t="shared" si="4"/>
        <v>0.0667</v>
      </c>
      <c r="L555" s="84">
        <f t="shared" si="5"/>
        <v>554</v>
      </c>
      <c r="M555" s="85" t="s">
        <v>133</v>
      </c>
    </row>
    <row r="556" ht="22.5" customHeight="1">
      <c r="A556" s="83">
        <v>46192.0</v>
      </c>
      <c r="B556" s="84" t="str">
        <f t="shared" si="1"/>
        <v>Jun 2026</v>
      </c>
      <c r="C556" s="84">
        <f t="shared" si="2"/>
        <v>25</v>
      </c>
      <c r="D556" s="85" t="s">
        <v>129</v>
      </c>
      <c r="E556" s="85" t="s">
        <v>130</v>
      </c>
      <c r="F556" s="86" t="s">
        <v>245</v>
      </c>
      <c r="G556" s="86" t="s">
        <v>228</v>
      </c>
      <c r="H556" s="88">
        <f t="shared" si="3"/>
        <v>0.7337</v>
      </c>
      <c r="I556" s="89">
        <v>0.667</v>
      </c>
      <c r="J556" s="130"/>
      <c r="K556" s="89">
        <f t="shared" si="4"/>
        <v>0.0667</v>
      </c>
      <c r="L556" s="84">
        <f t="shared" si="5"/>
        <v>555</v>
      </c>
      <c r="M556" s="85" t="s">
        <v>133</v>
      </c>
    </row>
    <row r="557" ht="22.5" customHeight="1">
      <c r="A557" s="83">
        <v>46192.0</v>
      </c>
      <c r="B557" s="84" t="str">
        <f t="shared" si="1"/>
        <v>Jun 2026</v>
      </c>
      <c r="C557" s="84">
        <f t="shared" si="2"/>
        <v>25</v>
      </c>
      <c r="D557" s="85" t="s">
        <v>129</v>
      </c>
      <c r="E557" s="85" t="s">
        <v>130</v>
      </c>
      <c r="F557" s="86" t="s">
        <v>176</v>
      </c>
      <c r="G557" s="87" t="s">
        <v>177</v>
      </c>
      <c r="H557" s="88">
        <f t="shared" si="3"/>
        <v>0.7337</v>
      </c>
      <c r="I557" s="89">
        <v>0.667</v>
      </c>
      <c r="J557" s="130"/>
      <c r="K557" s="89">
        <f t="shared" si="4"/>
        <v>0.0667</v>
      </c>
      <c r="L557" s="84">
        <f t="shared" si="5"/>
        <v>556</v>
      </c>
      <c r="M557" s="85" t="s">
        <v>133</v>
      </c>
    </row>
    <row r="558" ht="22.5" customHeight="1">
      <c r="A558" s="83">
        <v>46193.0</v>
      </c>
      <c r="B558" s="84" t="str">
        <f t="shared" si="1"/>
        <v>Jun 2026</v>
      </c>
      <c r="C558" s="84">
        <f t="shared" si="2"/>
        <v>25</v>
      </c>
      <c r="D558" s="85" t="s">
        <v>159</v>
      </c>
      <c r="E558" s="85" t="s">
        <v>164</v>
      </c>
      <c r="F558" s="86" t="s">
        <v>233</v>
      </c>
      <c r="G558" s="87" t="s">
        <v>210</v>
      </c>
      <c r="H558" s="88">
        <f t="shared" si="3"/>
        <v>0.11</v>
      </c>
      <c r="I558" s="89">
        <v>0.1</v>
      </c>
      <c r="J558" s="89"/>
      <c r="K558" s="89">
        <f t="shared" si="4"/>
        <v>0.01</v>
      </c>
      <c r="L558" s="84">
        <f t="shared" si="5"/>
        <v>557</v>
      </c>
      <c r="M558" s="85" t="s">
        <v>181</v>
      </c>
    </row>
    <row r="559" ht="22.5" customHeight="1">
      <c r="A559" s="83">
        <v>46193.0</v>
      </c>
      <c r="B559" s="84" t="str">
        <f t="shared" si="1"/>
        <v>Jun 2026</v>
      </c>
      <c r="C559" s="84">
        <f t="shared" si="2"/>
        <v>25</v>
      </c>
      <c r="D559" s="85" t="s">
        <v>159</v>
      </c>
      <c r="E559" s="85" t="s">
        <v>164</v>
      </c>
      <c r="F559" s="86" t="s">
        <v>233</v>
      </c>
      <c r="G559" s="87" t="s">
        <v>210</v>
      </c>
      <c r="H559" s="88">
        <f t="shared" si="3"/>
        <v>0.11</v>
      </c>
      <c r="I559" s="89">
        <v>0.1</v>
      </c>
      <c r="J559" s="130"/>
      <c r="K559" s="89">
        <f t="shared" si="4"/>
        <v>0.01</v>
      </c>
      <c r="L559" s="84">
        <f t="shared" si="5"/>
        <v>558</v>
      </c>
      <c r="M559" s="85" t="s">
        <v>181</v>
      </c>
    </row>
    <row r="560" ht="22.5" customHeight="1">
      <c r="A560" s="83">
        <v>46193.0</v>
      </c>
      <c r="B560" s="84" t="str">
        <f t="shared" si="1"/>
        <v>Jun 2026</v>
      </c>
      <c r="C560" s="84">
        <f t="shared" si="2"/>
        <v>25</v>
      </c>
      <c r="D560" s="85" t="s">
        <v>159</v>
      </c>
      <c r="E560" s="85" t="s">
        <v>164</v>
      </c>
      <c r="F560" s="86" t="s">
        <v>172</v>
      </c>
      <c r="G560" s="87" t="s">
        <v>62</v>
      </c>
      <c r="H560" s="88">
        <f t="shared" si="3"/>
        <v>0.11</v>
      </c>
      <c r="I560" s="89">
        <v>0.1</v>
      </c>
      <c r="J560" s="130"/>
      <c r="K560" s="89">
        <f t="shared" si="4"/>
        <v>0.01</v>
      </c>
      <c r="L560" s="84">
        <f t="shared" si="5"/>
        <v>559</v>
      </c>
      <c r="M560" s="85" t="s">
        <v>181</v>
      </c>
    </row>
    <row r="561" ht="22.5" customHeight="1">
      <c r="A561" s="83">
        <v>46193.0</v>
      </c>
      <c r="B561" s="84" t="str">
        <f t="shared" si="1"/>
        <v>Jun 2026</v>
      </c>
      <c r="C561" s="84">
        <f t="shared" si="2"/>
        <v>25</v>
      </c>
      <c r="D561" s="85" t="s">
        <v>159</v>
      </c>
      <c r="E561" s="85" t="s">
        <v>164</v>
      </c>
      <c r="F561" s="86" t="s">
        <v>172</v>
      </c>
      <c r="G561" s="87" t="s">
        <v>62</v>
      </c>
      <c r="H561" s="88">
        <f t="shared" si="3"/>
        <v>0.11</v>
      </c>
      <c r="I561" s="89">
        <v>0.1</v>
      </c>
      <c r="J561" s="130"/>
      <c r="K561" s="89">
        <f t="shared" si="4"/>
        <v>0.01</v>
      </c>
      <c r="L561" s="84">
        <f t="shared" si="5"/>
        <v>560</v>
      </c>
      <c r="M561" s="85" t="s">
        <v>181</v>
      </c>
    </row>
    <row r="562" ht="22.5" customHeight="1">
      <c r="A562" s="83">
        <v>46193.0</v>
      </c>
      <c r="B562" s="84" t="str">
        <f t="shared" si="1"/>
        <v>Jun 2026</v>
      </c>
      <c r="C562" s="84">
        <f t="shared" si="2"/>
        <v>25</v>
      </c>
      <c r="D562" s="85" t="s">
        <v>159</v>
      </c>
      <c r="E562" s="85" t="s">
        <v>164</v>
      </c>
      <c r="F562" s="86" t="s">
        <v>235</v>
      </c>
      <c r="G562" s="87" t="s">
        <v>214</v>
      </c>
      <c r="H562" s="88">
        <f t="shared" si="3"/>
        <v>0.11</v>
      </c>
      <c r="I562" s="89">
        <v>0.1</v>
      </c>
      <c r="J562" s="130"/>
      <c r="K562" s="89">
        <f t="shared" si="4"/>
        <v>0.01</v>
      </c>
      <c r="L562" s="84">
        <f t="shared" si="5"/>
        <v>561</v>
      </c>
      <c r="M562" s="85" t="s">
        <v>181</v>
      </c>
    </row>
    <row r="563" ht="22.5" customHeight="1">
      <c r="A563" s="83">
        <v>46193.0</v>
      </c>
      <c r="B563" s="84" t="str">
        <f t="shared" si="1"/>
        <v>Jun 2026</v>
      </c>
      <c r="C563" s="84">
        <f t="shared" si="2"/>
        <v>25</v>
      </c>
      <c r="D563" s="85" t="s">
        <v>159</v>
      </c>
      <c r="E563" s="85" t="s">
        <v>164</v>
      </c>
      <c r="F563" s="86" t="s">
        <v>235</v>
      </c>
      <c r="G563" s="87" t="s">
        <v>214</v>
      </c>
      <c r="H563" s="88">
        <f t="shared" si="3"/>
        <v>0.11</v>
      </c>
      <c r="I563" s="89">
        <v>0.1</v>
      </c>
      <c r="J563" s="130"/>
      <c r="K563" s="89">
        <f t="shared" si="4"/>
        <v>0.01</v>
      </c>
      <c r="L563" s="84">
        <f t="shared" si="5"/>
        <v>562</v>
      </c>
      <c r="M563" s="85" t="s">
        <v>181</v>
      </c>
    </row>
    <row r="564" ht="22.5" customHeight="1">
      <c r="A564" s="83">
        <v>46193.0</v>
      </c>
      <c r="B564" s="84" t="str">
        <f t="shared" si="1"/>
        <v>Jun 2026</v>
      </c>
      <c r="C564" s="84">
        <f t="shared" si="2"/>
        <v>25</v>
      </c>
      <c r="D564" s="85" t="s">
        <v>159</v>
      </c>
      <c r="E564" s="85" t="s">
        <v>164</v>
      </c>
      <c r="F564" s="86" t="s">
        <v>236</v>
      </c>
      <c r="G564" s="87" t="s">
        <v>170</v>
      </c>
      <c r="H564" s="88">
        <f t="shared" si="3"/>
        <v>0.11</v>
      </c>
      <c r="I564" s="89">
        <v>0.1</v>
      </c>
      <c r="J564" s="130"/>
      <c r="K564" s="89">
        <f t="shared" si="4"/>
        <v>0.01</v>
      </c>
      <c r="L564" s="84">
        <f t="shared" si="5"/>
        <v>563</v>
      </c>
      <c r="M564" s="85" t="s">
        <v>181</v>
      </c>
    </row>
    <row r="565" ht="22.5" customHeight="1">
      <c r="A565" s="83">
        <v>46193.0</v>
      </c>
      <c r="B565" s="84" t="str">
        <f t="shared" si="1"/>
        <v>Jun 2026</v>
      </c>
      <c r="C565" s="84">
        <f t="shared" si="2"/>
        <v>25</v>
      </c>
      <c r="D565" s="85" t="s">
        <v>159</v>
      </c>
      <c r="E565" s="85" t="s">
        <v>164</v>
      </c>
      <c r="F565" s="86" t="s">
        <v>236</v>
      </c>
      <c r="G565" s="87" t="s">
        <v>170</v>
      </c>
      <c r="H565" s="88">
        <f t="shared" si="3"/>
        <v>0.11</v>
      </c>
      <c r="I565" s="89">
        <v>0.1</v>
      </c>
      <c r="J565" s="130"/>
      <c r="K565" s="89">
        <f t="shared" si="4"/>
        <v>0.01</v>
      </c>
      <c r="L565" s="84">
        <f t="shared" si="5"/>
        <v>564</v>
      </c>
      <c r="M565" s="85" t="s">
        <v>181</v>
      </c>
    </row>
    <row r="566" ht="22.5" customHeight="1">
      <c r="A566" s="83">
        <v>46193.0</v>
      </c>
      <c r="B566" s="84" t="str">
        <f t="shared" si="1"/>
        <v>Jun 2026</v>
      </c>
      <c r="C566" s="84">
        <f t="shared" si="2"/>
        <v>25</v>
      </c>
      <c r="D566" s="85" t="s">
        <v>159</v>
      </c>
      <c r="E566" s="85" t="s">
        <v>164</v>
      </c>
      <c r="F566" s="86" t="s">
        <v>237</v>
      </c>
      <c r="G566" s="87" t="s">
        <v>212</v>
      </c>
      <c r="H566" s="88">
        <f t="shared" si="3"/>
        <v>0.11</v>
      </c>
      <c r="I566" s="89">
        <v>0.1</v>
      </c>
      <c r="J566" s="130"/>
      <c r="K566" s="89">
        <f t="shared" si="4"/>
        <v>0.01</v>
      </c>
      <c r="L566" s="84">
        <f t="shared" si="5"/>
        <v>565</v>
      </c>
      <c r="M566" s="85" t="s">
        <v>181</v>
      </c>
    </row>
    <row r="567" ht="22.5" customHeight="1">
      <c r="A567" s="83">
        <v>46193.0</v>
      </c>
      <c r="B567" s="84" t="str">
        <f t="shared" si="1"/>
        <v>Jun 2026</v>
      </c>
      <c r="C567" s="84">
        <f t="shared" si="2"/>
        <v>25</v>
      </c>
      <c r="D567" s="85" t="s">
        <v>159</v>
      </c>
      <c r="E567" s="85" t="s">
        <v>164</v>
      </c>
      <c r="F567" s="86" t="s">
        <v>237</v>
      </c>
      <c r="G567" s="87" t="s">
        <v>212</v>
      </c>
      <c r="H567" s="88">
        <f t="shared" si="3"/>
        <v>0.11</v>
      </c>
      <c r="I567" s="89">
        <v>0.1</v>
      </c>
      <c r="J567" s="130"/>
      <c r="K567" s="89">
        <f t="shared" si="4"/>
        <v>0.01</v>
      </c>
      <c r="L567" s="84">
        <f t="shared" si="5"/>
        <v>566</v>
      </c>
      <c r="M567" s="85" t="s">
        <v>181</v>
      </c>
    </row>
    <row r="568" ht="22.5" customHeight="1">
      <c r="A568" s="83">
        <v>46193.0</v>
      </c>
      <c r="B568" s="84" t="str">
        <f t="shared" si="1"/>
        <v>Jun 2026</v>
      </c>
      <c r="C568" s="84">
        <f t="shared" si="2"/>
        <v>25</v>
      </c>
      <c r="D568" s="85" t="s">
        <v>159</v>
      </c>
      <c r="E568" s="85" t="s">
        <v>164</v>
      </c>
      <c r="F568" s="86" t="s">
        <v>233</v>
      </c>
      <c r="G568" s="87" t="s">
        <v>210</v>
      </c>
      <c r="H568" s="88">
        <f t="shared" si="3"/>
        <v>0.11</v>
      </c>
      <c r="I568" s="89">
        <v>0.1</v>
      </c>
      <c r="J568" s="130"/>
      <c r="K568" s="89">
        <f t="shared" si="4"/>
        <v>0.01</v>
      </c>
      <c r="L568" s="84">
        <f t="shared" si="5"/>
        <v>567</v>
      </c>
      <c r="M568" s="85" t="s">
        <v>181</v>
      </c>
    </row>
    <row r="569" ht="22.5" customHeight="1">
      <c r="A569" s="83">
        <v>46193.0</v>
      </c>
      <c r="B569" s="84" t="str">
        <f t="shared" si="1"/>
        <v>Jun 2026</v>
      </c>
      <c r="C569" s="84">
        <f t="shared" si="2"/>
        <v>25</v>
      </c>
      <c r="D569" s="85" t="s">
        <v>159</v>
      </c>
      <c r="E569" s="85" t="s">
        <v>164</v>
      </c>
      <c r="F569" s="86" t="s">
        <v>172</v>
      </c>
      <c r="G569" s="87" t="s">
        <v>62</v>
      </c>
      <c r="H569" s="88">
        <f t="shared" si="3"/>
        <v>0.11</v>
      </c>
      <c r="I569" s="89">
        <v>0.1</v>
      </c>
      <c r="J569" s="130"/>
      <c r="K569" s="89">
        <f t="shared" si="4"/>
        <v>0.01</v>
      </c>
      <c r="L569" s="84">
        <f t="shared" si="5"/>
        <v>568</v>
      </c>
      <c r="M569" s="85" t="s">
        <v>181</v>
      </c>
    </row>
    <row r="570" ht="22.5" customHeight="1">
      <c r="A570" s="83">
        <v>46193.0</v>
      </c>
      <c r="B570" s="84" t="str">
        <f t="shared" si="1"/>
        <v>Jun 2026</v>
      </c>
      <c r="C570" s="84">
        <f t="shared" si="2"/>
        <v>25</v>
      </c>
      <c r="D570" s="85" t="s">
        <v>159</v>
      </c>
      <c r="E570" s="85" t="s">
        <v>164</v>
      </c>
      <c r="F570" s="86" t="s">
        <v>233</v>
      </c>
      <c r="G570" s="87" t="s">
        <v>210</v>
      </c>
      <c r="H570" s="88">
        <f t="shared" si="3"/>
        <v>0.11</v>
      </c>
      <c r="I570" s="89">
        <v>0.1</v>
      </c>
      <c r="J570" s="130"/>
      <c r="K570" s="89">
        <f t="shared" si="4"/>
        <v>0.01</v>
      </c>
      <c r="L570" s="84">
        <f t="shared" si="5"/>
        <v>569</v>
      </c>
      <c r="M570" s="85" t="s">
        <v>181</v>
      </c>
    </row>
    <row r="571" ht="22.5" customHeight="1">
      <c r="A571" s="83">
        <v>46193.0</v>
      </c>
      <c r="B571" s="84" t="str">
        <f t="shared" si="1"/>
        <v>Jun 2026</v>
      </c>
      <c r="C571" s="84">
        <f t="shared" si="2"/>
        <v>25</v>
      </c>
      <c r="D571" s="85" t="s">
        <v>159</v>
      </c>
      <c r="E571" s="85" t="s">
        <v>164</v>
      </c>
      <c r="F571" s="86" t="s">
        <v>172</v>
      </c>
      <c r="G571" s="87" t="s">
        <v>62</v>
      </c>
      <c r="H571" s="88">
        <f t="shared" si="3"/>
        <v>0.11</v>
      </c>
      <c r="I571" s="89">
        <v>0.1</v>
      </c>
      <c r="J571" s="130"/>
      <c r="K571" s="89">
        <f t="shared" si="4"/>
        <v>0.01</v>
      </c>
      <c r="L571" s="84">
        <f t="shared" si="5"/>
        <v>570</v>
      </c>
      <c r="M571" s="85" t="s">
        <v>181</v>
      </c>
    </row>
    <row r="572" ht="22.5" customHeight="1">
      <c r="A572" s="83">
        <v>46193.0</v>
      </c>
      <c r="B572" s="84" t="str">
        <f t="shared" si="1"/>
        <v>Jun 2026</v>
      </c>
      <c r="C572" s="84">
        <f t="shared" si="2"/>
        <v>25</v>
      </c>
      <c r="D572" s="85" t="s">
        <v>129</v>
      </c>
      <c r="E572" s="85" t="s">
        <v>165</v>
      </c>
      <c r="F572" s="86" t="s">
        <v>245</v>
      </c>
      <c r="G572" s="86" t="s">
        <v>228</v>
      </c>
      <c r="H572" s="88">
        <f t="shared" si="3"/>
        <v>0.7337</v>
      </c>
      <c r="I572" s="89">
        <v>0.667</v>
      </c>
      <c r="J572" s="130"/>
      <c r="K572" s="89">
        <f t="shared" si="4"/>
        <v>0.0667</v>
      </c>
      <c r="L572" s="84">
        <f t="shared" si="5"/>
        <v>571</v>
      </c>
      <c r="M572" s="85" t="s">
        <v>133</v>
      </c>
    </row>
    <row r="573" ht="22.5" customHeight="1">
      <c r="A573" s="83">
        <v>46193.0</v>
      </c>
      <c r="B573" s="84" t="str">
        <f t="shared" si="1"/>
        <v>Jun 2026</v>
      </c>
      <c r="C573" s="84">
        <f t="shared" si="2"/>
        <v>25</v>
      </c>
      <c r="D573" s="85" t="s">
        <v>129</v>
      </c>
      <c r="E573" s="85" t="s">
        <v>165</v>
      </c>
      <c r="F573" s="86" t="s">
        <v>245</v>
      </c>
      <c r="G573" s="86" t="s">
        <v>228</v>
      </c>
      <c r="H573" s="88">
        <f t="shared" si="3"/>
        <v>0.7337</v>
      </c>
      <c r="I573" s="89">
        <v>0.667</v>
      </c>
      <c r="J573" s="130"/>
      <c r="K573" s="89">
        <f t="shared" si="4"/>
        <v>0.0667</v>
      </c>
      <c r="L573" s="84">
        <f t="shared" si="5"/>
        <v>572</v>
      </c>
      <c r="M573" s="85" t="s">
        <v>133</v>
      </c>
    </row>
    <row r="574" ht="22.5" customHeight="1">
      <c r="A574" s="83">
        <v>46193.0</v>
      </c>
      <c r="B574" s="84" t="str">
        <f t="shared" si="1"/>
        <v>Jun 2026</v>
      </c>
      <c r="C574" s="84">
        <f t="shared" si="2"/>
        <v>25</v>
      </c>
      <c r="D574" s="85" t="s">
        <v>129</v>
      </c>
      <c r="E574" s="85" t="s">
        <v>165</v>
      </c>
      <c r="F574" s="86" t="s">
        <v>176</v>
      </c>
      <c r="G574" s="87" t="s">
        <v>177</v>
      </c>
      <c r="H574" s="88">
        <f t="shared" si="3"/>
        <v>0.7337</v>
      </c>
      <c r="I574" s="89">
        <v>0.667</v>
      </c>
      <c r="J574" s="130"/>
      <c r="K574" s="89">
        <f t="shared" si="4"/>
        <v>0.0667</v>
      </c>
      <c r="L574" s="84">
        <f t="shared" si="5"/>
        <v>573</v>
      </c>
      <c r="M574" s="85" t="s">
        <v>133</v>
      </c>
    </row>
    <row r="575" ht="22.5" customHeight="1">
      <c r="A575" s="83">
        <v>46193.0</v>
      </c>
      <c r="B575" s="84" t="str">
        <f t="shared" si="1"/>
        <v>Jun 2026</v>
      </c>
      <c r="C575" s="84">
        <f t="shared" si="2"/>
        <v>25</v>
      </c>
      <c r="D575" s="85" t="s">
        <v>129</v>
      </c>
      <c r="E575" s="85" t="s">
        <v>165</v>
      </c>
      <c r="F575" s="86" t="s">
        <v>245</v>
      </c>
      <c r="G575" s="86" t="s">
        <v>228</v>
      </c>
      <c r="H575" s="88">
        <f t="shared" si="3"/>
        <v>0.7337</v>
      </c>
      <c r="I575" s="89">
        <v>0.667</v>
      </c>
      <c r="J575" s="130"/>
      <c r="K575" s="89">
        <f t="shared" si="4"/>
        <v>0.0667</v>
      </c>
      <c r="L575" s="84">
        <f t="shared" si="5"/>
        <v>574</v>
      </c>
      <c r="M575" s="85" t="s">
        <v>133</v>
      </c>
    </row>
    <row r="576" ht="22.5" customHeight="1">
      <c r="A576" s="83">
        <v>46193.0</v>
      </c>
      <c r="B576" s="84" t="str">
        <f t="shared" si="1"/>
        <v>Jun 2026</v>
      </c>
      <c r="C576" s="84">
        <f t="shared" si="2"/>
        <v>25</v>
      </c>
      <c r="D576" s="85" t="s">
        <v>129</v>
      </c>
      <c r="E576" s="85" t="s">
        <v>165</v>
      </c>
      <c r="F576" s="86" t="s">
        <v>245</v>
      </c>
      <c r="G576" s="86" t="s">
        <v>228</v>
      </c>
      <c r="H576" s="88">
        <f t="shared" si="3"/>
        <v>0.7337</v>
      </c>
      <c r="I576" s="89">
        <v>0.667</v>
      </c>
      <c r="J576" s="130"/>
      <c r="K576" s="89">
        <f t="shared" si="4"/>
        <v>0.0667</v>
      </c>
      <c r="L576" s="84">
        <f t="shared" si="5"/>
        <v>575</v>
      </c>
      <c r="M576" s="85" t="s">
        <v>133</v>
      </c>
    </row>
    <row r="577" ht="22.5" customHeight="1">
      <c r="A577" s="83">
        <v>46193.0</v>
      </c>
      <c r="B577" s="84" t="str">
        <f t="shared" si="1"/>
        <v>Jun 2026</v>
      </c>
      <c r="C577" s="84">
        <f t="shared" si="2"/>
        <v>25</v>
      </c>
      <c r="D577" s="85" t="s">
        <v>129</v>
      </c>
      <c r="E577" s="85" t="s">
        <v>165</v>
      </c>
      <c r="F577" s="86" t="s">
        <v>245</v>
      </c>
      <c r="G577" s="86" t="s">
        <v>228</v>
      </c>
      <c r="H577" s="88">
        <f t="shared" si="3"/>
        <v>0.7337</v>
      </c>
      <c r="I577" s="89">
        <v>0.667</v>
      </c>
      <c r="J577" s="130"/>
      <c r="K577" s="89">
        <f t="shared" si="4"/>
        <v>0.0667</v>
      </c>
      <c r="L577" s="84">
        <f t="shared" si="5"/>
        <v>576</v>
      </c>
      <c r="M577" s="85" t="s">
        <v>133</v>
      </c>
    </row>
    <row r="578" ht="22.5" customHeight="1">
      <c r="A578" s="83">
        <v>46193.0</v>
      </c>
      <c r="B578" s="84" t="str">
        <f t="shared" si="1"/>
        <v>Jun 2026</v>
      </c>
      <c r="C578" s="84">
        <f t="shared" si="2"/>
        <v>25</v>
      </c>
      <c r="D578" s="85" t="s">
        <v>129</v>
      </c>
      <c r="E578" s="85" t="s">
        <v>165</v>
      </c>
      <c r="F578" s="86" t="s">
        <v>176</v>
      </c>
      <c r="G578" s="87" t="s">
        <v>177</v>
      </c>
      <c r="H578" s="88">
        <f t="shared" si="3"/>
        <v>0.7337</v>
      </c>
      <c r="I578" s="89">
        <v>0.667</v>
      </c>
      <c r="J578" s="130"/>
      <c r="K578" s="89">
        <f t="shared" si="4"/>
        <v>0.0667</v>
      </c>
      <c r="L578" s="84">
        <f t="shared" si="5"/>
        <v>577</v>
      </c>
      <c r="M578" s="85" t="s">
        <v>133</v>
      </c>
    </row>
    <row r="579" ht="22.5" customHeight="1">
      <c r="A579" s="83">
        <v>46193.0</v>
      </c>
      <c r="B579" s="84" t="str">
        <f t="shared" si="1"/>
        <v>Jun 2026</v>
      </c>
      <c r="C579" s="84">
        <f t="shared" si="2"/>
        <v>25</v>
      </c>
      <c r="D579" s="85" t="s">
        <v>129</v>
      </c>
      <c r="E579" s="85" t="s">
        <v>165</v>
      </c>
      <c r="F579" s="86" t="s">
        <v>176</v>
      </c>
      <c r="G579" s="87" t="s">
        <v>177</v>
      </c>
      <c r="H579" s="88">
        <f t="shared" si="3"/>
        <v>0.7337</v>
      </c>
      <c r="I579" s="89">
        <v>0.667</v>
      </c>
      <c r="J579" s="130"/>
      <c r="K579" s="89">
        <f t="shared" si="4"/>
        <v>0.0667</v>
      </c>
      <c r="L579" s="84">
        <f t="shared" si="5"/>
        <v>578</v>
      </c>
      <c r="M579" s="85" t="s">
        <v>133</v>
      </c>
    </row>
    <row r="580" ht="22.5" customHeight="1">
      <c r="A580" s="83">
        <v>46193.0</v>
      </c>
      <c r="B580" s="84" t="str">
        <f t="shared" si="1"/>
        <v>Jun 2026</v>
      </c>
      <c r="C580" s="84">
        <f t="shared" si="2"/>
        <v>25</v>
      </c>
      <c r="D580" s="85" t="s">
        <v>129</v>
      </c>
      <c r="E580" s="85" t="s">
        <v>165</v>
      </c>
      <c r="F580" s="86" t="s">
        <v>176</v>
      </c>
      <c r="G580" s="87" t="s">
        <v>177</v>
      </c>
      <c r="H580" s="88">
        <f t="shared" si="3"/>
        <v>0.7337</v>
      </c>
      <c r="I580" s="89">
        <v>0.667</v>
      </c>
      <c r="J580" s="130"/>
      <c r="K580" s="89">
        <f t="shared" si="4"/>
        <v>0.0667</v>
      </c>
      <c r="L580" s="84">
        <f t="shared" si="5"/>
        <v>579</v>
      </c>
      <c r="M580" s="85" t="s">
        <v>133</v>
      </c>
    </row>
    <row r="581" ht="22.5" customHeight="1">
      <c r="A581" s="83">
        <v>46193.0</v>
      </c>
      <c r="B581" s="84" t="str">
        <f t="shared" si="1"/>
        <v>Jun 2026</v>
      </c>
      <c r="C581" s="84">
        <f t="shared" si="2"/>
        <v>25</v>
      </c>
      <c r="D581" s="85" t="s">
        <v>129</v>
      </c>
      <c r="E581" s="85" t="s">
        <v>165</v>
      </c>
      <c r="F581" s="86" t="s">
        <v>176</v>
      </c>
      <c r="G581" s="87" t="s">
        <v>177</v>
      </c>
      <c r="H581" s="88">
        <f t="shared" si="3"/>
        <v>0.7337</v>
      </c>
      <c r="I581" s="89">
        <v>0.667</v>
      </c>
      <c r="J581" s="130"/>
      <c r="K581" s="89">
        <f t="shared" si="4"/>
        <v>0.0667</v>
      </c>
      <c r="L581" s="84">
        <f t="shared" si="5"/>
        <v>580</v>
      </c>
      <c r="M581" s="85" t="s">
        <v>133</v>
      </c>
    </row>
    <row r="582" ht="22.5" customHeight="1">
      <c r="A582" s="83">
        <v>46193.0</v>
      </c>
      <c r="B582" s="84" t="str">
        <f t="shared" si="1"/>
        <v>Jun 2026</v>
      </c>
      <c r="C582" s="84">
        <f t="shared" si="2"/>
        <v>25</v>
      </c>
      <c r="D582" s="85" t="s">
        <v>129</v>
      </c>
      <c r="E582" s="85" t="s">
        <v>167</v>
      </c>
      <c r="F582" s="86" t="s">
        <v>245</v>
      </c>
      <c r="G582" s="86" t="s">
        <v>228</v>
      </c>
      <c r="H582" s="88">
        <f t="shared" si="3"/>
        <v>0.7337</v>
      </c>
      <c r="I582" s="89">
        <v>0.667</v>
      </c>
      <c r="J582" s="130"/>
      <c r="K582" s="89">
        <f t="shared" si="4"/>
        <v>0.0667</v>
      </c>
      <c r="L582" s="84">
        <f t="shared" si="5"/>
        <v>581</v>
      </c>
      <c r="M582" s="85" t="s">
        <v>133</v>
      </c>
    </row>
    <row r="583" ht="22.5" customHeight="1">
      <c r="A583" s="83">
        <v>46193.0</v>
      </c>
      <c r="B583" s="84" t="str">
        <f t="shared" si="1"/>
        <v>Jun 2026</v>
      </c>
      <c r="C583" s="84">
        <f t="shared" si="2"/>
        <v>25</v>
      </c>
      <c r="D583" s="85" t="s">
        <v>129</v>
      </c>
      <c r="E583" s="85" t="s">
        <v>167</v>
      </c>
      <c r="F583" s="86" t="s">
        <v>245</v>
      </c>
      <c r="G583" s="86" t="s">
        <v>228</v>
      </c>
      <c r="H583" s="88">
        <f t="shared" si="3"/>
        <v>0.7337</v>
      </c>
      <c r="I583" s="89">
        <v>0.667</v>
      </c>
      <c r="J583" s="130"/>
      <c r="K583" s="89">
        <f t="shared" si="4"/>
        <v>0.0667</v>
      </c>
      <c r="L583" s="84">
        <f t="shared" si="5"/>
        <v>582</v>
      </c>
      <c r="M583" s="85" t="s">
        <v>133</v>
      </c>
    </row>
    <row r="584" ht="22.5" customHeight="1">
      <c r="A584" s="83">
        <v>46193.0</v>
      </c>
      <c r="B584" s="84" t="str">
        <f t="shared" si="1"/>
        <v>Jun 2026</v>
      </c>
      <c r="C584" s="84">
        <f t="shared" si="2"/>
        <v>25</v>
      </c>
      <c r="D584" s="85" t="s">
        <v>129</v>
      </c>
      <c r="E584" s="85" t="s">
        <v>167</v>
      </c>
      <c r="F584" s="86" t="s">
        <v>245</v>
      </c>
      <c r="G584" s="86" t="s">
        <v>228</v>
      </c>
      <c r="H584" s="88">
        <f t="shared" si="3"/>
        <v>0.7337</v>
      </c>
      <c r="I584" s="89">
        <v>0.667</v>
      </c>
      <c r="J584" s="130"/>
      <c r="K584" s="89">
        <f t="shared" si="4"/>
        <v>0.0667</v>
      </c>
      <c r="L584" s="84">
        <f t="shared" si="5"/>
        <v>583</v>
      </c>
      <c r="M584" s="85" t="s">
        <v>133</v>
      </c>
    </row>
    <row r="585" ht="22.5" customHeight="1">
      <c r="A585" s="83">
        <v>46193.0</v>
      </c>
      <c r="B585" s="84" t="str">
        <f t="shared" si="1"/>
        <v>Jun 2026</v>
      </c>
      <c r="C585" s="84">
        <f t="shared" si="2"/>
        <v>25</v>
      </c>
      <c r="D585" s="85" t="s">
        <v>129</v>
      </c>
      <c r="E585" s="85" t="s">
        <v>167</v>
      </c>
      <c r="F585" s="86" t="s">
        <v>245</v>
      </c>
      <c r="G585" s="86" t="s">
        <v>228</v>
      </c>
      <c r="H585" s="88">
        <f t="shared" si="3"/>
        <v>0.7337</v>
      </c>
      <c r="I585" s="89">
        <v>0.667</v>
      </c>
      <c r="J585" s="130"/>
      <c r="K585" s="89">
        <f t="shared" si="4"/>
        <v>0.0667</v>
      </c>
      <c r="L585" s="84">
        <f t="shared" si="5"/>
        <v>584</v>
      </c>
      <c r="M585" s="85" t="s">
        <v>133</v>
      </c>
    </row>
    <row r="586" ht="22.5" customHeight="1">
      <c r="A586" s="83">
        <v>46193.0</v>
      </c>
      <c r="B586" s="84" t="str">
        <f t="shared" si="1"/>
        <v>Jun 2026</v>
      </c>
      <c r="C586" s="84">
        <f t="shared" si="2"/>
        <v>25</v>
      </c>
      <c r="D586" s="85" t="s">
        <v>129</v>
      </c>
      <c r="E586" s="85" t="s">
        <v>167</v>
      </c>
      <c r="F586" s="86" t="s">
        <v>176</v>
      </c>
      <c r="G586" s="87" t="s">
        <v>177</v>
      </c>
      <c r="H586" s="88">
        <f t="shared" si="3"/>
        <v>0.7337</v>
      </c>
      <c r="I586" s="89">
        <v>0.667</v>
      </c>
      <c r="J586" s="130"/>
      <c r="K586" s="89">
        <f t="shared" si="4"/>
        <v>0.0667</v>
      </c>
      <c r="L586" s="84">
        <f t="shared" si="5"/>
        <v>585</v>
      </c>
      <c r="M586" s="85" t="s">
        <v>133</v>
      </c>
    </row>
    <row r="587" ht="22.5" customHeight="1">
      <c r="A587" s="83">
        <v>46193.0</v>
      </c>
      <c r="B587" s="84" t="str">
        <f t="shared" si="1"/>
        <v>Jun 2026</v>
      </c>
      <c r="C587" s="84">
        <f t="shared" si="2"/>
        <v>25</v>
      </c>
      <c r="D587" s="85" t="s">
        <v>129</v>
      </c>
      <c r="E587" s="85" t="s">
        <v>167</v>
      </c>
      <c r="F587" s="86" t="s">
        <v>176</v>
      </c>
      <c r="G587" s="87" t="s">
        <v>177</v>
      </c>
      <c r="H587" s="88">
        <f t="shared" si="3"/>
        <v>0.7337</v>
      </c>
      <c r="I587" s="89">
        <v>0.667</v>
      </c>
      <c r="J587" s="130"/>
      <c r="K587" s="89">
        <f t="shared" si="4"/>
        <v>0.0667</v>
      </c>
      <c r="L587" s="84">
        <f t="shared" si="5"/>
        <v>586</v>
      </c>
      <c r="M587" s="85" t="s">
        <v>133</v>
      </c>
    </row>
    <row r="588" ht="22.5" customHeight="1">
      <c r="A588" s="83">
        <v>46193.0</v>
      </c>
      <c r="B588" s="84" t="str">
        <f t="shared" si="1"/>
        <v>Jun 2026</v>
      </c>
      <c r="C588" s="84">
        <f t="shared" si="2"/>
        <v>25</v>
      </c>
      <c r="D588" s="85" t="s">
        <v>129</v>
      </c>
      <c r="E588" s="85" t="s">
        <v>167</v>
      </c>
      <c r="F588" s="86" t="s">
        <v>245</v>
      </c>
      <c r="G588" s="86" t="s">
        <v>228</v>
      </c>
      <c r="H588" s="88">
        <f t="shared" si="3"/>
        <v>0.7337</v>
      </c>
      <c r="I588" s="89">
        <v>0.667</v>
      </c>
      <c r="J588" s="130"/>
      <c r="K588" s="89">
        <f t="shared" si="4"/>
        <v>0.0667</v>
      </c>
      <c r="L588" s="84">
        <f t="shared" si="5"/>
        <v>587</v>
      </c>
      <c r="M588" s="85" t="s">
        <v>133</v>
      </c>
    </row>
    <row r="589" ht="22.5" customHeight="1">
      <c r="A589" s="83">
        <v>46193.0</v>
      </c>
      <c r="B589" s="84" t="str">
        <f t="shared" si="1"/>
        <v>Jun 2026</v>
      </c>
      <c r="C589" s="84">
        <f t="shared" si="2"/>
        <v>25</v>
      </c>
      <c r="D589" s="85" t="s">
        <v>129</v>
      </c>
      <c r="E589" s="85" t="s">
        <v>167</v>
      </c>
      <c r="F589" s="86" t="s">
        <v>176</v>
      </c>
      <c r="G589" s="87" t="s">
        <v>177</v>
      </c>
      <c r="H589" s="88">
        <f t="shared" si="3"/>
        <v>0.7337</v>
      </c>
      <c r="I589" s="89">
        <v>0.667</v>
      </c>
      <c r="J589" s="130"/>
      <c r="K589" s="89">
        <f t="shared" si="4"/>
        <v>0.0667</v>
      </c>
      <c r="L589" s="84">
        <f t="shared" si="5"/>
        <v>588</v>
      </c>
      <c r="M589" s="85" t="s">
        <v>133</v>
      </c>
    </row>
    <row r="590" ht="22.5" customHeight="1">
      <c r="A590" s="83">
        <v>46193.0</v>
      </c>
      <c r="B590" s="84" t="str">
        <f t="shared" si="1"/>
        <v>Jun 2026</v>
      </c>
      <c r="C590" s="84">
        <f t="shared" si="2"/>
        <v>25</v>
      </c>
      <c r="D590" s="85" t="s">
        <v>129</v>
      </c>
      <c r="E590" s="85" t="s">
        <v>167</v>
      </c>
      <c r="F590" s="86" t="s">
        <v>176</v>
      </c>
      <c r="G590" s="87" t="s">
        <v>177</v>
      </c>
      <c r="H590" s="88">
        <f t="shared" si="3"/>
        <v>0.7337</v>
      </c>
      <c r="I590" s="89">
        <v>0.667</v>
      </c>
      <c r="J590" s="130"/>
      <c r="K590" s="89">
        <f t="shared" si="4"/>
        <v>0.0667</v>
      </c>
      <c r="L590" s="84">
        <f t="shared" si="5"/>
        <v>589</v>
      </c>
      <c r="M590" s="85" t="s">
        <v>133</v>
      </c>
    </row>
    <row r="591" ht="22.5" customHeight="1">
      <c r="A591" s="83">
        <v>46193.0</v>
      </c>
      <c r="B591" s="84" t="str">
        <f t="shared" si="1"/>
        <v>Jun 2026</v>
      </c>
      <c r="C591" s="84">
        <f t="shared" si="2"/>
        <v>25</v>
      </c>
      <c r="D591" s="85" t="s">
        <v>129</v>
      </c>
      <c r="E591" s="85" t="s">
        <v>167</v>
      </c>
      <c r="F591" s="86" t="s">
        <v>176</v>
      </c>
      <c r="G591" s="87" t="s">
        <v>177</v>
      </c>
      <c r="H591" s="88">
        <f t="shared" si="3"/>
        <v>0.7337</v>
      </c>
      <c r="I591" s="89">
        <v>0.667</v>
      </c>
      <c r="J591" s="130"/>
      <c r="K591" s="89">
        <f t="shared" si="4"/>
        <v>0.0667</v>
      </c>
      <c r="L591" s="84">
        <f t="shared" si="5"/>
        <v>590</v>
      </c>
      <c r="M591" s="85" t="s">
        <v>133</v>
      </c>
    </row>
    <row r="592" ht="22.5" customHeight="1">
      <c r="A592" s="83">
        <v>46193.0</v>
      </c>
      <c r="B592" s="84" t="str">
        <f t="shared" si="1"/>
        <v>Jun 2026</v>
      </c>
      <c r="C592" s="84">
        <f t="shared" si="2"/>
        <v>25</v>
      </c>
      <c r="D592" s="85" t="s">
        <v>159</v>
      </c>
      <c r="E592" s="85" t="s">
        <v>167</v>
      </c>
      <c r="F592" s="86" t="s">
        <v>233</v>
      </c>
      <c r="G592" s="87" t="s">
        <v>210</v>
      </c>
      <c r="H592" s="88">
        <f t="shared" si="3"/>
        <v>0.11</v>
      </c>
      <c r="I592" s="89">
        <v>0.1</v>
      </c>
      <c r="J592" s="130"/>
      <c r="K592" s="89">
        <f t="shared" si="4"/>
        <v>0.01</v>
      </c>
      <c r="L592" s="84">
        <f t="shared" si="5"/>
        <v>591</v>
      </c>
      <c r="M592" s="85" t="s">
        <v>181</v>
      </c>
    </row>
    <row r="593" ht="22.5" customHeight="1">
      <c r="A593" s="83">
        <v>46193.0</v>
      </c>
      <c r="B593" s="84" t="str">
        <f t="shared" si="1"/>
        <v>Jun 2026</v>
      </c>
      <c r="C593" s="84">
        <f t="shared" si="2"/>
        <v>25</v>
      </c>
      <c r="D593" s="85" t="s">
        <v>159</v>
      </c>
      <c r="E593" s="85" t="s">
        <v>167</v>
      </c>
      <c r="F593" s="86" t="s">
        <v>172</v>
      </c>
      <c r="G593" s="87" t="s">
        <v>62</v>
      </c>
      <c r="H593" s="88">
        <f t="shared" si="3"/>
        <v>0.11</v>
      </c>
      <c r="I593" s="89">
        <v>0.1</v>
      </c>
      <c r="J593" s="130"/>
      <c r="K593" s="89">
        <f t="shared" si="4"/>
        <v>0.01</v>
      </c>
      <c r="L593" s="84">
        <f t="shared" si="5"/>
        <v>592</v>
      </c>
      <c r="M593" s="85" t="s">
        <v>181</v>
      </c>
    </row>
    <row r="594" ht="22.5" customHeight="1">
      <c r="A594" s="83">
        <v>46193.0</v>
      </c>
      <c r="B594" s="84" t="str">
        <f t="shared" si="1"/>
        <v>Jun 2026</v>
      </c>
      <c r="C594" s="84">
        <f t="shared" si="2"/>
        <v>25</v>
      </c>
      <c r="D594" s="85" t="s">
        <v>159</v>
      </c>
      <c r="E594" s="85" t="s">
        <v>167</v>
      </c>
      <c r="F594" s="86" t="s">
        <v>172</v>
      </c>
      <c r="G594" s="87" t="s">
        <v>62</v>
      </c>
      <c r="H594" s="88">
        <f t="shared" si="3"/>
        <v>0.11</v>
      </c>
      <c r="I594" s="89">
        <v>0.1</v>
      </c>
      <c r="J594" s="130"/>
      <c r="K594" s="89">
        <f t="shared" si="4"/>
        <v>0.01</v>
      </c>
      <c r="L594" s="84">
        <f t="shared" si="5"/>
        <v>593</v>
      </c>
      <c r="M594" s="85" t="s">
        <v>181</v>
      </c>
    </row>
    <row r="595" ht="22.5" customHeight="1">
      <c r="A595" s="83">
        <v>46193.0</v>
      </c>
      <c r="B595" s="84" t="str">
        <f t="shared" si="1"/>
        <v>Jun 2026</v>
      </c>
      <c r="C595" s="84">
        <f t="shared" si="2"/>
        <v>25</v>
      </c>
      <c r="D595" s="85" t="s">
        <v>159</v>
      </c>
      <c r="E595" s="85" t="s">
        <v>167</v>
      </c>
      <c r="F595" s="86" t="s">
        <v>235</v>
      </c>
      <c r="G595" s="87" t="s">
        <v>214</v>
      </c>
      <c r="H595" s="88">
        <f t="shared" si="3"/>
        <v>0.11</v>
      </c>
      <c r="I595" s="89">
        <v>0.1</v>
      </c>
      <c r="J595" s="130"/>
      <c r="K595" s="89">
        <f t="shared" si="4"/>
        <v>0.01</v>
      </c>
      <c r="L595" s="84">
        <f t="shared" si="5"/>
        <v>594</v>
      </c>
      <c r="M595" s="85" t="s">
        <v>181</v>
      </c>
    </row>
    <row r="596" ht="22.5" customHeight="1">
      <c r="A596" s="83">
        <v>46193.0</v>
      </c>
      <c r="B596" s="84" t="str">
        <f t="shared" si="1"/>
        <v>Jun 2026</v>
      </c>
      <c r="C596" s="84">
        <f t="shared" si="2"/>
        <v>25</v>
      </c>
      <c r="D596" s="85" t="s">
        <v>159</v>
      </c>
      <c r="E596" s="85" t="s">
        <v>167</v>
      </c>
      <c r="F596" s="86" t="s">
        <v>237</v>
      </c>
      <c r="G596" s="87" t="s">
        <v>212</v>
      </c>
      <c r="H596" s="88">
        <f t="shared" si="3"/>
        <v>0.11</v>
      </c>
      <c r="I596" s="89">
        <v>0.1</v>
      </c>
      <c r="J596" s="130"/>
      <c r="K596" s="89">
        <f t="shared" si="4"/>
        <v>0.01</v>
      </c>
      <c r="L596" s="84">
        <f t="shared" si="5"/>
        <v>595</v>
      </c>
      <c r="M596" s="85" t="s">
        <v>181</v>
      </c>
    </row>
    <row r="597" ht="22.5" customHeight="1">
      <c r="A597" s="83">
        <v>46193.0</v>
      </c>
      <c r="B597" s="84" t="str">
        <f t="shared" si="1"/>
        <v>Jun 2026</v>
      </c>
      <c r="C597" s="84">
        <f t="shared" si="2"/>
        <v>25</v>
      </c>
      <c r="D597" s="85" t="s">
        <v>129</v>
      </c>
      <c r="E597" s="85" t="s">
        <v>130</v>
      </c>
      <c r="F597" s="86" t="s">
        <v>176</v>
      </c>
      <c r="G597" s="87" t="s">
        <v>177</v>
      </c>
      <c r="H597" s="88">
        <f t="shared" si="3"/>
        <v>0.7337</v>
      </c>
      <c r="I597" s="89">
        <v>0.667</v>
      </c>
      <c r="J597" s="130"/>
      <c r="K597" s="89">
        <f t="shared" si="4"/>
        <v>0.0667</v>
      </c>
      <c r="L597" s="84">
        <f t="shared" si="5"/>
        <v>596</v>
      </c>
      <c r="M597" s="85" t="s">
        <v>133</v>
      </c>
    </row>
    <row r="598" ht="22.5" customHeight="1">
      <c r="A598" s="83">
        <v>46193.0</v>
      </c>
      <c r="B598" s="84" t="str">
        <f t="shared" si="1"/>
        <v>Jun 2026</v>
      </c>
      <c r="C598" s="84">
        <f t="shared" si="2"/>
        <v>25</v>
      </c>
      <c r="D598" s="85" t="s">
        <v>129</v>
      </c>
      <c r="E598" s="85" t="s">
        <v>130</v>
      </c>
      <c r="F598" s="86" t="s">
        <v>245</v>
      </c>
      <c r="G598" s="86" t="s">
        <v>228</v>
      </c>
      <c r="H598" s="88">
        <f t="shared" si="3"/>
        <v>0.7337</v>
      </c>
      <c r="I598" s="89">
        <v>0.667</v>
      </c>
      <c r="J598" s="130"/>
      <c r="K598" s="89">
        <f t="shared" si="4"/>
        <v>0.0667</v>
      </c>
      <c r="L598" s="84">
        <f t="shared" si="5"/>
        <v>597</v>
      </c>
      <c r="M598" s="85" t="s">
        <v>133</v>
      </c>
    </row>
    <row r="599" ht="22.5" customHeight="1">
      <c r="A599" s="83">
        <v>46193.0</v>
      </c>
      <c r="B599" s="84" t="str">
        <f t="shared" si="1"/>
        <v>Jun 2026</v>
      </c>
      <c r="C599" s="84">
        <f t="shared" si="2"/>
        <v>25</v>
      </c>
      <c r="D599" s="85" t="s">
        <v>129</v>
      </c>
      <c r="E599" s="85" t="s">
        <v>130</v>
      </c>
      <c r="F599" s="86" t="s">
        <v>245</v>
      </c>
      <c r="G599" s="86" t="s">
        <v>228</v>
      </c>
      <c r="H599" s="88">
        <f t="shared" si="3"/>
        <v>0.7337</v>
      </c>
      <c r="I599" s="89">
        <v>0.667</v>
      </c>
      <c r="J599" s="130"/>
      <c r="K599" s="89">
        <f t="shared" si="4"/>
        <v>0.0667</v>
      </c>
      <c r="L599" s="84">
        <f t="shared" si="5"/>
        <v>598</v>
      </c>
      <c r="M599" s="85" t="s">
        <v>133</v>
      </c>
    </row>
    <row r="600" ht="22.5" customHeight="1">
      <c r="A600" s="83">
        <v>46193.0</v>
      </c>
      <c r="B600" s="84" t="str">
        <f t="shared" si="1"/>
        <v>Jun 2026</v>
      </c>
      <c r="C600" s="84">
        <f t="shared" si="2"/>
        <v>25</v>
      </c>
      <c r="D600" s="85" t="s">
        <v>129</v>
      </c>
      <c r="E600" s="85" t="s">
        <v>130</v>
      </c>
      <c r="F600" s="86" t="s">
        <v>245</v>
      </c>
      <c r="G600" s="86" t="s">
        <v>228</v>
      </c>
      <c r="H600" s="88">
        <f t="shared" si="3"/>
        <v>0.7337</v>
      </c>
      <c r="I600" s="89">
        <v>0.667</v>
      </c>
      <c r="J600" s="130"/>
      <c r="K600" s="89">
        <f t="shared" si="4"/>
        <v>0.0667</v>
      </c>
      <c r="L600" s="84">
        <f t="shared" si="5"/>
        <v>599</v>
      </c>
      <c r="M600" s="85" t="s">
        <v>133</v>
      </c>
    </row>
    <row r="601" ht="22.5" customHeight="1">
      <c r="A601" s="83">
        <v>46193.0</v>
      </c>
      <c r="B601" s="84" t="str">
        <f t="shared" si="1"/>
        <v>Jun 2026</v>
      </c>
      <c r="C601" s="84">
        <f t="shared" si="2"/>
        <v>25</v>
      </c>
      <c r="D601" s="85" t="s">
        <v>129</v>
      </c>
      <c r="E601" s="85" t="s">
        <v>130</v>
      </c>
      <c r="F601" s="86" t="s">
        <v>245</v>
      </c>
      <c r="G601" s="86" t="s">
        <v>228</v>
      </c>
      <c r="H601" s="88">
        <f t="shared" si="3"/>
        <v>0.7337</v>
      </c>
      <c r="I601" s="89">
        <v>0.667</v>
      </c>
      <c r="J601" s="130"/>
      <c r="K601" s="89">
        <f t="shared" si="4"/>
        <v>0.0667</v>
      </c>
      <c r="L601" s="84">
        <f t="shared" si="5"/>
        <v>600</v>
      </c>
      <c r="M601" s="85" t="s">
        <v>133</v>
      </c>
    </row>
    <row r="602" ht="22.5" customHeight="1">
      <c r="A602" s="83">
        <v>46193.0</v>
      </c>
      <c r="B602" s="84" t="str">
        <f t="shared" si="1"/>
        <v>Jun 2026</v>
      </c>
      <c r="C602" s="84">
        <f t="shared" si="2"/>
        <v>25</v>
      </c>
      <c r="D602" s="85" t="s">
        <v>129</v>
      </c>
      <c r="E602" s="85" t="s">
        <v>130</v>
      </c>
      <c r="F602" s="86" t="s">
        <v>245</v>
      </c>
      <c r="G602" s="86" t="s">
        <v>228</v>
      </c>
      <c r="H602" s="88">
        <f t="shared" si="3"/>
        <v>0.7337</v>
      </c>
      <c r="I602" s="89">
        <v>0.667</v>
      </c>
      <c r="J602" s="130"/>
      <c r="K602" s="89">
        <f t="shared" si="4"/>
        <v>0.0667</v>
      </c>
      <c r="L602" s="84">
        <f t="shared" si="5"/>
        <v>601</v>
      </c>
      <c r="M602" s="85" t="s">
        <v>133</v>
      </c>
    </row>
    <row r="603" ht="22.5" customHeight="1">
      <c r="A603" s="83">
        <v>46193.0</v>
      </c>
      <c r="B603" s="84" t="str">
        <f t="shared" si="1"/>
        <v>Jun 2026</v>
      </c>
      <c r="C603" s="84">
        <f t="shared" si="2"/>
        <v>25</v>
      </c>
      <c r="D603" s="85" t="s">
        <v>129</v>
      </c>
      <c r="E603" s="85" t="s">
        <v>130</v>
      </c>
      <c r="F603" s="86" t="s">
        <v>176</v>
      </c>
      <c r="G603" s="87" t="s">
        <v>177</v>
      </c>
      <c r="H603" s="88">
        <f t="shared" si="3"/>
        <v>0.7337</v>
      </c>
      <c r="I603" s="89">
        <v>0.667</v>
      </c>
      <c r="J603" s="130"/>
      <c r="K603" s="89">
        <f t="shared" si="4"/>
        <v>0.0667</v>
      </c>
      <c r="L603" s="84">
        <f t="shared" si="5"/>
        <v>602</v>
      </c>
      <c r="M603" s="85" t="s">
        <v>133</v>
      </c>
    </row>
    <row r="604" ht="22.5" customHeight="1">
      <c r="A604" s="83">
        <v>46193.0</v>
      </c>
      <c r="B604" s="84" t="str">
        <f t="shared" si="1"/>
        <v>Jun 2026</v>
      </c>
      <c r="C604" s="84">
        <f t="shared" si="2"/>
        <v>25</v>
      </c>
      <c r="D604" s="85" t="s">
        <v>129</v>
      </c>
      <c r="E604" s="85" t="s">
        <v>130</v>
      </c>
      <c r="F604" s="86" t="s">
        <v>176</v>
      </c>
      <c r="G604" s="87" t="s">
        <v>177</v>
      </c>
      <c r="H604" s="88">
        <f t="shared" si="3"/>
        <v>0.7337</v>
      </c>
      <c r="I604" s="89">
        <v>0.667</v>
      </c>
      <c r="J604" s="130"/>
      <c r="K604" s="89">
        <f t="shared" si="4"/>
        <v>0.0667</v>
      </c>
      <c r="L604" s="84">
        <f t="shared" si="5"/>
        <v>603</v>
      </c>
      <c r="M604" s="85" t="s">
        <v>133</v>
      </c>
    </row>
    <row r="605" ht="22.5" customHeight="1">
      <c r="A605" s="83">
        <v>46193.0</v>
      </c>
      <c r="B605" s="84" t="str">
        <f t="shared" si="1"/>
        <v>Jun 2026</v>
      </c>
      <c r="C605" s="84">
        <f t="shared" si="2"/>
        <v>25</v>
      </c>
      <c r="D605" s="85" t="s">
        <v>129</v>
      </c>
      <c r="E605" s="85" t="s">
        <v>130</v>
      </c>
      <c r="F605" s="86" t="s">
        <v>176</v>
      </c>
      <c r="G605" s="87" t="s">
        <v>177</v>
      </c>
      <c r="H605" s="88">
        <f t="shared" si="3"/>
        <v>0.7337</v>
      </c>
      <c r="I605" s="89">
        <v>0.667</v>
      </c>
      <c r="J605" s="130"/>
      <c r="K605" s="89">
        <f t="shared" si="4"/>
        <v>0.0667</v>
      </c>
      <c r="L605" s="84">
        <f t="shared" si="5"/>
        <v>604</v>
      </c>
      <c r="M605" s="85" t="s">
        <v>133</v>
      </c>
    </row>
    <row r="606" ht="22.5" customHeight="1">
      <c r="A606" s="83">
        <v>46193.0</v>
      </c>
      <c r="B606" s="84" t="str">
        <f t="shared" si="1"/>
        <v>Jun 2026</v>
      </c>
      <c r="C606" s="84">
        <f t="shared" si="2"/>
        <v>25</v>
      </c>
      <c r="D606" s="85" t="s">
        <v>129</v>
      </c>
      <c r="E606" s="85" t="s">
        <v>130</v>
      </c>
      <c r="F606" s="86" t="s">
        <v>176</v>
      </c>
      <c r="G606" s="87" t="s">
        <v>177</v>
      </c>
      <c r="H606" s="88">
        <f t="shared" si="3"/>
        <v>0.7337</v>
      </c>
      <c r="I606" s="89">
        <v>0.667</v>
      </c>
      <c r="J606" s="130"/>
      <c r="K606" s="89">
        <f t="shared" si="4"/>
        <v>0.0667</v>
      </c>
      <c r="L606" s="84">
        <f t="shared" si="5"/>
        <v>605</v>
      </c>
      <c r="M606" s="85" t="s">
        <v>133</v>
      </c>
    </row>
    <row r="607" ht="22.5" customHeight="1">
      <c r="A607" s="83">
        <v>46193.0</v>
      </c>
      <c r="B607" s="84" t="str">
        <f t="shared" si="1"/>
        <v>Jun 2026</v>
      </c>
      <c r="C607" s="84">
        <f t="shared" si="2"/>
        <v>25</v>
      </c>
      <c r="D607" s="85" t="s">
        <v>129</v>
      </c>
      <c r="E607" s="85" t="s">
        <v>130</v>
      </c>
      <c r="F607" s="86" t="s">
        <v>176</v>
      </c>
      <c r="G607" s="87" t="s">
        <v>177</v>
      </c>
      <c r="H607" s="88">
        <f t="shared" si="3"/>
        <v>0.7337</v>
      </c>
      <c r="I607" s="89">
        <v>0.667</v>
      </c>
      <c r="J607" s="130"/>
      <c r="K607" s="89">
        <f t="shared" si="4"/>
        <v>0.0667</v>
      </c>
      <c r="L607" s="84">
        <f t="shared" si="5"/>
        <v>606</v>
      </c>
      <c r="M607" s="85" t="s">
        <v>133</v>
      </c>
    </row>
    <row r="608" ht="22.5" customHeight="1">
      <c r="A608" s="83">
        <v>46193.0</v>
      </c>
      <c r="B608" s="84" t="str">
        <f t="shared" si="1"/>
        <v>Jun 2026</v>
      </c>
      <c r="C608" s="84">
        <f t="shared" si="2"/>
        <v>25</v>
      </c>
      <c r="D608" s="85" t="s">
        <v>159</v>
      </c>
      <c r="E608" s="85" t="s">
        <v>130</v>
      </c>
      <c r="F608" s="86" t="s">
        <v>233</v>
      </c>
      <c r="G608" s="87" t="s">
        <v>210</v>
      </c>
      <c r="H608" s="88">
        <f t="shared" si="3"/>
        <v>0.11</v>
      </c>
      <c r="I608" s="89">
        <v>0.1</v>
      </c>
      <c r="J608" s="130"/>
      <c r="K608" s="89">
        <f t="shared" si="4"/>
        <v>0.01</v>
      </c>
      <c r="L608" s="84">
        <f t="shared" si="5"/>
        <v>607</v>
      </c>
      <c r="M608" s="85" t="s">
        <v>181</v>
      </c>
    </row>
    <row r="609" ht="22.5" customHeight="1">
      <c r="A609" s="83">
        <v>46193.0</v>
      </c>
      <c r="B609" s="84" t="str">
        <f t="shared" si="1"/>
        <v>Jun 2026</v>
      </c>
      <c r="C609" s="84">
        <f t="shared" si="2"/>
        <v>25</v>
      </c>
      <c r="D609" s="85" t="s">
        <v>159</v>
      </c>
      <c r="E609" s="85" t="s">
        <v>130</v>
      </c>
      <c r="F609" s="86" t="s">
        <v>172</v>
      </c>
      <c r="G609" s="87" t="s">
        <v>62</v>
      </c>
      <c r="H609" s="88">
        <f t="shared" si="3"/>
        <v>0.11</v>
      </c>
      <c r="I609" s="89">
        <v>0.1</v>
      </c>
      <c r="J609" s="130"/>
      <c r="K609" s="89">
        <f t="shared" si="4"/>
        <v>0.01</v>
      </c>
      <c r="L609" s="84">
        <f t="shared" si="5"/>
        <v>608</v>
      </c>
      <c r="M609" s="85" t="s">
        <v>181</v>
      </c>
    </row>
    <row r="610" ht="22.5" customHeight="1">
      <c r="A610" s="83">
        <v>46193.0</v>
      </c>
      <c r="B610" s="84" t="str">
        <f t="shared" si="1"/>
        <v>Jun 2026</v>
      </c>
      <c r="C610" s="84">
        <f t="shared" si="2"/>
        <v>25</v>
      </c>
      <c r="D610" s="85" t="s">
        <v>159</v>
      </c>
      <c r="E610" s="85" t="s">
        <v>130</v>
      </c>
      <c r="F610" s="86" t="s">
        <v>172</v>
      </c>
      <c r="G610" s="87" t="s">
        <v>62</v>
      </c>
      <c r="H610" s="88">
        <f t="shared" si="3"/>
        <v>0.11</v>
      </c>
      <c r="I610" s="89">
        <v>0.1</v>
      </c>
      <c r="J610" s="130"/>
      <c r="K610" s="89">
        <f t="shared" si="4"/>
        <v>0.01</v>
      </c>
      <c r="L610" s="84">
        <f t="shared" si="5"/>
        <v>609</v>
      </c>
      <c r="M610" s="85" t="s">
        <v>181</v>
      </c>
    </row>
    <row r="611" ht="22.5" customHeight="1">
      <c r="A611" s="83">
        <v>46193.0</v>
      </c>
      <c r="B611" s="84" t="str">
        <f t="shared" si="1"/>
        <v>Jun 2026</v>
      </c>
      <c r="C611" s="84">
        <f t="shared" si="2"/>
        <v>25</v>
      </c>
      <c r="D611" s="85" t="s">
        <v>159</v>
      </c>
      <c r="E611" s="85" t="s">
        <v>130</v>
      </c>
      <c r="F611" s="86" t="s">
        <v>237</v>
      </c>
      <c r="G611" s="87" t="s">
        <v>212</v>
      </c>
      <c r="H611" s="88">
        <f t="shared" si="3"/>
        <v>0.11</v>
      </c>
      <c r="I611" s="89">
        <v>0.1</v>
      </c>
      <c r="J611" s="130"/>
      <c r="K611" s="89">
        <f t="shared" si="4"/>
        <v>0.01</v>
      </c>
      <c r="L611" s="84">
        <f t="shared" si="5"/>
        <v>610</v>
      </c>
      <c r="M611" s="85" t="s">
        <v>181</v>
      </c>
    </row>
    <row r="612" ht="22.5" customHeight="1">
      <c r="A612" s="83">
        <v>46193.0</v>
      </c>
      <c r="B612" s="84" t="str">
        <f t="shared" si="1"/>
        <v>Jun 2026</v>
      </c>
      <c r="C612" s="84">
        <f t="shared" si="2"/>
        <v>25</v>
      </c>
      <c r="D612" s="85" t="s">
        <v>159</v>
      </c>
      <c r="E612" s="85" t="s">
        <v>130</v>
      </c>
      <c r="F612" s="86" t="s">
        <v>235</v>
      </c>
      <c r="G612" s="87" t="s">
        <v>214</v>
      </c>
      <c r="H612" s="88">
        <f t="shared" si="3"/>
        <v>0.11</v>
      </c>
      <c r="I612" s="89">
        <v>0.1</v>
      </c>
      <c r="J612" s="130"/>
      <c r="K612" s="89">
        <f t="shared" si="4"/>
        <v>0.01</v>
      </c>
      <c r="L612" s="84">
        <f t="shared" si="5"/>
        <v>611</v>
      </c>
      <c r="M612" s="85" t="s">
        <v>181</v>
      </c>
    </row>
    <row r="613" ht="22.5" customHeight="1">
      <c r="A613" s="83">
        <v>46193.0</v>
      </c>
      <c r="B613" s="84" t="str">
        <f t="shared" si="1"/>
        <v>Jun 2026</v>
      </c>
      <c r="C613" s="84">
        <f t="shared" si="2"/>
        <v>25</v>
      </c>
      <c r="D613" s="85" t="s">
        <v>159</v>
      </c>
      <c r="E613" s="85" t="s">
        <v>130</v>
      </c>
      <c r="F613" s="86" t="s">
        <v>236</v>
      </c>
      <c r="G613" s="87" t="s">
        <v>170</v>
      </c>
      <c r="H613" s="88">
        <f t="shared" si="3"/>
        <v>0.11</v>
      </c>
      <c r="I613" s="89">
        <v>0.1</v>
      </c>
      <c r="J613" s="130"/>
      <c r="K613" s="89">
        <f t="shared" si="4"/>
        <v>0.01</v>
      </c>
      <c r="L613" s="84">
        <f t="shared" si="5"/>
        <v>612</v>
      </c>
      <c r="M613" s="85" t="s">
        <v>181</v>
      </c>
    </row>
    <row r="614" ht="22.5" customHeight="1">
      <c r="A614" s="83">
        <v>46194.0</v>
      </c>
      <c r="B614" s="84" t="str">
        <f t="shared" si="1"/>
        <v>Jun 2026</v>
      </c>
      <c r="C614" s="84">
        <f t="shared" si="2"/>
        <v>26</v>
      </c>
      <c r="D614" s="85" t="s">
        <v>129</v>
      </c>
      <c r="E614" s="85" t="s">
        <v>164</v>
      </c>
      <c r="F614" s="86" t="s">
        <v>245</v>
      </c>
      <c r="G614" s="86" t="s">
        <v>228</v>
      </c>
      <c r="H614" s="88">
        <f t="shared" si="3"/>
        <v>0.7337</v>
      </c>
      <c r="I614" s="89">
        <v>0.667</v>
      </c>
      <c r="J614" s="130"/>
      <c r="K614" s="89">
        <f t="shared" si="4"/>
        <v>0.0667</v>
      </c>
      <c r="L614" s="84">
        <f t="shared" si="5"/>
        <v>613</v>
      </c>
      <c r="M614" s="85" t="s">
        <v>133</v>
      </c>
    </row>
    <row r="615" ht="22.5" customHeight="1">
      <c r="A615" s="83">
        <v>46194.0</v>
      </c>
      <c r="B615" s="84" t="str">
        <f t="shared" si="1"/>
        <v>Jun 2026</v>
      </c>
      <c r="C615" s="84">
        <f t="shared" si="2"/>
        <v>26</v>
      </c>
      <c r="D615" s="85" t="s">
        <v>129</v>
      </c>
      <c r="E615" s="85" t="s">
        <v>164</v>
      </c>
      <c r="F615" s="86" t="s">
        <v>245</v>
      </c>
      <c r="G615" s="86" t="s">
        <v>228</v>
      </c>
      <c r="H615" s="88">
        <f t="shared" si="3"/>
        <v>0.7337</v>
      </c>
      <c r="I615" s="89">
        <v>0.667</v>
      </c>
      <c r="J615" s="130"/>
      <c r="K615" s="89">
        <f t="shared" si="4"/>
        <v>0.0667</v>
      </c>
      <c r="L615" s="84">
        <f t="shared" si="5"/>
        <v>614</v>
      </c>
      <c r="M615" s="85" t="s">
        <v>133</v>
      </c>
    </row>
    <row r="616" ht="22.5" customHeight="1">
      <c r="A616" s="83">
        <v>46194.0</v>
      </c>
      <c r="B616" s="84" t="str">
        <f t="shared" si="1"/>
        <v>Jun 2026</v>
      </c>
      <c r="C616" s="84">
        <f t="shared" si="2"/>
        <v>26</v>
      </c>
      <c r="D616" s="85" t="s">
        <v>129</v>
      </c>
      <c r="E616" s="85" t="s">
        <v>164</v>
      </c>
      <c r="F616" s="86" t="s">
        <v>245</v>
      </c>
      <c r="G616" s="86" t="s">
        <v>228</v>
      </c>
      <c r="H616" s="88">
        <f t="shared" si="3"/>
        <v>0.7337</v>
      </c>
      <c r="I616" s="89">
        <v>0.667</v>
      </c>
      <c r="J616" s="130"/>
      <c r="K616" s="89">
        <f t="shared" si="4"/>
        <v>0.0667</v>
      </c>
      <c r="L616" s="84">
        <f t="shared" si="5"/>
        <v>615</v>
      </c>
      <c r="M616" s="85" t="s">
        <v>133</v>
      </c>
    </row>
    <row r="617" ht="22.5" customHeight="1">
      <c r="A617" s="83">
        <v>46194.0</v>
      </c>
      <c r="B617" s="84" t="str">
        <f t="shared" si="1"/>
        <v>Jun 2026</v>
      </c>
      <c r="C617" s="84">
        <f t="shared" si="2"/>
        <v>26</v>
      </c>
      <c r="D617" s="85" t="s">
        <v>129</v>
      </c>
      <c r="E617" s="85" t="s">
        <v>164</v>
      </c>
      <c r="F617" s="86" t="s">
        <v>176</v>
      </c>
      <c r="G617" s="87" t="s">
        <v>177</v>
      </c>
      <c r="H617" s="88">
        <f t="shared" si="3"/>
        <v>0.7337</v>
      </c>
      <c r="I617" s="89">
        <v>0.667</v>
      </c>
      <c r="J617" s="130"/>
      <c r="K617" s="89">
        <f t="shared" si="4"/>
        <v>0.0667</v>
      </c>
      <c r="L617" s="84">
        <f t="shared" si="5"/>
        <v>616</v>
      </c>
      <c r="M617" s="85" t="s">
        <v>133</v>
      </c>
    </row>
    <row r="618" ht="22.5" customHeight="1">
      <c r="A618" s="83">
        <v>46194.0</v>
      </c>
      <c r="B618" s="84" t="str">
        <f t="shared" si="1"/>
        <v>Jun 2026</v>
      </c>
      <c r="C618" s="84">
        <f t="shared" si="2"/>
        <v>26</v>
      </c>
      <c r="D618" s="85" t="s">
        <v>129</v>
      </c>
      <c r="E618" s="85" t="s">
        <v>164</v>
      </c>
      <c r="F618" s="86" t="s">
        <v>176</v>
      </c>
      <c r="G618" s="87" t="s">
        <v>177</v>
      </c>
      <c r="H618" s="88">
        <f t="shared" si="3"/>
        <v>0.7337</v>
      </c>
      <c r="I618" s="89">
        <v>0.667</v>
      </c>
      <c r="J618" s="130"/>
      <c r="K618" s="89">
        <f t="shared" si="4"/>
        <v>0.0667</v>
      </c>
      <c r="L618" s="84">
        <f t="shared" si="5"/>
        <v>617</v>
      </c>
      <c r="M618" s="85" t="s">
        <v>133</v>
      </c>
    </row>
    <row r="619" ht="22.5" customHeight="1">
      <c r="A619" s="83">
        <v>46194.0</v>
      </c>
      <c r="B619" s="84" t="str">
        <f t="shared" si="1"/>
        <v>Jun 2026</v>
      </c>
      <c r="C619" s="84">
        <f t="shared" si="2"/>
        <v>26</v>
      </c>
      <c r="D619" s="85" t="s">
        <v>159</v>
      </c>
      <c r="E619" s="85" t="s">
        <v>164</v>
      </c>
      <c r="F619" s="86" t="s">
        <v>252</v>
      </c>
      <c r="G619" s="87" t="s">
        <v>195</v>
      </c>
      <c r="H619" s="88">
        <f t="shared" si="3"/>
        <v>0.11</v>
      </c>
      <c r="I619" s="89">
        <v>0.1</v>
      </c>
      <c r="J619" s="130"/>
      <c r="K619" s="89">
        <f t="shared" si="4"/>
        <v>0.01</v>
      </c>
      <c r="L619" s="84">
        <f t="shared" si="5"/>
        <v>618</v>
      </c>
      <c r="M619" s="85" t="s">
        <v>181</v>
      </c>
    </row>
    <row r="620" ht="22.5" customHeight="1">
      <c r="A620" s="83">
        <v>46194.0</v>
      </c>
      <c r="B620" s="84" t="str">
        <f t="shared" si="1"/>
        <v>Jun 2026</v>
      </c>
      <c r="C620" s="84">
        <f t="shared" si="2"/>
        <v>26</v>
      </c>
      <c r="D620" s="85" t="s">
        <v>159</v>
      </c>
      <c r="E620" s="85" t="s">
        <v>164</v>
      </c>
      <c r="F620" s="86" t="s">
        <v>253</v>
      </c>
      <c r="G620" s="87" t="s">
        <v>168</v>
      </c>
      <c r="H620" s="88">
        <f t="shared" si="3"/>
        <v>0.11</v>
      </c>
      <c r="I620" s="89">
        <v>0.1</v>
      </c>
      <c r="J620" s="130"/>
      <c r="K620" s="89">
        <f t="shared" si="4"/>
        <v>0.01</v>
      </c>
      <c r="L620" s="84">
        <f t="shared" si="5"/>
        <v>619</v>
      </c>
      <c r="M620" s="85" t="s">
        <v>181</v>
      </c>
    </row>
    <row r="621" ht="22.5" customHeight="1">
      <c r="A621" s="83">
        <v>46194.0</v>
      </c>
      <c r="B621" s="84" t="str">
        <f t="shared" si="1"/>
        <v>Jun 2026</v>
      </c>
      <c r="C621" s="84">
        <f t="shared" si="2"/>
        <v>26</v>
      </c>
      <c r="D621" s="85" t="s">
        <v>159</v>
      </c>
      <c r="E621" s="85" t="s">
        <v>164</v>
      </c>
      <c r="F621" s="86" t="s">
        <v>254</v>
      </c>
      <c r="G621" s="87" t="s">
        <v>184</v>
      </c>
      <c r="H621" s="88">
        <f t="shared" si="3"/>
        <v>0.11</v>
      </c>
      <c r="I621" s="89">
        <v>0.1</v>
      </c>
      <c r="J621" s="130"/>
      <c r="K621" s="89">
        <f t="shared" si="4"/>
        <v>0.01</v>
      </c>
      <c r="L621" s="84">
        <f t="shared" si="5"/>
        <v>620</v>
      </c>
      <c r="M621" s="85" t="s">
        <v>181</v>
      </c>
    </row>
    <row r="622" ht="22.5" customHeight="1">
      <c r="A622" s="83">
        <v>46194.0</v>
      </c>
      <c r="B622" s="84" t="str">
        <f t="shared" si="1"/>
        <v>Jun 2026</v>
      </c>
      <c r="C622" s="84">
        <f t="shared" si="2"/>
        <v>26</v>
      </c>
      <c r="D622" s="85" t="s">
        <v>159</v>
      </c>
      <c r="E622" s="85" t="s">
        <v>164</v>
      </c>
      <c r="F622" s="86" t="s">
        <v>255</v>
      </c>
      <c r="G622" s="87" t="s">
        <v>200</v>
      </c>
      <c r="H622" s="88">
        <f t="shared" si="3"/>
        <v>0.11</v>
      </c>
      <c r="I622" s="89">
        <v>0.1</v>
      </c>
      <c r="J622" s="130"/>
      <c r="K622" s="89">
        <f t="shared" si="4"/>
        <v>0.01</v>
      </c>
      <c r="L622" s="84">
        <f t="shared" si="5"/>
        <v>621</v>
      </c>
      <c r="M622" s="85" t="s">
        <v>181</v>
      </c>
    </row>
    <row r="623" ht="22.5" customHeight="1">
      <c r="A623" s="83">
        <v>46194.0</v>
      </c>
      <c r="B623" s="84" t="str">
        <f t="shared" si="1"/>
        <v>Jun 2026</v>
      </c>
      <c r="C623" s="84">
        <f t="shared" si="2"/>
        <v>26</v>
      </c>
      <c r="D623" s="85" t="s">
        <v>159</v>
      </c>
      <c r="E623" s="85" t="s">
        <v>164</v>
      </c>
      <c r="F623" s="86" t="s">
        <v>254</v>
      </c>
      <c r="G623" s="87" t="s">
        <v>179</v>
      </c>
      <c r="H623" s="88">
        <f t="shared" si="3"/>
        <v>0.11</v>
      </c>
      <c r="I623" s="89">
        <v>0.1</v>
      </c>
      <c r="J623" s="130"/>
      <c r="K623" s="89">
        <f t="shared" si="4"/>
        <v>0.01</v>
      </c>
      <c r="L623" s="84">
        <f t="shared" si="5"/>
        <v>622</v>
      </c>
      <c r="M623" s="85" t="s">
        <v>181</v>
      </c>
    </row>
    <row r="624" ht="22.5" customHeight="1">
      <c r="A624" s="83">
        <v>46194.0</v>
      </c>
      <c r="B624" s="84" t="str">
        <f t="shared" si="1"/>
        <v>Jun 2026</v>
      </c>
      <c r="C624" s="84">
        <f t="shared" si="2"/>
        <v>26</v>
      </c>
      <c r="D624" s="85" t="s">
        <v>159</v>
      </c>
      <c r="E624" s="85" t="s">
        <v>164</v>
      </c>
      <c r="F624" s="86" t="s">
        <v>256</v>
      </c>
      <c r="G624" s="87" t="s">
        <v>180</v>
      </c>
      <c r="H624" s="88">
        <f t="shared" si="3"/>
        <v>0.11</v>
      </c>
      <c r="I624" s="89">
        <v>0.1</v>
      </c>
      <c r="J624" s="130"/>
      <c r="K624" s="89">
        <f t="shared" si="4"/>
        <v>0.01</v>
      </c>
      <c r="L624" s="84">
        <f t="shared" si="5"/>
        <v>623</v>
      </c>
      <c r="M624" s="85" t="s">
        <v>181</v>
      </c>
    </row>
    <row r="625" ht="22.5" customHeight="1">
      <c r="A625" s="83">
        <v>46194.0</v>
      </c>
      <c r="B625" s="84" t="str">
        <f t="shared" si="1"/>
        <v>Jun 2026</v>
      </c>
      <c r="C625" s="84">
        <f t="shared" si="2"/>
        <v>26</v>
      </c>
      <c r="D625" s="85" t="s">
        <v>159</v>
      </c>
      <c r="E625" s="85" t="s">
        <v>164</v>
      </c>
      <c r="F625" s="86" t="s">
        <v>257</v>
      </c>
      <c r="G625" s="86" t="s">
        <v>202</v>
      </c>
      <c r="H625" s="88">
        <f t="shared" si="3"/>
        <v>0.11</v>
      </c>
      <c r="I625" s="89">
        <v>0.1</v>
      </c>
      <c r="J625" s="130"/>
      <c r="K625" s="89">
        <f t="shared" si="4"/>
        <v>0.01</v>
      </c>
      <c r="L625" s="84">
        <f t="shared" si="5"/>
        <v>624</v>
      </c>
      <c r="M625" s="85" t="s">
        <v>181</v>
      </c>
    </row>
    <row r="626" ht="22.5" customHeight="1">
      <c r="A626" s="83">
        <v>46194.0</v>
      </c>
      <c r="B626" s="84" t="str">
        <f t="shared" si="1"/>
        <v>Jun 2026</v>
      </c>
      <c r="C626" s="84">
        <f t="shared" si="2"/>
        <v>26</v>
      </c>
      <c r="D626" s="85" t="s">
        <v>159</v>
      </c>
      <c r="E626" s="85" t="s">
        <v>164</v>
      </c>
      <c r="F626" s="86" t="s">
        <v>258</v>
      </c>
      <c r="G626" s="86" t="s">
        <v>169</v>
      </c>
      <c r="H626" s="88">
        <f t="shared" si="3"/>
        <v>0.11</v>
      </c>
      <c r="I626" s="89">
        <v>0.1</v>
      </c>
      <c r="J626" s="130"/>
      <c r="K626" s="89">
        <f t="shared" si="4"/>
        <v>0.01</v>
      </c>
      <c r="L626" s="84">
        <f t="shared" si="5"/>
        <v>625</v>
      </c>
      <c r="M626" s="85" t="s">
        <v>181</v>
      </c>
    </row>
    <row r="627" ht="22.5" customHeight="1">
      <c r="A627" s="83">
        <v>46194.0</v>
      </c>
      <c r="B627" s="84" t="str">
        <f t="shared" si="1"/>
        <v>Jun 2026</v>
      </c>
      <c r="C627" s="84">
        <f t="shared" si="2"/>
        <v>26</v>
      </c>
      <c r="D627" s="85" t="s">
        <v>159</v>
      </c>
      <c r="E627" s="85" t="s">
        <v>164</v>
      </c>
      <c r="F627" s="86" t="s">
        <v>259</v>
      </c>
      <c r="G627" s="86" t="s">
        <v>196</v>
      </c>
      <c r="H627" s="88">
        <f t="shared" si="3"/>
        <v>0.11</v>
      </c>
      <c r="I627" s="89">
        <v>0.1</v>
      </c>
      <c r="J627" s="130"/>
      <c r="K627" s="89">
        <f t="shared" si="4"/>
        <v>0.01</v>
      </c>
      <c r="L627" s="84">
        <f t="shared" si="5"/>
        <v>626</v>
      </c>
      <c r="M627" s="85" t="s">
        <v>181</v>
      </c>
    </row>
    <row r="628" ht="22.5" customHeight="1">
      <c r="A628" s="83">
        <v>46194.0</v>
      </c>
      <c r="B628" s="84" t="str">
        <f t="shared" si="1"/>
        <v>Jun 2026</v>
      </c>
      <c r="C628" s="84">
        <f t="shared" si="2"/>
        <v>26</v>
      </c>
      <c r="D628" s="85" t="s">
        <v>159</v>
      </c>
      <c r="E628" s="85" t="s">
        <v>164</v>
      </c>
      <c r="F628" s="86" t="s">
        <v>260</v>
      </c>
      <c r="G628" s="86" t="s">
        <v>203</v>
      </c>
      <c r="H628" s="88">
        <f t="shared" si="3"/>
        <v>0.11</v>
      </c>
      <c r="I628" s="89">
        <v>0.1</v>
      </c>
      <c r="J628" s="130"/>
      <c r="K628" s="89">
        <f t="shared" si="4"/>
        <v>0.01</v>
      </c>
      <c r="L628" s="84">
        <f t="shared" si="5"/>
        <v>627</v>
      </c>
      <c r="M628" s="85" t="s">
        <v>181</v>
      </c>
    </row>
    <row r="629" ht="22.5" customHeight="1">
      <c r="A629" s="83">
        <v>46194.0</v>
      </c>
      <c r="B629" s="84" t="str">
        <f t="shared" si="1"/>
        <v>Jun 2026</v>
      </c>
      <c r="C629" s="84">
        <f t="shared" si="2"/>
        <v>26</v>
      </c>
      <c r="D629" s="85" t="s">
        <v>159</v>
      </c>
      <c r="E629" s="85" t="s">
        <v>164</v>
      </c>
      <c r="F629" s="86" t="s">
        <v>254</v>
      </c>
      <c r="G629" s="86" t="s">
        <v>197</v>
      </c>
      <c r="H629" s="88">
        <f t="shared" si="3"/>
        <v>0.11</v>
      </c>
      <c r="I629" s="89">
        <v>0.1</v>
      </c>
      <c r="J629" s="130"/>
      <c r="K629" s="89">
        <f t="shared" si="4"/>
        <v>0.01</v>
      </c>
      <c r="L629" s="84">
        <f t="shared" si="5"/>
        <v>628</v>
      </c>
      <c r="M629" s="85" t="s">
        <v>181</v>
      </c>
    </row>
    <row r="630" ht="22.5" customHeight="1">
      <c r="A630" s="83">
        <v>46194.0</v>
      </c>
      <c r="B630" s="84" t="str">
        <f t="shared" si="1"/>
        <v>Jun 2026</v>
      </c>
      <c r="C630" s="84">
        <f t="shared" si="2"/>
        <v>26</v>
      </c>
      <c r="D630" s="85" t="s">
        <v>129</v>
      </c>
      <c r="E630" s="85" t="s">
        <v>165</v>
      </c>
      <c r="F630" s="86" t="s">
        <v>245</v>
      </c>
      <c r="G630" s="86" t="s">
        <v>228</v>
      </c>
      <c r="H630" s="88">
        <f t="shared" si="3"/>
        <v>0.7337</v>
      </c>
      <c r="I630" s="89">
        <v>0.667</v>
      </c>
      <c r="J630" s="130"/>
      <c r="K630" s="89">
        <f t="shared" si="4"/>
        <v>0.0667</v>
      </c>
      <c r="L630" s="84">
        <f t="shared" si="5"/>
        <v>629</v>
      </c>
      <c r="M630" s="85" t="s">
        <v>133</v>
      </c>
    </row>
    <row r="631" ht="22.5" customHeight="1">
      <c r="A631" s="83">
        <v>46194.0</v>
      </c>
      <c r="B631" s="84" t="str">
        <f t="shared" si="1"/>
        <v>Jun 2026</v>
      </c>
      <c r="C631" s="84">
        <f t="shared" si="2"/>
        <v>26</v>
      </c>
      <c r="D631" s="85" t="s">
        <v>129</v>
      </c>
      <c r="E631" s="85" t="s">
        <v>165</v>
      </c>
      <c r="F631" s="86" t="s">
        <v>245</v>
      </c>
      <c r="G631" s="86" t="s">
        <v>228</v>
      </c>
      <c r="H631" s="88">
        <f t="shared" si="3"/>
        <v>0.7337</v>
      </c>
      <c r="I631" s="89">
        <v>0.667</v>
      </c>
      <c r="J631" s="130"/>
      <c r="K631" s="89">
        <f t="shared" si="4"/>
        <v>0.0667</v>
      </c>
      <c r="L631" s="84">
        <f t="shared" si="5"/>
        <v>630</v>
      </c>
      <c r="M631" s="85" t="s">
        <v>133</v>
      </c>
    </row>
    <row r="632" ht="22.5" customHeight="1">
      <c r="A632" s="83">
        <v>46194.0</v>
      </c>
      <c r="B632" s="84" t="str">
        <f t="shared" si="1"/>
        <v>Jun 2026</v>
      </c>
      <c r="C632" s="84">
        <f t="shared" si="2"/>
        <v>26</v>
      </c>
      <c r="D632" s="85" t="s">
        <v>129</v>
      </c>
      <c r="E632" s="85" t="s">
        <v>165</v>
      </c>
      <c r="F632" s="86" t="s">
        <v>176</v>
      </c>
      <c r="G632" s="87" t="s">
        <v>177</v>
      </c>
      <c r="H632" s="88">
        <f t="shared" si="3"/>
        <v>0.7337</v>
      </c>
      <c r="I632" s="89">
        <v>0.667</v>
      </c>
      <c r="J632" s="130"/>
      <c r="K632" s="89">
        <f t="shared" si="4"/>
        <v>0.0667</v>
      </c>
      <c r="L632" s="84">
        <f t="shared" si="5"/>
        <v>631</v>
      </c>
      <c r="M632" s="85" t="s">
        <v>133</v>
      </c>
    </row>
    <row r="633" ht="22.5" customHeight="1">
      <c r="A633" s="83">
        <v>46194.0</v>
      </c>
      <c r="B633" s="84" t="str">
        <f t="shared" si="1"/>
        <v>Jun 2026</v>
      </c>
      <c r="C633" s="84">
        <f t="shared" si="2"/>
        <v>26</v>
      </c>
      <c r="D633" s="85" t="s">
        <v>129</v>
      </c>
      <c r="E633" s="85" t="s">
        <v>165</v>
      </c>
      <c r="F633" s="86" t="s">
        <v>176</v>
      </c>
      <c r="G633" s="87" t="s">
        <v>177</v>
      </c>
      <c r="H633" s="88">
        <f t="shared" si="3"/>
        <v>0.7337</v>
      </c>
      <c r="I633" s="89">
        <v>0.667</v>
      </c>
      <c r="J633" s="130"/>
      <c r="K633" s="89">
        <f t="shared" si="4"/>
        <v>0.0667</v>
      </c>
      <c r="L633" s="84">
        <f t="shared" si="5"/>
        <v>632</v>
      </c>
      <c r="M633" s="85" t="s">
        <v>133</v>
      </c>
    </row>
    <row r="634" ht="22.5" customHeight="1">
      <c r="A634" s="83">
        <v>46194.0</v>
      </c>
      <c r="B634" s="84" t="str">
        <f t="shared" si="1"/>
        <v>Jun 2026</v>
      </c>
      <c r="C634" s="84">
        <f t="shared" si="2"/>
        <v>26</v>
      </c>
      <c r="D634" s="85" t="s">
        <v>129</v>
      </c>
      <c r="E634" s="85" t="s">
        <v>165</v>
      </c>
      <c r="F634" s="86" t="s">
        <v>176</v>
      </c>
      <c r="G634" s="87" t="s">
        <v>177</v>
      </c>
      <c r="H634" s="88">
        <f t="shared" si="3"/>
        <v>0.7337</v>
      </c>
      <c r="I634" s="89">
        <v>0.667</v>
      </c>
      <c r="J634" s="130"/>
      <c r="K634" s="89">
        <f t="shared" si="4"/>
        <v>0.0667</v>
      </c>
      <c r="L634" s="84">
        <f t="shared" si="5"/>
        <v>633</v>
      </c>
      <c r="M634" s="85" t="s">
        <v>133</v>
      </c>
    </row>
    <row r="635" ht="22.5" customHeight="1">
      <c r="A635" s="83">
        <v>46194.0</v>
      </c>
      <c r="B635" s="84" t="str">
        <f t="shared" si="1"/>
        <v>Jun 2026</v>
      </c>
      <c r="C635" s="84">
        <f t="shared" si="2"/>
        <v>26</v>
      </c>
      <c r="D635" s="85" t="s">
        <v>159</v>
      </c>
      <c r="E635" s="85" t="s">
        <v>165</v>
      </c>
      <c r="F635" s="86" t="s">
        <v>253</v>
      </c>
      <c r="G635" s="87" t="s">
        <v>168</v>
      </c>
      <c r="H635" s="88">
        <f t="shared" si="3"/>
        <v>0.11</v>
      </c>
      <c r="I635" s="89">
        <v>0.1</v>
      </c>
      <c r="J635" s="130"/>
      <c r="K635" s="89">
        <f t="shared" si="4"/>
        <v>0.01</v>
      </c>
      <c r="L635" s="84">
        <f t="shared" si="5"/>
        <v>634</v>
      </c>
      <c r="M635" s="85" t="s">
        <v>181</v>
      </c>
    </row>
    <row r="636" ht="22.5" customHeight="1">
      <c r="A636" s="83">
        <v>46194.0</v>
      </c>
      <c r="B636" s="84" t="str">
        <f t="shared" si="1"/>
        <v>Jun 2026</v>
      </c>
      <c r="C636" s="84">
        <f t="shared" si="2"/>
        <v>26</v>
      </c>
      <c r="D636" s="85" t="s">
        <v>159</v>
      </c>
      <c r="E636" s="85" t="s">
        <v>165</v>
      </c>
      <c r="F636" s="86" t="s">
        <v>260</v>
      </c>
      <c r="G636" s="86" t="s">
        <v>203</v>
      </c>
      <c r="H636" s="88">
        <f t="shared" si="3"/>
        <v>0.11</v>
      </c>
      <c r="I636" s="89">
        <v>0.1</v>
      </c>
      <c r="J636" s="130"/>
      <c r="K636" s="89">
        <f t="shared" si="4"/>
        <v>0.01</v>
      </c>
      <c r="L636" s="84">
        <f t="shared" si="5"/>
        <v>635</v>
      </c>
      <c r="M636" s="85" t="s">
        <v>181</v>
      </c>
    </row>
    <row r="637" ht="22.5" customHeight="1">
      <c r="A637" s="83">
        <v>46194.0</v>
      </c>
      <c r="B637" s="84" t="str">
        <f t="shared" si="1"/>
        <v>Jun 2026</v>
      </c>
      <c r="C637" s="84">
        <f t="shared" si="2"/>
        <v>26</v>
      </c>
      <c r="D637" s="85" t="s">
        <v>159</v>
      </c>
      <c r="E637" s="85" t="s">
        <v>165</v>
      </c>
      <c r="F637" s="86" t="s">
        <v>255</v>
      </c>
      <c r="G637" s="87" t="s">
        <v>200</v>
      </c>
      <c r="H637" s="88">
        <f t="shared" si="3"/>
        <v>0.11</v>
      </c>
      <c r="I637" s="89">
        <v>0.1</v>
      </c>
      <c r="J637" s="130"/>
      <c r="K637" s="89">
        <f t="shared" si="4"/>
        <v>0.01</v>
      </c>
      <c r="L637" s="84">
        <f t="shared" si="5"/>
        <v>636</v>
      </c>
      <c r="M637" s="85" t="s">
        <v>181</v>
      </c>
    </row>
    <row r="638" ht="22.5" customHeight="1">
      <c r="A638" s="83">
        <v>46194.0</v>
      </c>
      <c r="B638" s="84" t="str">
        <f t="shared" si="1"/>
        <v>Jun 2026</v>
      </c>
      <c r="C638" s="84">
        <f t="shared" si="2"/>
        <v>26</v>
      </c>
      <c r="D638" s="85" t="s">
        <v>159</v>
      </c>
      <c r="E638" s="85" t="s">
        <v>165</v>
      </c>
      <c r="F638" s="86" t="s">
        <v>254</v>
      </c>
      <c r="G638" s="87" t="s">
        <v>184</v>
      </c>
      <c r="H638" s="88">
        <f t="shared" si="3"/>
        <v>0.11</v>
      </c>
      <c r="I638" s="89">
        <v>0.1</v>
      </c>
      <c r="J638" s="130"/>
      <c r="K638" s="89">
        <f t="shared" si="4"/>
        <v>0.01</v>
      </c>
      <c r="L638" s="84">
        <f t="shared" si="5"/>
        <v>637</v>
      </c>
      <c r="M638" s="85" t="s">
        <v>181</v>
      </c>
    </row>
    <row r="639" ht="22.5" customHeight="1">
      <c r="A639" s="83">
        <v>46194.0</v>
      </c>
      <c r="B639" s="84" t="str">
        <f t="shared" si="1"/>
        <v>Jun 2026</v>
      </c>
      <c r="C639" s="84">
        <f t="shared" si="2"/>
        <v>26</v>
      </c>
      <c r="D639" s="85" t="s">
        <v>159</v>
      </c>
      <c r="E639" s="85" t="s">
        <v>165</v>
      </c>
      <c r="F639" s="86" t="s">
        <v>254</v>
      </c>
      <c r="G639" s="87" t="s">
        <v>179</v>
      </c>
      <c r="H639" s="88">
        <f t="shared" si="3"/>
        <v>0.11</v>
      </c>
      <c r="I639" s="89">
        <v>0.1</v>
      </c>
      <c r="J639" s="130"/>
      <c r="K639" s="89">
        <f t="shared" si="4"/>
        <v>0.01</v>
      </c>
      <c r="L639" s="84">
        <f t="shared" si="5"/>
        <v>638</v>
      </c>
      <c r="M639" s="85" t="s">
        <v>181</v>
      </c>
    </row>
    <row r="640" ht="22.5" customHeight="1">
      <c r="A640" s="83">
        <v>46194.0</v>
      </c>
      <c r="B640" s="84" t="str">
        <f t="shared" si="1"/>
        <v>Jun 2026</v>
      </c>
      <c r="C640" s="84">
        <f t="shared" si="2"/>
        <v>26</v>
      </c>
      <c r="D640" s="85" t="s">
        <v>159</v>
      </c>
      <c r="E640" s="85" t="s">
        <v>165</v>
      </c>
      <c r="F640" s="86" t="s">
        <v>252</v>
      </c>
      <c r="G640" s="87" t="s">
        <v>195</v>
      </c>
      <c r="H640" s="88">
        <f t="shared" si="3"/>
        <v>0.11</v>
      </c>
      <c r="I640" s="89">
        <v>0.1</v>
      </c>
      <c r="J640" s="130"/>
      <c r="K640" s="89">
        <f t="shared" si="4"/>
        <v>0.01</v>
      </c>
      <c r="L640" s="84">
        <f t="shared" si="5"/>
        <v>639</v>
      </c>
      <c r="M640" s="85" t="s">
        <v>181</v>
      </c>
    </row>
    <row r="641" ht="22.5" customHeight="1">
      <c r="A641" s="83">
        <v>46194.0</v>
      </c>
      <c r="B641" s="84" t="str">
        <f t="shared" si="1"/>
        <v>Jun 2026</v>
      </c>
      <c r="C641" s="84">
        <f t="shared" si="2"/>
        <v>26</v>
      </c>
      <c r="D641" s="85" t="s">
        <v>159</v>
      </c>
      <c r="E641" s="85" t="s">
        <v>165</v>
      </c>
      <c r="F641" s="86" t="s">
        <v>258</v>
      </c>
      <c r="G641" s="86" t="s">
        <v>169</v>
      </c>
      <c r="H641" s="88">
        <f t="shared" si="3"/>
        <v>0.11</v>
      </c>
      <c r="I641" s="89">
        <v>0.1</v>
      </c>
      <c r="J641" s="130"/>
      <c r="K641" s="89">
        <f t="shared" si="4"/>
        <v>0.01</v>
      </c>
      <c r="L641" s="84">
        <f t="shared" si="5"/>
        <v>640</v>
      </c>
      <c r="M641" s="85" t="s">
        <v>181</v>
      </c>
    </row>
    <row r="642" ht="22.5" customHeight="1">
      <c r="A642" s="83">
        <v>46194.0</v>
      </c>
      <c r="B642" s="84" t="str">
        <f t="shared" si="1"/>
        <v>Jun 2026</v>
      </c>
      <c r="C642" s="84">
        <f t="shared" si="2"/>
        <v>26</v>
      </c>
      <c r="D642" s="85" t="s">
        <v>159</v>
      </c>
      <c r="E642" s="85" t="s">
        <v>165</v>
      </c>
      <c r="F642" s="86" t="s">
        <v>257</v>
      </c>
      <c r="G642" s="86" t="s">
        <v>202</v>
      </c>
      <c r="H642" s="88">
        <f t="shared" si="3"/>
        <v>0.11</v>
      </c>
      <c r="I642" s="89">
        <v>0.1</v>
      </c>
      <c r="J642" s="130"/>
      <c r="K642" s="89">
        <f t="shared" si="4"/>
        <v>0.01</v>
      </c>
      <c r="L642" s="84">
        <f t="shared" si="5"/>
        <v>641</v>
      </c>
      <c r="M642" s="85" t="s">
        <v>181</v>
      </c>
    </row>
    <row r="643" ht="22.5" customHeight="1">
      <c r="A643" s="83">
        <v>46194.0</v>
      </c>
      <c r="B643" s="84" t="str">
        <f t="shared" si="1"/>
        <v>Jun 2026</v>
      </c>
      <c r="C643" s="84">
        <f t="shared" si="2"/>
        <v>26</v>
      </c>
      <c r="D643" s="85" t="s">
        <v>159</v>
      </c>
      <c r="E643" s="85" t="s">
        <v>165</v>
      </c>
      <c r="F643" s="86" t="s">
        <v>254</v>
      </c>
      <c r="G643" s="86" t="s">
        <v>197</v>
      </c>
      <c r="H643" s="88">
        <f t="shared" si="3"/>
        <v>0.11</v>
      </c>
      <c r="I643" s="89">
        <v>0.1</v>
      </c>
      <c r="J643" s="130"/>
      <c r="K643" s="89">
        <f t="shared" si="4"/>
        <v>0.01</v>
      </c>
      <c r="L643" s="84">
        <f t="shared" si="5"/>
        <v>642</v>
      </c>
      <c r="M643" s="85" t="s">
        <v>181</v>
      </c>
    </row>
    <row r="644" ht="22.5" customHeight="1">
      <c r="A644" s="83">
        <v>46194.0</v>
      </c>
      <c r="B644" s="84" t="str">
        <f t="shared" si="1"/>
        <v>Jun 2026</v>
      </c>
      <c r="C644" s="84">
        <f t="shared" si="2"/>
        <v>26</v>
      </c>
      <c r="D644" s="85" t="s">
        <v>159</v>
      </c>
      <c r="E644" s="85" t="s">
        <v>165</v>
      </c>
      <c r="F644" s="86" t="s">
        <v>256</v>
      </c>
      <c r="G644" s="87" t="s">
        <v>180</v>
      </c>
      <c r="H644" s="88">
        <f t="shared" si="3"/>
        <v>0.11</v>
      </c>
      <c r="I644" s="89">
        <v>0.1</v>
      </c>
      <c r="J644" s="130"/>
      <c r="K644" s="89">
        <f t="shared" si="4"/>
        <v>0.01</v>
      </c>
      <c r="L644" s="84">
        <f t="shared" si="5"/>
        <v>643</v>
      </c>
      <c r="M644" s="85" t="s">
        <v>181</v>
      </c>
    </row>
    <row r="645" ht="22.5" customHeight="1">
      <c r="A645" s="83">
        <v>46194.0</v>
      </c>
      <c r="B645" s="84" t="str">
        <f t="shared" si="1"/>
        <v>Jun 2026</v>
      </c>
      <c r="C645" s="84">
        <f t="shared" si="2"/>
        <v>26</v>
      </c>
      <c r="D645" s="85" t="s">
        <v>159</v>
      </c>
      <c r="E645" s="85" t="s">
        <v>165</v>
      </c>
      <c r="F645" s="86" t="s">
        <v>259</v>
      </c>
      <c r="G645" s="86" t="s">
        <v>196</v>
      </c>
      <c r="H645" s="88">
        <f t="shared" si="3"/>
        <v>0.11</v>
      </c>
      <c r="I645" s="89">
        <v>0.1</v>
      </c>
      <c r="J645" s="130"/>
      <c r="K645" s="89">
        <f t="shared" si="4"/>
        <v>0.01</v>
      </c>
      <c r="L645" s="84">
        <f t="shared" si="5"/>
        <v>644</v>
      </c>
      <c r="M645" s="85" t="s">
        <v>181</v>
      </c>
    </row>
    <row r="646" ht="22.5" customHeight="1">
      <c r="A646" s="83">
        <v>46194.0</v>
      </c>
      <c r="B646" s="84" t="str">
        <f t="shared" si="1"/>
        <v>Jun 2026</v>
      </c>
      <c r="C646" s="84">
        <f t="shared" si="2"/>
        <v>26</v>
      </c>
      <c r="D646" s="85" t="s">
        <v>159</v>
      </c>
      <c r="E646" s="85" t="s">
        <v>165</v>
      </c>
      <c r="F646" s="86" t="s">
        <v>254</v>
      </c>
      <c r="G646" s="87" t="s">
        <v>184</v>
      </c>
      <c r="H646" s="88">
        <f t="shared" si="3"/>
        <v>0.11</v>
      </c>
      <c r="I646" s="89">
        <v>0.1</v>
      </c>
      <c r="J646" s="130"/>
      <c r="K646" s="89">
        <f t="shared" si="4"/>
        <v>0.01</v>
      </c>
      <c r="L646" s="84">
        <f t="shared" si="5"/>
        <v>645</v>
      </c>
      <c r="M646" s="85" t="s">
        <v>181</v>
      </c>
    </row>
    <row r="647" ht="22.5" customHeight="1">
      <c r="A647" s="83">
        <v>46194.0</v>
      </c>
      <c r="B647" s="84" t="str">
        <f t="shared" si="1"/>
        <v>Jun 2026</v>
      </c>
      <c r="C647" s="84">
        <f t="shared" si="2"/>
        <v>26</v>
      </c>
      <c r="D647" s="85" t="s">
        <v>159</v>
      </c>
      <c r="E647" s="85" t="s">
        <v>165</v>
      </c>
      <c r="F647" s="86" t="s">
        <v>254</v>
      </c>
      <c r="G647" s="87" t="s">
        <v>184</v>
      </c>
      <c r="H647" s="88">
        <f t="shared" si="3"/>
        <v>0.11</v>
      </c>
      <c r="I647" s="89">
        <v>0.1</v>
      </c>
      <c r="J647" s="130"/>
      <c r="K647" s="89">
        <f t="shared" si="4"/>
        <v>0.01</v>
      </c>
      <c r="L647" s="84">
        <f t="shared" si="5"/>
        <v>646</v>
      </c>
      <c r="M647" s="85" t="s">
        <v>181</v>
      </c>
    </row>
    <row r="648" ht="22.5" customHeight="1">
      <c r="A648" s="83">
        <v>46194.0</v>
      </c>
      <c r="B648" s="84" t="str">
        <f t="shared" si="1"/>
        <v>Jun 2026</v>
      </c>
      <c r="C648" s="84">
        <f t="shared" si="2"/>
        <v>26</v>
      </c>
      <c r="D648" s="85" t="s">
        <v>129</v>
      </c>
      <c r="E648" s="85" t="s">
        <v>167</v>
      </c>
      <c r="F648" s="86" t="s">
        <v>245</v>
      </c>
      <c r="G648" s="86" t="s">
        <v>228</v>
      </c>
      <c r="H648" s="88">
        <f t="shared" si="3"/>
        <v>0.7337</v>
      </c>
      <c r="I648" s="89">
        <v>0.667</v>
      </c>
      <c r="J648" s="130"/>
      <c r="K648" s="89">
        <f t="shared" si="4"/>
        <v>0.0667</v>
      </c>
      <c r="L648" s="84">
        <f t="shared" si="5"/>
        <v>647</v>
      </c>
      <c r="M648" s="85" t="s">
        <v>133</v>
      </c>
    </row>
    <row r="649" ht="22.5" customHeight="1">
      <c r="A649" s="83">
        <v>46194.0</v>
      </c>
      <c r="B649" s="84" t="str">
        <f t="shared" si="1"/>
        <v>Jun 2026</v>
      </c>
      <c r="C649" s="84">
        <f t="shared" si="2"/>
        <v>26</v>
      </c>
      <c r="D649" s="85" t="s">
        <v>129</v>
      </c>
      <c r="E649" s="85" t="s">
        <v>167</v>
      </c>
      <c r="F649" s="86" t="s">
        <v>245</v>
      </c>
      <c r="G649" s="86" t="s">
        <v>228</v>
      </c>
      <c r="H649" s="88">
        <f t="shared" si="3"/>
        <v>0.7337</v>
      </c>
      <c r="I649" s="89">
        <v>0.667</v>
      </c>
      <c r="J649" s="130"/>
      <c r="K649" s="89">
        <f t="shared" si="4"/>
        <v>0.0667</v>
      </c>
      <c r="L649" s="84">
        <f t="shared" si="5"/>
        <v>648</v>
      </c>
      <c r="M649" s="85" t="s">
        <v>133</v>
      </c>
    </row>
    <row r="650" ht="22.5" customHeight="1">
      <c r="A650" s="83">
        <v>46194.0</v>
      </c>
      <c r="B650" s="84" t="str">
        <f t="shared" si="1"/>
        <v>Jun 2026</v>
      </c>
      <c r="C650" s="84">
        <f t="shared" si="2"/>
        <v>26</v>
      </c>
      <c r="D650" s="85" t="s">
        <v>129</v>
      </c>
      <c r="E650" s="85" t="s">
        <v>167</v>
      </c>
      <c r="F650" s="86" t="s">
        <v>176</v>
      </c>
      <c r="G650" s="87" t="s">
        <v>177</v>
      </c>
      <c r="H650" s="88">
        <f t="shared" si="3"/>
        <v>0.7337</v>
      </c>
      <c r="I650" s="89">
        <v>0.667</v>
      </c>
      <c r="J650" s="130"/>
      <c r="K650" s="89">
        <f t="shared" si="4"/>
        <v>0.0667</v>
      </c>
      <c r="L650" s="84">
        <f t="shared" si="5"/>
        <v>649</v>
      </c>
      <c r="M650" s="85" t="s">
        <v>133</v>
      </c>
    </row>
    <row r="651" ht="22.5" customHeight="1">
      <c r="A651" s="83">
        <v>46194.0</v>
      </c>
      <c r="B651" s="84" t="str">
        <f t="shared" si="1"/>
        <v>Jun 2026</v>
      </c>
      <c r="C651" s="84">
        <f t="shared" si="2"/>
        <v>26</v>
      </c>
      <c r="D651" s="85" t="s">
        <v>129</v>
      </c>
      <c r="E651" s="85" t="s">
        <v>167</v>
      </c>
      <c r="F651" s="86" t="s">
        <v>245</v>
      </c>
      <c r="G651" s="86" t="s">
        <v>228</v>
      </c>
      <c r="H651" s="88">
        <f t="shared" si="3"/>
        <v>0.7337</v>
      </c>
      <c r="I651" s="89">
        <v>0.667</v>
      </c>
      <c r="J651" s="130"/>
      <c r="K651" s="89">
        <f t="shared" si="4"/>
        <v>0.0667</v>
      </c>
      <c r="L651" s="84">
        <f t="shared" si="5"/>
        <v>650</v>
      </c>
      <c r="M651" s="85" t="s">
        <v>133</v>
      </c>
    </row>
    <row r="652" ht="22.5" customHeight="1">
      <c r="A652" s="83">
        <v>46194.0</v>
      </c>
      <c r="B652" s="84" t="str">
        <f t="shared" si="1"/>
        <v>Jun 2026</v>
      </c>
      <c r="C652" s="84">
        <f t="shared" si="2"/>
        <v>26</v>
      </c>
      <c r="D652" s="85" t="s">
        <v>129</v>
      </c>
      <c r="E652" s="85" t="s">
        <v>167</v>
      </c>
      <c r="F652" s="86" t="s">
        <v>176</v>
      </c>
      <c r="G652" s="87" t="s">
        <v>177</v>
      </c>
      <c r="H652" s="88">
        <f t="shared" si="3"/>
        <v>0.7337</v>
      </c>
      <c r="I652" s="89">
        <v>0.667</v>
      </c>
      <c r="J652" s="130"/>
      <c r="K652" s="89">
        <f t="shared" si="4"/>
        <v>0.0667</v>
      </c>
      <c r="L652" s="84">
        <f t="shared" si="5"/>
        <v>651</v>
      </c>
      <c r="M652" s="85" t="s">
        <v>133</v>
      </c>
    </row>
    <row r="653" ht="22.5" customHeight="1">
      <c r="A653" s="83">
        <v>46194.0</v>
      </c>
      <c r="B653" s="84" t="str">
        <f t="shared" si="1"/>
        <v>Jun 2026</v>
      </c>
      <c r="C653" s="84">
        <f t="shared" si="2"/>
        <v>26</v>
      </c>
      <c r="D653" s="85" t="s">
        <v>159</v>
      </c>
      <c r="E653" s="85" t="s">
        <v>167</v>
      </c>
      <c r="F653" s="86" t="s">
        <v>252</v>
      </c>
      <c r="G653" s="87" t="s">
        <v>195</v>
      </c>
      <c r="H653" s="88">
        <f t="shared" si="3"/>
        <v>0.11</v>
      </c>
      <c r="I653" s="89">
        <v>0.1</v>
      </c>
      <c r="J653" s="130"/>
      <c r="K653" s="89">
        <f t="shared" si="4"/>
        <v>0.01</v>
      </c>
      <c r="L653" s="84">
        <f t="shared" si="5"/>
        <v>652</v>
      </c>
      <c r="M653" s="85" t="s">
        <v>181</v>
      </c>
    </row>
    <row r="654" ht="22.5" customHeight="1">
      <c r="A654" s="83">
        <v>46194.0</v>
      </c>
      <c r="B654" s="84" t="str">
        <f t="shared" si="1"/>
        <v>Jun 2026</v>
      </c>
      <c r="C654" s="84">
        <f t="shared" si="2"/>
        <v>26</v>
      </c>
      <c r="D654" s="85" t="s">
        <v>159</v>
      </c>
      <c r="E654" s="85" t="s">
        <v>167</v>
      </c>
      <c r="F654" s="86" t="s">
        <v>253</v>
      </c>
      <c r="G654" s="87" t="s">
        <v>168</v>
      </c>
      <c r="H654" s="88">
        <f t="shared" si="3"/>
        <v>0.11</v>
      </c>
      <c r="I654" s="89">
        <v>0.1</v>
      </c>
      <c r="J654" s="130"/>
      <c r="K654" s="89">
        <f t="shared" si="4"/>
        <v>0.01</v>
      </c>
      <c r="L654" s="84">
        <f t="shared" si="5"/>
        <v>653</v>
      </c>
      <c r="M654" s="85" t="s">
        <v>181</v>
      </c>
    </row>
    <row r="655" ht="22.5" customHeight="1">
      <c r="A655" s="83">
        <v>46194.0</v>
      </c>
      <c r="B655" s="84" t="str">
        <f t="shared" si="1"/>
        <v>Jun 2026</v>
      </c>
      <c r="C655" s="84">
        <f t="shared" si="2"/>
        <v>26</v>
      </c>
      <c r="D655" s="85" t="s">
        <v>159</v>
      </c>
      <c r="E655" s="85" t="s">
        <v>167</v>
      </c>
      <c r="F655" s="86" t="s">
        <v>258</v>
      </c>
      <c r="G655" s="86" t="s">
        <v>169</v>
      </c>
      <c r="H655" s="88">
        <f t="shared" si="3"/>
        <v>0.11</v>
      </c>
      <c r="I655" s="89">
        <v>0.1</v>
      </c>
      <c r="J655" s="130"/>
      <c r="K655" s="89">
        <f t="shared" si="4"/>
        <v>0.01</v>
      </c>
      <c r="L655" s="84">
        <f t="shared" si="5"/>
        <v>654</v>
      </c>
      <c r="M655" s="85" t="s">
        <v>181</v>
      </c>
    </row>
    <row r="656" ht="22.5" customHeight="1">
      <c r="A656" s="83">
        <v>46194.0</v>
      </c>
      <c r="B656" s="84" t="str">
        <f t="shared" si="1"/>
        <v>Jun 2026</v>
      </c>
      <c r="C656" s="84">
        <f t="shared" si="2"/>
        <v>26</v>
      </c>
      <c r="D656" s="85" t="s">
        <v>159</v>
      </c>
      <c r="E656" s="85" t="s">
        <v>167</v>
      </c>
      <c r="F656" s="86" t="s">
        <v>254</v>
      </c>
      <c r="G656" s="87" t="s">
        <v>179</v>
      </c>
      <c r="H656" s="88">
        <f t="shared" si="3"/>
        <v>0.11</v>
      </c>
      <c r="I656" s="89">
        <v>0.1</v>
      </c>
      <c r="J656" s="130"/>
      <c r="K656" s="89">
        <f t="shared" si="4"/>
        <v>0.01</v>
      </c>
      <c r="L656" s="84">
        <f t="shared" si="5"/>
        <v>655</v>
      </c>
      <c r="M656" s="85" t="s">
        <v>181</v>
      </c>
    </row>
    <row r="657" ht="22.5" customHeight="1">
      <c r="A657" s="83">
        <v>46194.0</v>
      </c>
      <c r="B657" s="84" t="str">
        <f t="shared" si="1"/>
        <v>Jun 2026</v>
      </c>
      <c r="C657" s="84">
        <f t="shared" si="2"/>
        <v>26</v>
      </c>
      <c r="D657" s="85" t="s">
        <v>159</v>
      </c>
      <c r="E657" s="85" t="s">
        <v>167</v>
      </c>
      <c r="F657" s="86" t="s">
        <v>260</v>
      </c>
      <c r="G657" s="86" t="s">
        <v>203</v>
      </c>
      <c r="H657" s="88">
        <f t="shared" si="3"/>
        <v>0.11</v>
      </c>
      <c r="I657" s="89">
        <v>0.1</v>
      </c>
      <c r="J657" s="130"/>
      <c r="K657" s="89">
        <f t="shared" si="4"/>
        <v>0.01</v>
      </c>
      <c r="L657" s="84">
        <f t="shared" si="5"/>
        <v>656</v>
      </c>
      <c r="M657" s="85" t="s">
        <v>181</v>
      </c>
    </row>
    <row r="658" ht="22.5" customHeight="1">
      <c r="A658" s="83">
        <v>46194.0</v>
      </c>
      <c r="B658" s="84" t="str">
        <f t="shared" si="1"/>
        <v>Jun 2026</v>
      </c>
      <c r="C658" s="84">
        <f t="shared" si="2"/>
        <v>26</v>
      </c>
      <c r="D658" s="85" t="s">
        <v>159</v>
      </c>
      <c r="E658" s="85" t="s">
        <v>167</v>
      </c>
      <c r="F658" s="86" t="s">
        <v>255</v>
      </c>
      <c r="G658" s="87" t="s">
        <v>200</v>
      </c>
      <c r="H658" s="88">
        <f t="shared" si="3"/>
        <v>0.11</v>
      </c>
      <c r="I658" s="89">
        <v>0.1</v>
      </c>
      <c r="J658" s="130"/>
      <c r="K658" s="89">
        <f t="shared" si="4"/>
        <v>0.01</v>
      </c>
      <c r="L658" s="84">
        <f t="shared" si="5"/>
        <v>657</v>
      </c>
      <c r="M658" s="85" t="s">
        <v>181</v>
      </c>
    </row>
    <row r="659" ht="22.5" customHeight="1">
      <c r="A659" s="83">
        <v>46194.0</v>
      </c>
      <c r="B659" s="84" t="str">
        <f t="shared" si="1"/>
        <v>Jun 2026</v>
      </c>
      <c r="C659" s="84">
        <f t="shared" si="2"/>
        <v>26</v>
      </c>
      <c r="D659" s="85" t="s">
        <v>159</v>
      </c>
      <c r="E659" s="85" t="s">
        <v>167</v>
      </c>
      <c r="F659" s="86" t="s">
        <v>259</v>
      </c>
      <c r="G659" s="86" t="s">
        <v>196</v>
      </c>
      <c r="H659" s="88">
        <f t="shared" si="3"/>
        <v>0.11</v>
      </c>
      <c r="I659" s="89">
        <v>0.1</v>
      </c>
      <c r="J659" s="130"/>
      <c r="K659" s="89">
        <f t="shared" si="4"/>
        <v>0.01</v>
      </c>
      <c r="L659" s="84">
        <f t="shared" si="5"/>
        <v>658</v>
      </c>
      <c r="M659" s="85" t="s">
        <v>181</v>
      </c>
    </row>
    <row r="660" ht="22.5" customHeight="1">
      <c r="A660" s="83">
        <v>46194.0</v>
      </c>
      <c r="B660" s="84" t="str">
        <f t="shared" si="1"/>
        <v>Jun 2026</v>
      </c>
      <c r="C660" s="84">
        <f t="shared" si="2"/>
        <v>26</v>
      </c>
      <c r="D660" s="85" t="s">
        <v>159</v>
      </c>
      <c r="E660" s="85" t="s">
        <v>167</v>
      </c>
      <c r="F660" s="86" t="s">
        <v>256</v>
      </c>
      <c r="G660" s="87" t="s">
        <v>180</v>
      </c>
      <c r="H660" s="88">
        <f t="shared" si="3"/>
        <v>0.11</v>
      </c>
      <c r="I660" s="89">
        <v>0.1</v>
      </c>
      <c r="J660" s="130"/>
      <c r="K660" s="89">
        <f t="shared" si="4"/>
        <v>0.01</v>
      </c>
      <c r="L660" s="84">
        <f t="shared" si="5"/>
        <v>659</v>
      </c>
      <c r="M660" s="85" t="s">
        <v>181</v>
      </c>
    </row>
    <row r="661" ht="22.5" customHeight="1">
      <c r="A661" s="83">
        <v>46194.0</v>
      </c>
      <c r="B661" s="84" t="str">
        <f t="shared" si="1"/>
        <v>Jun 2026</v>
      </c>
      <c r="C661" s="84">
        <f t="shared" si="2"/>
        <v>26</v>
      </c>
      <c r="D661" s="85" t="s">
        <v>159</v>
      </c>
      <c r="E661" s="85" t="s">
        <v>167</v>
      </c>
      <c r="F661" s="86" t="s">
        <v>254</v>
      </c>
      <c r="G661" s="86" t="s">
        <v>197</v>
      </c>
      <c r="H661" s="88">
        <f t="shared" si="3"/>
        <v>0.11</v>
      </c>
      <c r="I661" s="89">
        <v>0.1</v>
      </c>
      <c r="J661" s="130"/>
      <c r="K661" s="89">
        <f t="shared" si="4"/>
        <v>0.01</v>
      </c>
      <c r="L661" s="84">
        <f t="shared" si="5"/>
        <v>660</v>
      </c>
      <c r="M661" s="85" t="s">
        <v>181</v>
      </c>
    </row>
    <row r="662" ht="22.5" customHeight="1">
      <c r="A662" s="83">
        <v>46194.0</v>
      </c>
      <c r="B662" s="84" t="str">
        <f t="shared" si="1"/>
        <v>Jun 2026</v>
      </c>
      <c r="C662" s="84">
        <f t="shared" si="2"/>
        <v>26</v>
      </c>
      <c r="D662" s="85" t="s">
        <v>159</v>
      </c>
      <c r="E662" s="85" t="s">
        <v>167</v>
      </c>
      <c r="F662" s="86" t="s">
        <v>259</v>
      </c>
      <c r="G662" s="86" t="s">
        <v>196</v>
      </c>
      <c r="H662" s="88">
        <f t="shared" si="3"/>
        <v>0.11</v>
      </c>
      <c r="I662" s="89">
        <v>0.1</v>
      </c>
      <c r="J662" s="130"/>
      <c r="K662" s="89">
        <f t="shared" si="4"/>
        <v>0.01</v>
      </c>
      <c r="L662" s="84">
        <f t="shared" si="5"/>
        <v>661</v>
      </c>
      <c r="M662" s="85" t="s">
        <v>181</v>
      </c>
    </row>
    <row r="663" ht="22.5" customHeight="1">
      <c r="A663" s="83">
        <v>46194.0</v>
      </c>
      <c r="B663" s="84" t="str">
        <f t="shared" si="1"/>
        <v>Jun 2026</v>
      </c>
      <c r="C663" s="84">
        <f t="shared" si="2"/>
        <v>26</v>
      </c>
      <c r="D663" s="85" t="s">
        <v>159</v>
      </c>
      <c r="E663" s="85" t="s">
        <v>167</v>
      </c>
      <c r="F663" s="86" t="s">
        <v>257</v>
      </c>
      <c r="G663" s="86" t="s">
        <v>202</v>
      </c>
      <c r="H663" s="88">
        <f t="shared" si="3"/>
        <v>0.11</v>
      </c>
      <c r="I663" s="89">
        <v>0.1</v>
      </c>
      <c r="J663" s="130"/>
      <c r="K663" s="89">
        <f t="shared" si="4"/>
        <v>0.01</v>
      </c>
      <c r="L663" s="84">
        <f t="shared" si="5"/>
        <v>662</v>
      </c>
      <c r="M663" s="85" t="s">
        <v>181</v>
      </c>
    </row>
    <row r="664" ht="22.5" customHeight="1">
      <c r="A664" s="83">
        <v>46194.0</v>
      </c>
      <c r="B664" s="84" t="str">
        <f t="shared" si="1"/>
        <v>Jun 2026</v>
      </c>
      <c r="C664" s="84">
        <f t="shared" si="2"/>
        <v>26</v>
      </c>
      <c r="D664" s="85" t="s">
        <v>129</v>
      </c>
      <c r="E664" s="85" t="s">
        <v>130</v>
      </c>
      <c r="F664" s="86" t="s">
        <v>245</v>
      </c>
      <c r="G664" s="86" t="s">
        <v>228</v>
      </c>
      <c r="H664" s="88">
        <f t="shared" si="3"/>
        <v>0.737</v>
      </c>
      <c r="I664" s="89">
        <v>0.67</v>
      </c>
      <c r="J664" s="130"/>
      <c r="K664" s="89">
        <f t="shared" si="4"/>
        <v>0.067</v>
      </c>
      <c r="L664" s="84">
        <f t="shared" si="5"/>
        <v>663</v>
      </c>
      <c r="M664" s="85" t="s">
        <v>133</v>
      </c>
    </row>
    <row r="665" ht="22.5" customHeight="1">
      <c r="A665" s="83">
        <v>46194.0</v>
      </c>
      <c r="B665" s="84" t="str">
        <f t="shared" si="1"/>
        <v>Jun 2026</v>
      </c>
      <c r="C665" s="84">
        <f t="shared" si="2"/>
        <v>26</v>
      </c>
      <c r="D665" s="85" t="s">
        <v>129</v>
      </c>
      <c r="E665" s="85" t="s">
        <v>130</v>
      </c>
      <c r="F665" s="86" t="s">
        <v>176</v>
      </c>
      <c r="G665" s="87" t="s">
        <v>177</v>
      </c>
      <c r="H665" s="88">
        <f t="shared" si="3"/>
        <v>0.737</v>
      </c>
      <c r="I665" s="89">
        <v>0.67</v>
      </c>
      <c r="J665" s="130"/>
      <c r="K665" s="89">
        <f t="shared" si="4"/>
        <v>0.067</v>
      </c>
      <c r="L665" s="84">
        <f t="shared" si="5"/>
        <v>664</v>
      </c>
      <c r="M665" s="85" t="s">
        <v>133</v>
      </c>
    </row>
    <row r="666" ht="22.5" customHeight="1">
      <c r="A666" s="83">
        <v>46194.0</v>
      </c>
      <c r="B666" s="84" t="str">
        <f t="shared" si="1"/>
        <v>Jun 2026</v>
      </c>
      <c r="C666" s="84">
        <f t="shared" si="2"/>
        <v>26</v>
      </c>
      <c r="D666" s="85" t="s">
        <v>129</v>
      </c>
      <c r="E666" s="85" t="s">
        <v>130</v>
      </c>
      <c r="F666" s="86" t="s">
        <v>176</v>
      </c>
      <c r="G666" s="87" t="s">
        <v>177</v>
      </c>
      <c r="H666" s="88">
        <f t="shared" si="3"/>
        <v>0.737</v>
      </c>
      <c r="I666" s="89">
        <v>0.67</v>
      </c>
      <c r="J666" s="130"/>
      <c r="K666" s="89">
        <f t="shared" si="4"/>
        <v>0.067</v>
      </c>
      <c r="L666" s="84">
        <f t="shared" si="5"/>
        <v>665</v>
      </c>
      <c r="M666" s="85" t="s">
        <v>133</v>
      </c>
    </row>
    <row r="667" ht="22.5" customHeight="1">
      <c r="A667" s="83">
        <v>46194.0</v>
      </c>
      <c r="B667" s="84" t="str">
        <f t="shared" si="1"/>
        <v>Jun 2026</v>
      </c>
      <c r="C667" s="84">
        <f t="shared" si="2"/>
        <v>26</v>
      </c>
      <c r="D667" s="85" t="s">
        <v>129</v>
      </c>
      <c r="E667" s="85" t="s">
        <v>130</v>
      </c>
      <c r="F667" s="86" t="s">
        <v>176</v>
      </c>
      <c r="G667" s="87" t="s">
        <v>177</v>
      </c>
      <c r="H667" s="88">
        <f t="shared" si="3"/>
        <v>0.737</v>
      </c>
      <c r="I667" s="89">
        <v>0.67</v>
      </c>
      <c r="J667" s="130"/>
      <c r="K667" s="89">
        <f t="shared" si="4"/>
        <v>0.067</v>
      </c>
      <c r="L667" s="84">
        <f t="shared" si="5"/>
        <v>666</v>
      </c>
      <c r="M667" s="85" t="s">
        <v>133</v>
      </c>
    </row>
    <row r="668" ht="22.5" customHeight="1">
      <c r="A668" s="83">
        <v>46194.0</v>
      </c>
      <c r="B668" s="84" t="str">
        <f t="shared" si="1"/>
        <v>Jun 2026</v>
      </c>
      <c r="C668" s="84">
        <f t="shared" si="2"/>
        <v>26</v>
      </c>
      <c r="D668" s="85" t="s">
        <v>129</v>
      </c>
      <c r="E668" s="85" t="s">
        <v>130</v>
      </c>
      <c r="F668" s="86" t="s">
        <v>245</v>
      </c>
      <c r="G668" s="86" t="s">
        <v>228</v>
      </c>
      <c r="H668" s="88">
        <f t="shared" si="3"/>
        <v>0.737</v>
      </c>
      <c r="I668" s="89">
        <v>0.67</v>
      </c>
      <c r="J668" s="130"/>
      <c r="K668" s="89">
        <f t="shared" si="4"/>
        <v>0.067</v>
      </c>
      <c r="L668" s="84">
        <f t="shared" si="5"/>
        <v>667</v>
      </c>
      <c r="M668" s="85" t="s">
        <v>133</v>
      </c>
    </row>
    <row r="669" ht="22.5" customHeight="1">
      <c r="A669" s="83">
        <v>46194.0</v>
      </c>
      <c r="B669" s="84" t="str">
        <f t="shared" si="1"/>
        <v>Jun 2026</v>
      </c>
      <c r="C669" s="84">
        <f t="shared" si="2"/>
        <v>26</v>
      </c>
      <c r="D669" s="85" t="s">
        <v>159</v>
      </c>
      <c r="E669" s="85" t="s">
        <v>130</v>
      </c>
      <c r="F669" s="86" t="s">
        <v>260</v>
      </c>
      <c r="G669" s="86" t="s">
        <v>203</v>
      </c>
      <c r="H669" s="88">
        <f t="shared" si="3"/>
        <v>0.11</v>
      </c>
      <c r="I669" s="89">
        <v>0.1</v>
      </c>
      <c r="J669" s="130"/>
      <c r="K669" s="89">
        <f t="shared" si="4"/>
        <v>0.01</v>
      </c>
      <c r="L669" s="84">
        <f t="shared" si="5"/>
        <v>668</v>
      </c>
      <c r="M669" s="85" t="s">
        <v>181</v>
      </c>
    </row>
    <row r="670" ht="22.5" customHeight="1">
      <c r="A670" s="83">
        <v>46194.0</v>
      </c>
      <c r="B670" s="84" t="str">
        <f t="shared" si="1"/>
        <v>Jun 2026</v>
      </c>
      <c r="C670" s="84">
        <f t="shared" si="2"/>
        <v>26</v>
      </c>
      <c r="D670" s="85" t="s">
        <v>159</v>
      </c>
      <c r="E670" s="85" t="s">
        <v>130</v>
      </c>
      <c r="F670" s="86" t="s">
        <v>253</v>
      </c>
      <c r="G670" s="87" t="s">
        <v>168</v>
      </c>
      <c r="H670" s="88">
        <f t="shared" si="3"/>
        <v>0.11</v>
      </c>
      <c r="I670" s="89">
        <v>0.1</v>
      </c>
      <c r="J670" s="130"/>
      <c r="K670" s="89">
        <f t="shared" si="4"/>
        <v>0.01</v>
      </c>
      <c r="L670" s="84">
        <f t="shared" si="5"/>
        <v>669</v>
      </c>
      <c r="M670" s="85" t="s">
        <v>181</v>
      </c>
    </row>
    <row r="671" ht="22.5" customHeight="1">
      <c r="A671" s="83">
        <v>46194.0</v>
      </c>
      <c r="B671" s="84" t="str">
        <f t="shared" si="1"/>
        <v>Jun 2026</v>
      </c>
      <c r="C671" s="84">
        <f t="shared" si="2"/>
        <v>26</v>
      </c>
      <c r="D671" s="85" t="s">
        <v>159</v>
      </c>
      <c r="E671" s="85" t="s">
        <v>130</v>
      </c>
      <c r="F671" s="86" t="s">
        <v>255</v>
      </c>
      <c r="G671" s="87" t="s">
        <v>200</v>
      </c>
      <c r="H671" s="88">
        <f t="shared" si="3"/>
        <v>0.11</v>
      </c>
      <c r="I671" s="89">
        <v>0.1</v>
      </c>
      <c r="J671" s="130"/>
      <c r="K671" s="89">
        <f t="shared" si="4"/>
        <v>0.01</v>
      </c>
      <c r="L671" s="84">
        <f t="shared" si="5"/>
        <v>670</v>
      </c>
      <c r="M671" s="85" t="s">
        <v>181</v>
      </c>
    </row>
    <row r="672" ht="22.5" customHeight="1">
      <c r="A672" s="83">
        <v>46194.0</v>
      </c>
      <c r="B672" s="84" t="str">
        <f t="shared" si="1"/>
        <v>Jun 2026</v>
      </c>
      <c r="C672" s="84">
        <f t="shared" si="2"/>
        <v>26</v>
      </c>
      <c r="D672" s="85" t="s">
        <v>159</v>
      </c>
      <c r="E672" s="85" t="s">
        <v>130</v>
      </c>
      <c r="F672" s="86" t="s">
        <v>254</v>
      </c>
      <c r="G672" s="86" t="s">
        <v>197</v>
      </c>
      <c r="H672" s="88">
        <f t="shared" si="3"/>
        <v>0.11</v>
      </c>
      <c r="I672" s="89">
        <v>0.1</v>
      </c>
      <c r="J672" s="130"/>
      <c r="K672" s="89">
        <f t="shared" si="4"/>
        <v>0.01</v>
      </c>
      <c r="L672" s="84">
        <f t="shared" si="5"/>
        <v>671</v>
      </c>
      <c r="M672" s="85" t="s">
        <v>181</v>
      </c>
    </row>
    <row r="673" ht="22.5" customHeight="1">
      <c r="A673" s="83">
        <v>46194.0</v>
      </c>
      <c r="B673" s="84" t="str">
        <f t="shared" si="1"/>
        <v>Jun 2026</v>
      </c>
      <c r="C673" s="84">
        <f t="shared" si="2"/>
        <v>26</v>
      </c>
      <c r="D673" s="85" t="s">
        <v>159</v>
      </c>
      <c r="E673" s="85" t="s">
        <v>130</v>
      </c>
      <c r="F673" s="86" t="s">
        <v>252</v>
      </c>
      <c r="G673" s="87" t="s">
        <v>195</v>
      </c>
      <c r="H673" s="88">
        <f t="shared" si="3"/>
        <v>0.11</v>
      </c>
      <c r="I673" s="89">
        <v>0.1</v>
      </c>
      <c r="J673" s="130"/>
      <c r="K673" s="89">
        <f t="shared" si="4"/>
        <v>0.01</v>
      </c>
      <c r="L673" s="84">
        <f t="shared" si="5"/>
        <v>672</v>
      </c>
      <c r="M673" s="85" t="s">
        <v>181</v>
      </c>
    </row>
    <row r="674" ht="22.5" customHeight="1">
      <c r="A674" s="83">
        <v>46194.0</v>
      </c>
      <c r="B674" s="84" t="str">
        <f t="shared" si="1"/>
        <v>Jun 2026</v>
      </c>
      <c r="C674" s="84">
        <f t="shared" si="2"/>
        <v>26</v>
      </c>
      <c r="D674" s="85" t="s">
        <v>159</v>
      </c>
      <c r="E674" s="85" t="s">
        <v>130</v>
      </c>
      <c r="F674" s="86" t="s">
        <v>256</v>
      </c>
      <c r="G674" s="87" t="s">
        <v>180</v>
      </c>
      <c r="H674" s="88">
        <f t="shared" si="3"/>
        <v>0.11</v>
      </c>
      <c r="I674" s="89">
        <v>0.1</v>
      </c>
      <c r="J674" s="130"/>
      <c r="K674" s="89">
        <f t="shared" si="4"/>
        <v>0.01</v>
      </c>
      <c r="L674" s="84">
        <f t="shared" si="5"/>
        <v>673</v>
      </c>
      <c r="M674" s="85" t="s">
        <v>181</v>
      </c>
    </row>
    <row r="675" ht="22.5" customHeight="1">
      <c r="A675" s="83">
        <v>46194.0</v>
      </c>
      <c r="B675" s="84" t="str">
        <f t="shared" si="1"/>
        <v>Jun 2026</v>
      </c>
      <c r="C675" s="84">
        <f t="shared" si="2"/>
        <v>26</v>
      </c>
      <c r="D675" s="85" t="s">
        <v>159</v>
      </c>
      <c r="E675" s="85" t="s">
        <v>130</v>
      </c>
      <c r="F675" s="86" t="s">
        <v>258</v>
      </c>
      <c r="G675" s="86" t="s">
        <v>169</v>
      </c>
      <c r="H675" s="88">
        <f t="shared" si="3"/>
        <v>0.11</v>
      </c>
      <c r="I675" s="89">
        <v>0.1</v>
      </c>
      <c r="J675" s="130"/>
      <c r="K675" s="89">
        <f t="shared" si="4"/>
        <v>0.01</v>
      </c>
      <c r="L675" s="84">
        <f t="shared" si="5"/>
        <v>674</v>
      </c>
      <c r="M675" s="85" t="s">
        <v>181</v>
      </c>
    </row>
    <row r="676" ht="22.5" customHeight="1">
      <c r="A676" s="83">
        <v>46194.0</v>
      </c>
      <c r="B676" s="84" t="str">
        <f t="shared" si="1"/>
        <v>Jun 2026</v>
      </c>
      <c r="C676" s="84">
        <f t="shared" si="2"/>
        <v>26</v>
      </c>
      <c r="D676" s="85" t="s">
        <v>159</v>
      </c>
      <c r="E676" s="85" t="s">
        <v>130</v>
      </c>
      <c r="F676" s="86" t="s">
        <v>254</v>
      </c>
      <c r="G676" s="87" t="s">
        <v>179</v>
      </c>
      <c r="H676" s="88">
        <f t="shared" si="3"/>
        <v>0.11</v>
      </c>
      <c r="I676" s="89">
        <v>0.1</v>
      </c>
      <c r="J676" s="130"/>
      <c r="K676" s="89">
        <f t="shared" si="4"/>
        <v>0.01</v>
      </c>
      <c r="L676" s="84">
        <f t="shared" si="5"/>
        <v>675</v>
      </c>
      <c r="M676" s="85" t="s">
        <v>181</v>
      </c>
    </row>
    <row r="677" ht="22.5" customHeight="1">
      <c r="A677" s="83">
        <v>46194.0</v>
      </c>
      <c r="B677" s="84" t="str">
        <f t="shared" si="1"/>
        <v>Jun 2026</v>
      </c>
      <c r="C677" s="84">
        <f t="shared" si="2"/>
        <v>26</v>
      </c>
      <c r="D677" s="85" t="s">
        <v>159</v>
      </c>
      <c r="E677" s="85" t="s">
        <v>130</v>
      </c>
      <c r="F677" s="86" t="s">
        <v>257</v>
      </c>
      <c r="G677" s="86" t="s">
        <v>202</v>
      </c>
      <c r="H677" s="88">
        <f t="shared" si="3"/>
        <v>0.11</v>
      </c>
      <c r="I677" s="89">
        <v>0.1</v>
      </c>
      <c r="J677" s="130"/>
      <c r="K677" s="89">
        <f t="shared" si="4"/>
        <v>0.01</v>
      </c>
      <c r="L677" s="84">
        <f t="shared" si="5"/>
        <v>676</v>
      </c>
      <c r="M677" s="85" t="s">
        <v>181</v>
      </c>
    </row>
    <row r="678" ht="22.5" customHeight="1">
      <c r="A678" s="83">
        <v>46195.0</v>
      </c>
      <c r="B678" s="84" t="str">
        <f t="shared" si="1"/>
        <v>Jun 2026</v>
      </c>
      <c r="C678" s="84">
        <f t="shared" si="2"/>
        <v>26</v>
      </c>
      <c r="D678" s="85" t="s">
        <v>161</v>
      </c>
      <c r="E678" s="85" t="s">
        <v>164</v>
      </c>
      <c r="F678" s="86" t="s">
        <v>232</v>
      </c>
      <c r="G678" s="87" t="s">
        <v>75</v>
      </c>
      <c r="H678" s="88">
        <f t="shared" si="3"/>
        <v>0.11</v>
      </c>
      <c r="I678" s="89">
        <v>0.1</v>
      </c>
      <c r="J678" s="130"/>
      <c r="K678" s="89">
        <f t="shared" si="4"/>
        <v>0.01</v>
      </c>
      <c r="L678" s="84">
        <f t="shared" si="5"/>
        <v>677</v>
      </c>
      <c r="M678" s="85" t="s">
        <v>181</v>
      </c>
    </row>
    <row r="679" ht="22.5" customHeight="1">
      <c r="A679" s="83">
        <v>46195.0</v>
      </c>
      <c r="B679" s="84" t="str">
        <f t="shared" si="1"/>
        <v>Jun 2026</v>
      </c>
      <c r="C679" s="84">
        <f t="shared" si="2"/>
        <v>26</v>
      </c>
      <c r="D679" s="85" t="s">
        <v>161</v>
      </c>
      <c r="E679" s="85" t="s">
        <v>164</v>
      </c>
      <c r="F679" s="86" t="s">
        <v>232</v>
      </c>
      <c r="G679" s="87" t="s">
        <v>75</v>
      </c>
      <c r="H679" s="88">
        <f t="shared" si="3"/>
        <v>0.11</v>
      </c>
      <c r="I679" s="89">
        <v>0.1</v>
      </c>
      <c r="J679" s="130"/>
      <c r="K679" s="89">
        <f t="shared" si="4"/>
        <v>0.01</v>
      </c>
      <c r="L679" s="84">
        <f t="shared" si="5"/>
        <v>678</v>
      </c>
      <c r="M679" s="85" t="s">
        <v>181</v>
      </c>
    </row>
    <row r="680" ht="22.5" customHeight="1">
      <c r="A680" s="83">
        <v>46195.0</v>
      </c>
      <c r="B680" s="84" t="str">
        <f t="shared" si="1"/>
        <v>Jun 2026</v>
      </c>
      <c r="C680" s="84">
        <f t="shared" si="2"/>
        <v>26</v>
      </c>
      <c r="D680" s="85" t="s">
        <v>161</v>
      </c>
      <c r="E680" s="85" t="s">
        <v>164</v>
      </c>
      <c r="F680" s="86" t="s">
        <v>232</v>
      </c>
      <c r="G680" s="87" t="s">
        <v>75</v>
      </c>
      <c r="H680" s="88">
        <f t="shared" si="3"/>
        <v>0.11</v>
      </c>
      <c r="I680" s="89">
        <v>0.1</v>
      </c>
      <c r="J680" s="130"/>
      <c r="K680" s="89">
        <f t="shared" si="4"/>
        <v>0.01</v>
      </c>
      <c r="L680" s="84">
        <f t="shared" si="5"/>
        <v>679</v>
      </c>
      <c r="M680" s="85" t="s">
        <v>133</v>
      </c>
    </row>
    <row r="681" ht="22.5" customHeight="1">
      <c r="A681" s="83">
        <v>46195.0</v>
      </c>
      <c r="B681" s="84" t="str">
        <f t="shared" si="1"/>
        <v>Jun 2026</v>
      </c>
      <c r="C681" s="84">
        <f t="shared" si="2"/>
        <v>26</v>
      </c>
      <c r="D681" s="85" t="s">
        <v>161</v>
      </c>
      <c r="E681" s="85" t="s">
        <v>164</v>
      </c>
      <c r="F681" s="86" t="s">
        <v>232</v>
      </c>
      <c r="G681" s="87" t="s">
        <v>75</v>
      </c>
      <c r="H681" s="88">
        <f t="shared" si="3"/>
        <v>0.11</v>
      </c>
      <c r="I681" s="89">
        <v>0.1</v>
      </c>
      <c r="J681" s="130"/>
      <c r="K681" s="89">
        <f t="shared" si="4"/>
        <v>0.01</v>
      </c>
      <c r="L681" s="84">
        <f t="shared" si="5"/>
        <v>680</v>
      </c>
      <c r="M681" s="85" t="s">
        <v>133</v>
      </c>
    </row>
    <row r="682" ht="22.5" customHeight="1">
      <c r="A682" s="83">
        <v>46195.0</v>
      </c>
      <c r="B682" s="84" t="str">
        <f t="shared" si="1"/>
        <v>Jun 2026</v>
      </c>
      <c r="C682" s="84">
        <f t="shared" si="2"/>
        <v>26</v>
      </c>
      <c r="D682" s="85" t="s">
        <v>161</v>
      </c>
      <c r="E682" s="85" t="s">
        <v>164</v>
      </c>
      <c r="F682" s="86" t="s">
        <v>232</v>
      </c>
      <c r="G682" s="87" t="s">
        <v>75</v>
      </c>
      <c r="H682" s="88">
        <f t="shared" si="3"/>
        <v>0.11</v>
      </c>
      <c r="I682" s="89">
        <v>0.1</v>
      </c>
      <c r="J682" s="130"/>
      <c r="K682" s="89">
        <f t="shared" si="4"/>
        <v>0.01</v>
      </c>
      <c r="L682" s="84">
        <f t="shared" si="5"/>
        <v>681</v>
      </c>
      <c r="M682" s="85" t="s">
        <v>133</v>
      </c>
    </row>
    <row r="683" ht="22.5" customHeight="1">
      <c r="A683" s="83">
        <v>46195.0</v>
      </c>
      <c r="B683" s="84" t="str">
        <f t="shared" si="1"/>
        <v>Jun 2026</v>
      </c>
      <c r="C683" s="84">
        <f t="shared" si="2"/>
        <v>26</v>
      </c>
      <c r="D683" s="85" t="s">
        <v>159</v>
      </c>
      <c r="E683" s="85" t="s">
        <v>164</v>
      </c>
      <c r="F683" s="86" t="s">
        <v>257</v>
      </c>
      <c r="G683" s="86" t="s">
        <v>202</v>
      </c>
      <c r="H683" s="88">
        <f t="shared" si="3"/>
        <v>0.11</v>
      </c>
      <c r="I683" s="89">
        <v>0.1</v>
      </c>
      <c r="J683" s="130"/>
      <c r="K683" s="89">
        <f t="shared" si="4"/>
        <v>0.01</v>
      </c>
      <c r="L683" s="84">
        <f t="shared" si="5"/>
        <v>682</v>
      </c>
      <c r="M683" s="85" t="s">
        <v>181</v>
      </c>
    </row>
    <row r="684" ht="22.5" customHeight="1">
      <c r="A684" s="83">
        <v>46195.0</v>
      </c>
      <c r="B684" s="84" t="str">
        <f t="shared" si="1"/>
        <v>Jun 2026</v>
      </c>
      <c r="C684" s="84">
        <f t="shared" si="2"/>
        <v>26</v>
      </c>
      <c r="D684" s="85" t="s">
        <v>159</v>
      </c>
      <c r="E684" s="85" t="s">
        <v>164</v>
      </c>
      <c r="F684" s="86" t="s">
        <v>260</v>
      </c>
      <c r="G684" s="86" t="s">
        <v>203</v>
      </c>
      <c r="H684" s="88">
        <f t="shared" si="3"/>
        <v>0.11</v>
      </c>
      <c r="I684" s="89">
        <v>0.1</v>
      </c>
      <c r="J684" s="130"/>
      <c r="K684" s="89">
        <f t="shared" si="4"/>
        <v>0.01</v>
      </c>
      <c r="L684" s="84">
        <f t="shared" si="5"/>
        <v>683</v>
      </c>
      <c r="M684" s="85" t="s">
        <v>181</v>
      </c>
    </row>
    <row r="685" ht="22.5" customHeight="1">
      <c r="A685" s="83">
        <v>46195.0</v>
      </c>
      <c r="B685" s="84" t="str">
        <f t="shared" si="1"/>
        <v>Jun 2026</v>
      </c>
      <c r="C685" s="84">
        <f t="shared" si="2"/>
        <v>26</v>
      </c>
      <c r="D685" s="85" t="s">
        <v>159</v>
      </c>
      <c r="E685" s="85" t="s">
        <v>164</v>
      </c>
      <c r="F685" s="86" t="s">
        <v>253</v>
      </c>
      <c r="G685" s="87" t="s">
        <v>168</v>
      </c>
      <c r="H685" s="88">
        <f t="shared" si="3"/>
        <v>0.11</v>
      </c>
      <c r="I685" s="89">
        <v>0.1</v>
      </c>
      <c r="J685" s="130"/>
      <c r="K685" s="89">
        <f t="shared" si="4"/>
        <v>0.01</v>
      </c>
      <c r="L685" s="84">
        <f t="shared" si="5"/>
        <v>684</v>
      </c>
      <c r="M685" s="85" t="s">
        <v>181</v>
      </c>
    </row>
    <row r="686" ht="22.5" customHeight="1">
      <c r="A686" s="83">
        <v>46195.0</v>
      </c>
      <c r="B686" s="84" t="str">
        <f t="shared" si="1"/>
        <v>Jun 2026</v>
      </c>
      <c r="C686" s="84">
        <f t="shared" si="2"/>
        <v>26</v>
      </c>
      <c r="D686" s="85" t="s">
        <v>159</v>
      </c>
      <c r="E686" s="85" t="s">
        <v>164</v>
      </c>
      <c r="F686" s="86" t="s">
        <v>252</v>
      </c>
      <c r="G686" s="87" t="s">
        <v>195</v>
      </c>
      <c r="H686" s="88">
        <f t="shared" si="3"/>
        <v>0.11</v>
      </c>
      <c r="I686" s="89">
        <v>0.1</v>
      </c>
      <c r="J686" s="130"/>
      <c r="K686" s="89">
        <f t="shared" si="4"/>
        <v>0.01</v>
      </c>
      <c r="L686" s="84">
        <f t="shared" si="5"/>
        <v>685</v>
      </c>
      <c r="M686" s="85" t="s">
        <v>181</v>
      </c>
    </row>
    <row r="687" ht="22.5" customHeight="1">
      <c r="A687" s="83">
        <v>46195.0</v>
      </c>
      <c r="B687" s="84" t="str">
        <f t="shared" si="1"/>
        <v>Jun 2026</v>
      </c>
      <c r="C687" s="84">
        <f t="shared" si="2"/>
        <v>26</v>
      </c>
      <c r="D687" s="85" t="s">
        <v>159</v>
      </c>
      <c r="E687" s="85" t="s">
        <v>164</v>
      </c>
      <c r="F687" s="86" t="s">
        <v>254</v>
      </c>
      <c r="G687" s="86" t="s">
        <v>197</v>
      </c>
      <c r="H687" s="88">
        <f t="shared" si="3"/>
        <v>0.11</v>
      </c>
      <c r="I687" s="89">
        <v>0.1</v>
      </c>
      <c r="J687" s="130"/>
      <c r="K687" s="89">
        <f t="shared" si="4"/>
        <v>0.01</v>
      </c>
      <c r="L687" s="84">
        <f t="shared" si="5"/>
        <v>686</v>
      </c>
      <c r="M687" s="85" t="s">
        <v>181</v>
      </c>
    </row>
    <row r="688" ht="22.5" customHeight="1">
      <c r="A688" s="83">
        <v>46195.0</v>
      </c>
      <c r="B688" s="84" t="str">
        <f t="shared" si="1"/>
        <v>Jun 2026</v>
      </c>
      <c r="C688" s="84">
        <f t="shared" si="2"/>
        <v>26</v>
      </c>
      <c r="D688" s="85" t="s">
        <v>159</v>
      </c>
      <c r="E688" s="85" t="s">
        <v>164</v>
      </c>
      <c r="F688" s="86" t="s">
        <v>254</v>
      </c>
      <c r="G688" s="87" t="s">
        <v>184</v>
      </c>
      <c r="H688" s="88">
        <f t="shared" si="3"/>
        <v>0.11</v>
      </c>
      <c r="I688" s="89">
        <v>0.1</v>
      </c>
      <c r="J688" s="130"/>
      <c r="K688" s="89">
        <f t="shared" si="4"/>
        <v>0.01</v>
      </c>
      <c r="L688" s="84">
        <f t="shared" si="5"/>
        <v>687</v>
      </c>
      <c r="M688" s="85" t="s">
        <v>181</v>
      </c>
    </row>
    <row r="689" ht="22.5" customHeight="1">
      <c r="A689" s="83">
        <v>46195.0</v>
      </c>
      <c r="B689" s="84" t="str">
        <f t="shared" si="1"/>
        <v>Jun 2026</v>
      </c>
      <c r="C689" s="84">
        <f t="shared" si="2"/>
        <v>26</v>
      </c>
      <c r="D689" s="85" t="s">
        <v>159</v>
      </c>
      <c r="E689" s="85" t="s">
        <v>164</v>
      </c>
      <c r="F689" s="86" t="s">
        <v>259</v>
      </c>
      <c r="G689" s="86" t="s">
        <v>196</v>
      </c>
      <c r="H689" s="88">
        <f t="shared" si="3"/>
        <v>0.11</v>
      </c>
      <c r="I689" s="89">
        <v>0.1</v>
      </c>
      <c r="J689" s="130"/>
      <c r="K689" s="89">
        <f t="shared" si="4"/>
        <v>0.01</v>
      </c>
      <c r="L689" s="84">
        <f t="shared" si="5"/>
        <v>688</v>
      </c>
      <c r="M689" s="85" t="s">
        <v>181</v>
      </c>
    </row>
    <row r="690" ht="22.5" customHeight="1">
      <c r="A690" s="83">
        <v>46195.0</v>
      </c>
      <c r="B690" s="84" t="str">
        <f t="shared" si="1"/>
        <v>Jun 2026</v>
      </c>
      <c r="C690" s="84">
        <f t="shared" si="2"/>
        <v>26</v>
      </c>
      <c r="D690" s="85" t="s">
        <v>159</v>
      </c>
      <c r="E690" s="85" t="s">
        <v>164</v>
      </c>
      <c r="F690" s="86" t="s">
        <v>252</v>
      </c>
      <c r="G690" s="87" t="s">
        <v>204</v>
      </c>
      <c r="H690" s="88">
        <f t="shared" si="3"/>
        <v>0.11</v>
      </c>
      <c r="I690" s="89">
        <v>0.1</v>
      </c>
      <c r="J690" s="130"/>
      <c r="K690" s="89">
        <f t="shared" si="4"/>
        <v>0.01</v>
      </c>
      <c r="L690" s="84">
        <f t="shared" si="5"/>
        <v>689</v>
      </c>
      <c r="M690" s="85" t="s">
        <v>181</v>
      </c>
    </row>
    <row r="691" ht="22.5" customHeight="1">
      <c r="A691" s="83">
        <v>46195.0</v>
      </c>
      <c r="B691" s="84" t="str">
        <f t="shared" si="1"/>
        <v>Jun 2026</v>
      </c>
      <c r="C691" s="84">
        <f t="shared" si="2"/>
        <v>26</v>
      </c>
      <c r="D691" s="85" t="s">
        <v>159</v>
      </c>
      <c r="E691" s="85" t="s">
        <v>164</v>
      </c>
      <c r="F691" s="86" t="s">
        <v>254</v>
      </c>
      <c r="G691" s="87" t="s">
        <v>184</v>
      </c>
      <c r="H691" s="88">
        <f t="shared" si="3"/>
        <v>0.11</v>
      </c>
      <c r="I691" s="89">
        <v>0.1</v>
      </c>
      <c r="J691" s="130"/>
      <c r="K691" s="89">
        <f t="shared" si="4"/>
        <v>0.01</v>
      </c>
      <c r="L691" s="84">
        <f t="shared" si="5"/>
        <v>690</v>
      </c>
      <c r="M691" s="85" t="s">
        <v>181</v>
      </c>
    </row>
    <row r="692" ht="22.5" customHeight="1">
      <c r="A692" s="83">
        <v>46195.0</v>
      </c>
      <c r="B692" s="84" t="str">
        <f t="shared" si="1"/>
        <v>Jun 2026</v>
      </c>
      <c r="C692" s="84">
        <f t="shared" si="2"/>
        <v>26</v>
      </c>
      <c r="D692" s="85" t="s">
        <v>159</v>
      </c>
      <c r="E692" s="85" t="s">
        <v>164</v>
      </c>
      <c r="F692" s="86" t="s">
        <v>258</v>
      </c>
      <c r="G692" s="86" t="s">
        <v>169</v>
      </c>
      <c r="H692" s="88">
        <f t="shared" si="3"/>
        <v>0.11</v>
      </c>
      <c r="I692" s="89">
        <v>0.1</v>
      </c>
      <c r="J692" s="130"/>
      <c r="K692" s="89">
        <f t="shared" si="4"/>
        <v>0.01</v>
      </c>
      <c r="L692" s="84">
        <f t="shared" si="5"/>
        <v>691</v>
      </c>
      <c r="M692" s="85" t="s">
        <v>181</v>
      </c>
    </row>
    <row r="693" ht="22.5" customHeight="1">
      <c r="A693" s="83">
        <v>46195.0</v>
      </c>
      <c r="B693" s="84" t="str">
        <f t="shared" si="1"/>
        <v>Jun 2026</v>
      </c>
      <c r="C693" s="84">
        <f t="shared" si="2"/>
        <v>26</v>
      </c>
      <c r="D693" s="85" t="s">
        <v>159</v>
      </c>
      <c r="E693" s="85" t="s">
        <v>164</v>
      </c>
      <c r="F693" s="86" t="s">
        <v>254</v>
      </c>
      <c r="G693" s="87" t="s">
        <v>179</v>
      </c>
      <c r="H693" s="88">
        <f t="shared" si="3"/>
        <v>0.11</v>
      </c>
      <c r="I693" s="89">
        <v>0.1</v>
      </c>
      <c r="J693" s="130"/>
      <c r="K693" s="89">
        <f t="shared" si="4"/>
        <v>0.01</v>
      </c>
      <c r="L693" s="84">
        <f t="shared" si="5"/>
        <v>692</v>
      </c>
      <c r="M693" s="85" t="s">
        <v>181</v>
      </c>
    </row>
    <row r="694" ht="22.5" customHeight="1">
      <c r="A694" s="83">
        <v>46195.0</v>
      </c>
      <c r="B694" s="84" t="str">
        <f t="shared" si="1"/>
        <v>Jun 2026</v>
      </c>
      <c r="C694" s="84">
        <f t="shared" si="2"/>
        <v>26</v>
      </c>
      <c r="D694" s="85" t="s">
        <v>159</v>
      </c>
      <c r="E694" s="85" t="s">
        <v>164</v>
      </c>
      <c r="F694" s="86" t="s">
        <v>255</v>
      </c>
      <c r="G694" s="87" t="s">
        <v>200</v>
      </c>
      <c r="H694" s="88">
        <f t="shared" si="3"/>
        <v>0.11</v>
      </c>
      <c r="I694" s="89">
        <v>0.1</v>
      </c>
      <c r="J694" s="130"/>
      <c r="K694" s="89">
        <f t="shared" si="4"/>
        <v>0.01</v>
      </c>
      <c r="L694" s="84">
        <f t="shared" si="5"/>
        <v>693</v>
      </c>
      <c r="M694" s="85" t="s">
        <v>181</v>
      </c>
    </row>
    <row r="695" ht="22.5" customHeight="1">
      <c r="A695" s="83">
        <v>46195.0</v>
      </c>
      <c r="B695" s="84" t="str">
        <f t="shared" si="1"/>
        <v>Jun 2026</v>
      </c>
      <c r="C695" s="84">
        <f t="shared" si="2"/>
        <v>26</v>
      </c>
      <c r="D695" s="85" t="s">
        <v>159</v>
      </c>
      <c r="E695" s="85" t="s">
        <v>164</v>
      </c>
      <c r="F695" s="86" t="s">
        <v>256</v>
      </c>
      <c r="G695" s="87" t="s">
        <v>180</v>
      </c>
      <c r="H695" s="88">
        <f t="shared" si="3"/>
        <v>0.11</v>
      </c>
      <c r="I695" s="89">
        <v>0.1</v>
      </c>
      <c r="J695" s="130"/>
      <c r="K695" s="89">
        <f t="shared" si="4"/>
        <v>0.01</v>
      </c>
      <c r="L695" s="84">
        <f t="shared" si="5"/>
        <v>694</v>
      </c>
      <c r="M695" s="85" t="s">
        <v>181</v>
      </c>
    </row>
    <row r="696" ht="22.5" customHeight="1">
      <c r="A696" s="83">
        <v>46195.0</v>
      </c>
      <c r="B696" s="84" t="str">
        <f t="shared" si="1"/>
        <v>Jun 2026</v>
      </c>
      <c r="C696" s="84">
        <f t="shared" si="2"/>
        <v>26</v>
      </c>
      <c r="D696" s="85" t="s">
        <v>161</v>
      </c>
      <c r="E696" s="85" t="s">
        <v>164</v>
      </c>
      <c r="F696" s="86" t="s">
        <v>232</v>
      </c>
      <c r="G696" s="87" t="s">
        <v>75</v>
      </c>
      <c r="H696" s="88">
        <f t="shared" si="3"/>
        <v>0.11</v>
      </c>
      <c r="I696" s="89">
        <v>0.1</v>
      </c>
      <c r="J696" s="130"/>
      <c r="K696" s="89">
        <f t="shared" si="4"/>
        <v>0.01</v>
      </c>
      <c r="L696" s="84">
        <f t="shared" si="5"/>
        <v>695</v>
      </c>
      <c r="M696" s="85" t="s">
        <v>181</v>
      </c>
    </row>
    <row r="697" ht="22.5" customHeight="1">
      <c r="A697" s="83">
        <v>46195.0</v>
      </c>
      <c r="B697" s="84" t="str">
        <f t="shared" si="1"/>
        <v>Jun 2026</v>
      </c>
      <c r="C697" s="84">
        <f t="shared" si="2"/>
        <v>26</v>
      </c>
      <c r="D697" s="85" t="s">
        <v>161</v>
      </c>
      <c r="E697" s="85" t="s">
        <v>165</v>
      </c>
      <c r="F697" s="86" t="s">
        <v>232</v>
      </c>
      <c r="G697" s="87" t="s">
        <v>75</v>
      </c>
      <c r="H697" s="88">
        <f t="shared" si="3"/>
        <v>0.11</v>
      </c>
      <c r="I697" s="89">
        <v>0.1</v>
      </c>
      <c r="J697" s="130"/>
      <c r="K697" s="89">
        <f t="shared" si="4"/>
        <v>0.01</v>
      </c>
      <c r="L697" s="84">
        <f t="shared" si="5"/>
        <v>696</v>
      </c>
      <c r="M697" s="85" t="s">
        <v>133</v>
      </c>
    </row>
    <row r="698" ht="22.5" customHeight="1">
      <c r="A698" s="83">
        <v>46195.0</v>
      </c>
      <c r="B698" s="84" t="str">
        <f t="shared" si="1"/>
        <v>Jun 2026</v>
      </c>
      <c r="C698" s="84">
        <f t="shared" si="2"/>
        <v>26</v>
      </c>
      <c r="D698" s="85" t="s">
        <v>161</v>
      </c>
      <c r="E698" s="85" t="s">
        <v>165</v>
      </c>
      <c r="F698" s="86" t="s">
        <v>232</v>
      </c>
      <c r="G698" s="87" t="s">
        <v>75</v>
      </c>
      <c r="H698" s="88">
        <f t="shared" si="3"/>
        <v>0.11</v>
      </c>
      <c r="I698" s="89">
        <v>0.1</v>
      </c>
      <c r="J698" s="130"/>
      <c r="K698" s="89">
        <f t="shared" si="4"/>
        <v>0.01</v>
      </c>
      <c r="L698" s="84">
        <f t="shared" si="5"/>
        <v>697</v>
      </c>
      <c r="M698" s="85" t="s">
        <v>133</v>
      </c>
    </row>
    <row r="699" ht="22.5" customHeight="1">
      <c r="A699" s="83">
        <v>46195.0</v>
      </c>
      <c r="B699" s="84" t="str">
        <f t="shared" si="1"/>
        <v>Jun 2026</v>
      </c>
      <c r="C699" s="84">
        <f t="shared" si="2"/>
        <v>26</v>
      </c>
      <c r="D699" s="85" t="s">
        <v>161</v>
      </c>
      <c r="E699" s="85" t="s">
        <v>165</v>
      </c>
      <c r="F699" s="86" t="s">
        <v>232</v>
      </c>
      <c r="G699" s="87" t="s">
        <v>75</v>
      </c>
      <c r="H699" s="88">
        <f t="shared" si="3"/>
        <v>0.11</v>
      </c>
      <c r="I699" s="89">
        <v>0.1</v>
      </c>
      <c r="J699" s="130"/>
      <c r="K699" s="89">
        <f t="shared" si="4"/>
        <v>0.01</v>
      </c>
      <c r="L699" s="84">
        <f t="shared" si="5"/>
        <v>698</v>
      </c>
      <c r="M699" s="85" t="s">
        <v>133</v>
      </c>
    </row>
    <row r="700" ht="22.5" customHeight="1">
      <c r="A700" s="83">
        <v>46195.0</v>
      </c>
      <c r="B700" s="84" t="str">
        <f t="shared" si="1"/>
        <v>Jun 2026</v>
      </c>
      <c r="C700" s="84">
        <f t="shared" si="2"/>
        <v>26</v>
      </c>
      <c r="D700" s="85" t="s">
        <v>161</v>
      </c>
      <c r="E700" s="85" t="s">
        <v>165</v>
      </c>
      <c r="F700" s="86" t="s">
        <v>232</v>
      </c>
      <c r="G700" s="87" t="s">
        <v>75</v>
      </c>
      <c r="H700" s="88">
        <f t="shared" si="3"/>
        <v>0.11</v>
      </c>
      <c r="I700" s="89">
        <v>0.1</v>
      </c>
      <c r="J700" s="130"/>
      <c r="K700" s="89">
        <f t="shared" si="4"/>
        <v>0.01</v>
      </c>
      <c r="L700" s="84">
        <f t="shared" si="5"/>
        <v>699</v>
      </c>
      <c r="M700" s="85" t="s">
        <v>133</v>
      </c>
    </row>
    <row r="701" ht="22.5" customHeight="1">
      <c r="A701" s="83">
        <v>46195.0</v>
      </c>
      <c r="B701" s="84" t="str">
        <f t="shared" si="1"/>
        <v>Jun 2026</v>
      </c>
      <c r="C701" s="84">
        <f t="shared" si="2"/>
        <v>26</v>
      </c>
      <c r="D701" s="85" t="s">
        <v>161</v>
      </c>
      <c r="E701" s="85" t="s">
        <v>165</v>
      </c>
      <c r="F701" s="86" t="s">
        <v>232</v>
      </c>
      <c r="G701" s="87" t="s">
        <v>75</v>
      </c>
      <c r="H701" s="88">
        <f t="shared" si="3"/>
        <v>0.11</v>
      </c>
      <c r="I701" s="89">
        <v>0.1</v>
      </c>
      <c r="J701" s="130"/>
      <c r="K701" s="89">
        <f t="shared" si="4"/>
        <v>0.01</v>
      </c>
      <c r="L701" s="84">
        <f t="shared" si="5"/>
        <v>700</v>
      </c>
      <c r="M701" s="85" t="s">
        <v>133</v>
      </c>
    </row>
    <row r="702" ht="22.5" customHeight="1">
      <c r="A702" s="83">
        <v>46195.0</v>
      </c>
      <c r="B702" s="84" t="str">
        <f t="shared" si="1"/>
        <v>Jun 2026</v>
      </c>
      <c r="C702" s="84">
        <f t="shared" si="2"/>
        <v>26</v>
      </c>
      <c r="D702" s="85" t="s">
        <v>159</v>
      </c>
      <c r="E702" s="85" t="s">
        <v>165</v>
      </c>
      <c r="F702" s="86" t="s">
        <v>257</v>
      </c>
      <c r="G702" s="86" t="s">
        <v>202</v>
      </c>
      <c r="H702" s="88">
        <f t="shared" si="3"/>
        <v>0.11</v>
      </c>
      <c r="I702" s="89">
        <v>0.1</v>
      </c>
      <c r="J702" s="130"/>
      <c r="K702" s="89">
        <f t="shared" si="4"/>
        <v>0.01</v>
      </c>
      <c r="L702" s="84">
        <f t="shared" si="5"/>
        <v>701</v>
      </c>
      <c r="M702" s="85" t="s">
        <v>181</v>
      </c>
    </row>
    <row r="703" ht="22.5" customHeight="1">
      <c r="A703" s="83">
        <v>46195.0</v>
      </c>
      <c r="B703" s="84" t="str">
        <f t="shared" si="1"/>
        <v>Jun 2026</v>
      </c>
      <c r="C703" s="84">
        <f t="shared" si="2"/>
        <v>26</v>
      </c>
      <c r="D703" s="85" t="s">
        <v>159</v>
      </c>
      <c r="E703" s="85" t="s">
        <v>165</v>
      </c>
      <c r="F703" s="86" t="s">
        <v>252</v>
      </c>
      <c r="G703" s="87" t="s">
        <v>204</v>
      </c>
      <c r="H703" s="88">
        <f t="shared" si="3"/>
        <v>0.11</v>
      </c>
      <c r="I703" s="89">
        <v>0.1</v>
      </c>
      <c r="J703" s="130"/>
      <c r="K703" s="89">
        <f t="shared" si="4"/>
        <v>0.01</v>
      </c>
      <c r="L703" s="84">
        <f t="shared" si="5"/>
        <v>702</v>
      </c>
      <c r="M703" s="85" t="s">
        <v>181</v>
      </c>
    </row>
    <row r="704" ht="22.5" customHeight="1">
      <c r="A704" s="83">
        <v>46195.0</v>
      </c>
      <c r="B704" s="84" t="str">
        <f t="shared" si="1"/>
        <v>Jun 2026</v>
      </c>
      <c r="C704" s="84">
        <f t="shared" si="2"/>
        <v>26</v>
      </c>
      <c r="D704" s="85" t="s">
        <v>159</v>
      </c>
      <c r="E704" s="85" t="s">
        <v>165</v>
      </c>
      <c r="F704" s="86" t="s">
        <v>256</v>
      </c>
      <c r="G704" s="87" t="s">
        <v>180</v>
      </c>
      <c r="H704" s="88">
        <f t="shared" si="3"/>
        <v>0.11</v>
      </c>
      <c r="I704" s="89">
        <v>0.1</v>
      </c>
      <c r="J704" s="130"/>
      <c r="K704" s="89">
        <f t="shared" si="4"/>
        <v>0.01</v>
      </c>
      <c r="L704" s="84">
        <f t="shared" si="5"/>
        <v>703</v>
      </c>
      <c r="M704" s="85" t="s">
        <v>181</v>
      </c>
    </row>
    <row r="705" ht="22.5" customHeight="1">
      <c r="A705" s="83">
        <v>46195.0</v>
      </c>
      <c r="B705" s="84" t="str">
        <f t="shared" si="1"/>
        <v>Jun 2026</v>
      </c>
      <c r="C705" s="84">
        <f t="shared" si="2"/>
        <v>26</v>
      </c>
      <c r="D705" s="85" t="s">
        <v>159</v>
      </c>
      <c r="E705" s="85" t="s">
        <v>165</v>
      </c>
      <c r="F705" s="86" t="s">
        <v>254</v>
      </c>
      <c r="G705" s="86" t="s">
        <v>197</v>
      </c>
      <c r="H705" s="88">
        <f t="shared" si="3"/>
        <v>0.11</v>
      </c>
      <c r="I705" s="89">
        <v>0.1</v>
      </c>
      <c r="J705" s="130"/>
      <c r="K705" s="89">
        <f t="shared" si="4"/>
        <v>0.01</v>
      </c>
      <c r="L705" s="84">
        <f t="shared" si="5"/>
        <v>704</v>
      </c>
      <c r="M705" s="85" t="s">
        <v>181</v>
      </c>
    </row>
    <row r="706" ht="22.5" customHeight="1">
      <c r="A706" s="83">
        <v>46195.0</v>
      </c>
      <c r="B706" s="84" t="str">
        <f t="shared" si="1"/>
        <v>Jun 2026</v>
      </c>
      <c r="C706" s="84">
        <f t="shared" si="2"/>
        <v>26</v>
      </c>
      <c r="D706" s="85" t="s">
        <v>159</v>
      </c>
      <c r="E706" s="85" t="s">
        <v>165</v>
      </c>
      <c r="F706" s="86" t="s">
        <v>254</v>
      </c>
      <c r="G706" s="87" t="s">
        <v>184</v>
      </c>
      <c r="H706" s="88">
        <f t="shared" si="3"/>
        <v>0.11</v>
      </c>
      <c r="I706" s="89">
        <v>0.1</v>
      </c>
      <c r="J706" s="130"/>
      <c r="K706" s="89">
        <f t="shared" si="4"/>
        <v>0.01</v>
      </c>
      <c r="L706" s="84">
        <f t="shared" si="5"/>
        <v>705</v>
      </c>
      <c r="M706" s="85" t="s">
        <v>181</v>
      </c>
    </row>
    <row r="707" ht="22.5" customHeight="1">
      <c r="A707" s="83">
        <v>46195.0</v>
      </c>
      <c r="B707" s="84" t="str">
        <f t="shared" si="1"/>
        <v>Jun 2026</v>
      </c>
      <c r="C707" s="84">
        <f t="shared" si="2"/>
        <v>26</v>
      </c>
      <c r="D707" s="85" t="s">
        <v>159</v>
      </c>
      <c r="E707" s="85" t="s">
        <v>165</v>
      </c>
      <c r="F707" s="86" t="s">
        <v>254</v>
      </c>
      <c r="G707" s="87" t="s">
        <v>184</v>
      </c>
      <c r="H707" s="88">
        <f t="shared" si="3"/>
        <v>0.11</v>
      </c>
      <c r="I707" s="89">
        <v>0.1</v>
      </c>
      <c r="J707" s="130"/>
      <c r="K707" s="89">
        <f t="shared" si="4"/>
        <v>0.01</v>
      </c>
      <c r="L707" s="84">
        <f t="shared" si="5"/>
        <v>706</v>
      </c>
      <c r="M707" s="85" t="s">
        <v>181</v>
      </c>
    </row>
    <row r="708" ht="22.5" customHeight="1">
      <c r="A708" s="83">
        <v>46195.0</v>
      </c>
      <c r="B708" s="84" t="str">
        <f t="shared" si="1"/>
        <v>Jun 2026</v>
      </c>
      <c r="C708" s="84">
        <f t="shared" si="2"/>
        <v>26</v>
      </c>
      <c r="D708" s="85" t="s">
        <v>159</v>
      </c>
      <c r="E708" s="85" t="s">
        <v>165</v>
      </c>
      <c r="F708" s="86" t="s">
        <v>254</v>
      </c>
      <c r="G708" s="87" t="s">
        <v>179</v>
      </c>
      <c r="H708" s="88">
        <f t="shared" si="3"/>
        <v>0.11</v>
      </c>
      <c r="I708" s="89">
        <v>0.1</v>
      </c>
      <c r="J708" s="130"/>
      <c r="K708" s="89">
        <f t="shared" si="4"/>
        <v>0.01</v>
      </c>
      <c r="L708" s="84">
        <f t="shared" si="5"/>
        <v>707</v>
      </c>
      <c r="M708" s="85" t="s">
        <v>181</v>
      </c>
    </row>
    <row r="709" ht="22.5" customHeight="1">
      <c r="A709" s="83">
        <v>46195.0</v>
      </c>
      <c r="B709" s="84" t="str">
        <f t="shared" si="1"/>
        <v>Jun 2026</v>
      </c>
      <c r="C709" s="84">
        <f t="shared" si="2"/>
        <v>26</v>
      </c>
      <c r="D709" s="85" t="s">
        <v>159</v>
      </c>
      <c r="E709" s="85" t="s">
        <v>165</v>
      </c>
      <c r="F709" s="86" t="s">
        <v>259</v>
      </c>
      <c r="G709" s="86" t="s">
        <v>196</v>
      </c>
      <c r="H709" s="88">
        <f t="shared" si="3"/>
        <v>0.11</v>
      </c>
      <c r="I709" s="89">
        <v>0.1</v>
      </c>
      <c r="J709" s="130"/>
      <c r="K709" s="89">
        <f t="shared" si="4"/>
        <v>0.01</v>
      </c>
      <c r="L709" s="84">
        <f t="shared" si="5"/>
        <v>708</v>
      </c>
      <c r="M709" s="85" t="s">
        <v>181</v>
      </c>
    </row>
    <row r="710" ht="22.5" customHeight="1">
      <c r="A710" s="83">
        <v>46195.0</v>
      </c>
      <c r="B710" s="84" t="str">
        <f t="shared" si="1"/>
        <v>Jun 2026</v>
      </c>
      <c r="C710" s="84">
        <f t="shared" si="2"/>
        <v>26</v>
      </c>
      <c r="D710" s="85" t="s">
        <v>159</v>
      </c>
      <c r="E710" s="85" t="s">
        <v>165</v>
      </c>
      <c r="F710" s="86" t="s">
        <v>258</v>
      </c>
      <c r="G710" s="86" t="s">
        <v>169</v>
      </c>
      <c r="H710" s="88">
        <f t="shared" si="3"/>
        <v>0.11</v>
      </c>
      <c r="I710" s="89">
        <v>0.1</v>
      </c>
      <c r="J710" s="130"/>
      <c r="K710" s="89">
        <f t="shared" si="4"/>
        <v>0.01</v>
      </c>
      <c r="L710" s="84">
        <f t="shared" si="5"/>
        <v>709</v>
      </c>
      <c r="M710" s="85" t="s">
        <v>181</v>
      </c>
    </row>
    <row r="711" ht="22.5" customHeight="1">
      <c r="A711" s="83">
        <v>46195.0</v>
      </c>
      <c r="B711" s="84" t="str">
        <f t="shared" si="1"/>
        <v>Jun 2026</v>
      </c>
      <c r="C711" s="84">
        <f t="shared" si="2"/>
        <v>26</v>
      </c>
      <c r="D711" s="85" t="s">
        <v>159</v>
      </c>
      <c r="E711" s="85" t="s">
        <v>165</v>
      </c>
      <c r="F711" s="86" t="s">
        <v>255</v>
      </c>
      <c r="G711" s="87" t="s">
        <v>200</v>
      </c>
      <c r="H711" s="88">
        <f t="shared" si="3"/>
        <v>0.11</v>
      </c>
      <c r="I711" s="89">
        <v>0.1</v>
      </c>
      <c r="J711" s="130"/>
      <c r="K711" s="89">
        <f t="shared" si="4"/>
        <v>0.01</v>
      </c>
      <c r="L711" s="84">
        <f t="shared" si="5"/>
        <v>710</v>
      </c>
      <c r="M711" s="85" t="s">
        <v>181</v>
      </c>
    </row>
    <row r="712" ht="22.5" customHeight="1">
      <c r="A712" s="83">
        <v>46195.0</v>
      </c>
      <c r="B712" s="84" t="str">
        <f t="shared" si="1"/>
        <v>Jun 2026</v>
      </c>
      <c r="C712" s="84">
        <f t="shared" si="2"/>
        <v>26</v>
      </c>
      <c r="D712" s="85" t="s">
        <v>159</v>
      </c>
      <c r="E712" s="85" t="s">
        <v>165</v>
      </c>
      <c r="F712" s="86" t="s">
        <v>252</v>
      </c>
      <c r="G712" s="87" t="s">
        <v>204</v>
      </c>
      <c r="H712" s="88">
        <f t="shared" si="3"/>
        <v>0.11</v>
      </c>
      <c r="I712" s="89">
        <v>0.1</v>
      </c>
      <c r="J712" s="130"/>
      <c r="K712" s="89">
        <f t="shared" si="4"/>
        <v>0.01</v>
      </c>
      <c r="L712" s="84">
        <f t="shared" si="5"/>
        <v>711</v>
      </c>
      <c r="M712" s="85" t="s">
        <v>181</v>
      </c>
    </row>
    <row r="713" ht="22.5" customHeight="1">
      <c r="A713" s="83">
        <v>46195.0</v>
      </c>
      <c r="B713" s="84" t="str">
        <f t="shared" si="1"/>
        <v>Jun 2026</v>
      </c>
      <c r="C713" s="84">
        <f t="shared" si="2"/>
        <v>26</v>
      </c>
      <c r="D713" s="85" t="s">
        <v>159</v>
      </c>
      <c r="E713" s="85" t="s">
        <v>165</v>
      </c>
      <c r="F713" s="86" t="s">
        <v>260</v>
      </c>
      <c r="G713" s="86" t="s">
        <v>203</v>
      </c>
      <c r="H713" s="88">
        <f t="shared" si="3"/>
        <v>0.11</v>
      </c>
      <c r="I713" s="89">
        <v>0.1</v>
      </c>
      <c r="J713" s="130"/>
      <c r="K713" s="89">
        <f t="shared" si="4"/>
        <v>0.01</v>
      </c>
      <c r="L713" s="84">
        <f t="shared" si="5"/>
        <v>712</v>
      </c>
      <c r="M713" s="85" t="s">
        <v>181</v>
      </c>
    </row>
    <row r="714" ht="22.5" customHeight="1">
      <c r="A714" s="83">
        <v>46195.0</v>
      </c>
      <c r="B714" s="84" t="str">
        <f t="shared" si="1"/>
        <v>Jun 2026</v>
      </c>
      <c r="C714" s="84">
        <f t="shared" si="2"/>
        <v>26</v>
      </c>
      <c r="D714" s="85" t="s">
        <v>161</v>
      </c>
      <c r="E714" s="85" t="s">
        <v>167</v>
      </c>
      <c r="F714" s="86" t="s">
        <v>232</v>
      </c>
      <c r="G714" s="87" t="s">
        <v>75</v>
      </c>
      <c r="H714" s="88">
        <f t="shared" si="3"/>
        <v>0.11</v>
      </c>
      <c r="I714" s="89">
        <v>0.1</v>
      </c>
      <c r="J714" s="130"/>
      <c r="K714" s="89">
        <f t="shared" si="4"/>
        <v>0.01</v>
      </c>
      <c r="L714" s="84">
        <f t="shared" si="5"/>
        <v>713</v>
      </c>
      <c r="M714" s="85" t="s">
        <v>181</v>
      </c>
    </row>
    <row r="715" ht="22.5" customHeight="1">
      <c r="A715" s="83">
        <v>46195.0</v>
      </c>
      <c r="B715" s="84" t="str">
        <f t="shared" si="1"/>
        <v>Jun 2026</v>
      </c>
      <c r="C715" s="84">
        <f t="shared" si="2"/>
        <v>26</v>
      </c>
      <c r="D715" s="85" t="s">
        <v>161</v>
      </c>
      <c r="E715" s="85" t="s">
        <v>167</v>
      </c>
      <c r="F715" s="86" t="s">
        <v>232</v>
      </c>
      <c r="G715" s="87" t="s">
        <v>75</v>
      </c>
      <c r="H715" s="88">
        <f t="shared" si="3"/>
        <v>0.11</v>
      </c>
      <c r="I715" s="89">
        <v>0.1</v>
      </c>
      <c r="J715" s="130"/>
      <c r="K715" s="89">
        <f t="shared" si="4"/>
        <v>0.01</v>
      </c>
      <c r="L715" s="84">
        <f t="shared" si="5"/>
        <v>714</v>
      </c>
      <c r="M715" s="85" t="s">
        <v>181</v>
      </c>
    </row>
    <row r="716" ht="22.5" customHeight="1">
      <c r="A716" s="83">
        <v>46195.0</v>
      </c>
      <c r="B716" s="84" t="str">
        <f t="shared" si="1"/>
        <v>Jun 2026</v>
      </c>
      <c r="C716" s="84">
        <f t="shared" si="2"/>
        <v>26</v>
      </c>
      <c r="D716" s="85" t="s">
        <v>161</v>
      </c>
      <c r="E716" s="85" t="s">
        <v>167</v>
      </c>
      <c r="F716" s="86" t="s">
        <v>232</v>
      </c>
      <c r="G716" s="87" t="s">
        <v>75</v>
      </c>
      <c r="H716" s="88">
        <f t="shared" si="3"/>
        <v>0.11</v>
      </c>
      <c r="I716" s="89">
        <v>0.1</v>
      </c>
      <c r="J716" s="130"/>
      <c r="K716" s="89">
        <f t="shared" si="4"/>
        <v>0.01</v>
      </c>
      <c r="L716" s="84">
        <f t="shared" si="5"/>
        <v>715</v>
      </c>
      <c r="M716" s="85" t="s">
        <v>133</v>
      </c>
    </row>
    <row r="717" ht="22.5" customHeight="1">
      <c r="A717" s="83">
        <v>46195.0</v>
      </c>
      <c r="B717" s="84" t="str">
        <f t="shared" si="1"/>
        <v>Jun 2026</v>
      </c>
      <c r="C717" s="84">
        <f t="shared" si="2"/>
        <v>26</v>
      </c>
      <c r="D717" s="85" t="s">
        <v>161</v>
      </c>
      <c r="E717" s="85" t="s">
        <v>167</v>
      </c>
      <c r="F717" s="86" t="s">
        <v>232</v>
      </c>
      <c r="G717" s="87" t="s">
        <v>75</v>
      </c>
      <c r="H717" s="88">
        <f t="shared" si="3"/>
        <v>0.11</v>
      </c>
      <c r="I717" s="89">
        <v>0.1</v>
      </c>
      <c r="J717" s="130"/>
      <c r="K717" s="89">
        <f t="shared" si="4"/>
        <v>0.01</v>
      </c>
      <c r="L717" s="84">
        <f t="shared" si="5"/>
        <v>716</v>
      </c>
      <c r="M717" s="85" t="s">
        <v>133</v>
      </c>
    </row>
    <row r="718" ht="22.5" customHeight="1">
      <c r="A718" s="83">
        <v>46195.0</v>
      </c>
      <c r="B718" s="84" t="str">
        <f t="shared" si="1"/>
        <v>Jun 2026</v>
      </c>
      <c r="C718" s="84">
        <f t="shared" si="2"/>
        <v>26</v>
      </c>
      <c r="D718" s="85" t="s">
        <v>161</v>
      </c>
      <c r="E718" s="85" t="s">
        <v>167</v>
      </c>
      <c r="F718" s="86" t="s">
        <v>232</v>
      </c>
      <c r="G718" s="87" t="s">
        <v>75</v>
      </c>
      <c r="H718" s="88">
        <f t="shared" si="3"/>
        <v>0.11</v>
      </c>
      <c r="I718" s="89">
        <v>0.1</v>
      </c>
      <c r="J718" s="130"/>
      <c r="K718" s="89">
        <f t="shared" si="4"/>
        <v>0.01</v>
      </c>
      <c r="L718" s="84">
        <f t="shared" si="5"/>
        <v>717</v>
      </c>
      <c r="M718" s="85" t="s">
        <v>133</v>
      </c>
    </row>
    <row r="719" ht="22.5" customHeight="1">
      <c r="A719" s="83">
        <v>46195.0</v>
      </c>
      <c r="B719" s="84" t="str">
        <f t="shared" si="1"/>
        <v>Jun 2026</v>
      </c>
      <c r="C719" s="84">
        <f t="shared" si="2"/>
        <v>26</v>
      </c>
      <c r="D719" s="85" t="s">
        <v>159</v>
      </c>
      <c r="E719" s="85" t="s">
        <v>167</v>
      </c>
      <c r="F719" s="86" t="s">
        <v>257</v>
      </c>
      <c r="G719" s="86" t="s">
        <v>202</v>
      </c>
      <c r="H719" s="88">
        <f t="shared" si="3"/>
        <v>0.11</v>
      </c>
      <c r="I719" s="89">
        <v>0.1</v>
      </c>
      <c r="J719" s="130"/>
      <c r="K719" s="89">
        <f t="shared" si="4"/>
        <v>0.01</v>
      </c>
      <c r="L719" s="84">
        <f t="shared" si="5"/>
        <v>718</v>
      </c>
      <c r="M719" s="85" t="s">
        <v>181</v>
      </c>
    </row>
    <row r="720" ht="22.5" customHeight="1">
      <c r="A720" s="83">
        <v>46195.0</v>
      </c>
      <c r="B720" s="84" t="str">
        <f t="shared" si="1"/>
        <v>Jun 2026</v>
      </c>
      <c r="C720" s="84">
        <f t="shared" si="2"/>
        <v>26</v>
      </c>
      <c r="D720" s="85" t="s">
        <v>159</v>
      </c>
      <c r="E720" s="85" t="s">
        <v>167</v>
      </c>
      <c r="F720" s="86" t="s">
        <v>252</v>
      </c>
      <c r="G720" s="87" t="s">
        <v>195</v>
      </c>
      <c r="H720" s="88">
        <f t="shared" si="3"/>
        <v>0.11</v>
      </c>
      <c r="I720" s="89">
        <v>0.1</v>
      </c>
      <c r="J720" s="130"/>
      <c r="K720" s="89">
        <f t="shared" si="4"/>
        <v>0.01</v>
      </c>
      <c r="L720" s="84">
        <f t="shared" si="5"/>
        <v>719</v>
      </c>
      <c r="M720" s="85" t="s">
        <v>181</v>
      </c>
    </row>
    <row r="721" ht="22.5" customHeight="1">
      <c r="A721" s="83">
        <v>46195.0</v>
      </c>
      <c r="B721" s="84" t="str">
        <f t="shared" si="1"/>
        <v>Jun 2026</v>
      </c>
      <c r="C721" s="84">
        <f t="shared" si="2"/>
        <v>26</v>
      </c>
      <c r="D721" s="85" t="s">
        <v>159</v>
      </c>
      <c r="E721" s="85" t="s">
        <v>167</v>
      </c>
      <c r="F721" s="86" t="s">
        <v>253</v>
      </c>
      <c r="G721" s="87" t="s">
        <v>168</v>
      </c>
      <c r="H721" s="88">
        <f t="shared" si="3"/>
        <v>0.11</v>
      </c>
      <c r="I721" s="89">
        <v>0.1</v>
      </c>
      <c r="J721" s="130"/>
      <c r="K721" s="89">
        <f t="shared" si="4"/>
        <v>0.01</v>
      </c>
      <c r="L721" s="84">
        <f t="shared" si="5"/>
        <v>720</v>
      </c>
      <c r="M721" s="85" t="s">
        <v>181</v>
      </c>
    </row>
    <row r="722" ht="22.5" customHeight="1">
      <c r="A722" s="83">
        <v>46195.0</v>
      </c>
      <c r="B722" s="84" t="str">
        <f t="shared" si="1"/>
        <v>Jun 2026</v>
      </c>
      <c r="C722" s="84">
        <f t="shared" si="2"/>
        <v>26</v>
      </c>
      <c r="D722" s="85" t="s">
        <v>159</v>
      </c>
      <c r="E722" s="85" t="s">
        <v>167</v>
      </c>
      <c r="F722" s="86" t="s">
        <v>260</v>
      </c>
      <c r="G722" s="86" t="s">
        <v>203</v>
      </c>
      <c r="H722" s="88">
        <f t="shared" si="3"/>
        <v>0.11</v>
      </c>
      <c r="I722" s="89">
        <v>0.1</v>
      </c>
      <c r="J722" s="130"/>
      <c r="K722" s="89">
        <f t="shared" si="4"/>
        <v>0.01</v>
      </c>
      <c r="L722" s="84">
        <f t="shared" si="5"/>
        <v>721</v>
      </c>
      <c r="M722" s="85" t="s">
        <v>181</v>
      </c>
    </row>
    <row r="723" ht="22.5" customHeight="1">
      <c r="A723" s="83">
        <v>46195.0</v>
      </c>
      <c r="B723" s="84" t="str">
        <f t="shared" si="1"/>
        <v>Jun 2026</v>
      </c>
      <c r="C723" s="84">
        <f t="shared" si="2"/>
        <v>26</v>
      </c>
      <c r="D723" s="85" t="s">
        <v>159</v>
      </c>
      <c r="E723" s="85" t="s">
        <v>167</v>
      </c>
      <c r="F723" s="86" t="s">
        <v>254</v>
      </c>
      <c r="G723" s="86" t="s">
        <v>197</v>
      </c>
      <c r="H723" s="88">
        <f t="shared" si="3"/>
        <v>0.11</v>
      </c>
      <c r="I723" s="89">
        <v>0.1</v>
      </c>
      <c r="J723" s="130"/>
      <c r="K723" s="89">
        <f t="shared" si="4"/>
        <v>0.01</v>
      </c>
      <c r="L723" s="84">
        <f t="shared" si="5"/>
        <v>722</v>
      </c>
      <c r="M723" s="85" t="s">
        <v>181</v>
      </c>
    </row>
    <row r="724" ht="22.5" customHeight="1">
      <c r="A724" s="83">
        <v>46195.0</v>
      </c>
      <c r="B724" s="84" t="str">
        <f t="shared" si="1"/>
        <v>Jun 2026</v>
      </c>
      <c r="C724" s="84">
        <f t="shared" si="2"/>
        <v>26</v>
      </c>
      <c r="D724" s="85" t="s">
        <v>159</v>
      </c>
      <c r="E724" s="85" t="s">
        <v>167</v>
      </c>
      <c r="F724" s="86" t="s">
        <v>254</v>
      </c>
      <c r="G724" s="87" t="s">
        <v>179</v>
      </c>
      <c r="H724" s="88">
        <f t="shared" si="3"/>
        <v>0.11</v>
      </c>
      <c r="I724" s="89">
        <v>0.1</v>
      </c>
      <c r="J724" s="130"/>
      <c r="K724" s="89">
        <f t="shared" si="4"/>
        <v>0.01</v>
      </c>
      <c r="L724" s="84">
        <f t="shared" si="5"/>
        <v>723</v>
      </c>
      <c r="M724" s="85" t="s">
        <v>181</v>
      </c>
    </row>
    <row r="725" ht="22.5" customHeight="1">
      <c r="A725" s="83">
        <v>46195.0</v>
      </c>
      <c r="B725" s="84" t="str">
        <f t="shared" si="1"/>
        <v>Jun 2026</v>
      </c>
      <c r="C725" s="84">
        <f t="shared" si="2"/>
        <v>26</v>
      </c>
      <c r="D725" s="85" t="s">
        <v>159</v>
      </c>
      <c r="E725" s="85" t="s">
        <v>167</v>
      </c>
      <c r="F725" s="86" t="s">
        <v>258</v>
      </c>
      <c r="G725" s="86" t="s">
        <v>169</v>
      </c>
      <c r="H725" s="88">
        <f t="shared" si="3"/>
        <v>0.11</v>
      </c>
      <c r="I725" s="89">
        <v>0.1</v>
      </c>
      <c r="J725" s="130"/>
      <c r="K725" s="89">
        <f t="shared" si="4"/>
        <v>0.01</v>
      </c>
      <c r="L725" s="84">
        <f t="shared" si="5"/>
        <v>724</v>
      </c>
      <c r="M725" s="85" t="s">
        <v>181</v>
      </c>
    </row>
    <row r="726" ht="22.5" customHeight="1">
      <c r="A726" s="83">
        <v>46195.0</v>
      </c>
      <c r="B726" s="84" t="str">
        <f t="shared" si="1"/>
        <v>Jun 2026</v>
      </c>
      <c r="C726" s="84">
        <f t="shared" si="2"/>
        <v>26</v>
      </c>
      <c r="D726" s="85" t="s">
        <v>159</v>
      </c>
      <c r="E726" s="85" t="s">
        <v>167</v>
      </c>
      <c r="F726" s="86" t="s">
        <v>256</v>
      </c>
      <c r="G726" s="87" t="s">
        <v>180</v>
      </c>
      <c r="H726" s="88">
        <f t="shared" si="3"/>
        <v>0.11</v>
      </c>
      <c r="I726" s="89">
        <v>0.1</v>
      </c>
      <c r="J726" s="130"/>
      <c r="K726" s="89">
        <f t="shared" si="4"/>
        <v>0.01</v>
      </c>
      <c r="L726" s="84">
        <f t="shared" si="5"/>
        <v>725</v>
      </c>
      <c r="M726" s="85" t="s">
        <v>181</v>
      </c>
    </row>
    <row r="727" ht="22.5" customHeight="1">
      <c r="A727" s="83">
        <v>46195.0</v>
      </c>
      <c r="B727" s="84" t="str">
        <f t="shared" si="1"/>
        <v>Jun 2026</v>
      </c>
      <c r="C727" s="84">
        <f t="shared" si="2"/>
        <v>26</v>
      </c>
      <c r="D727" s="85" t="s">
        <v>159</v>
      </c>
      <c r="E727" s="85" t="s">
        <v>167</v>
      </c>
      <c r="F727" s="86" t="s">
        <v>255</v>
      </c>
      <c r="G727" s="87" t="s">
        <v>200</v>
      </c>
      <c r="H727" s="88">
        <f t="shared" si="3"/>
        <v>0.11</v>
      </c>
      <c r="I727" s="89">
        <v>0.1</v>
      </c>
      <c r="J727" s="130"/>
      <c r="K727" s="89">
        <f t="shared" si="4"/>
        <v>0.01</v>
      </c>
      <c r="L727" s="84">
        <f t="shared" si="5"/>
        <v>726</v>
      </c>
      <c r="M727" s="85" t="s">
        <v>181</v>
      </c>
    </row>
    <row r="728" ht="22.5" customHeight="1">
      <c r="A728" s="83">
        <v>46195.0</v>
      </c>
      <c r="B728" s="84" t="str">
        <f t="shared" si="1"/>
        <v>Jun 2026</v>
      </c>
      <c r="C728" s="84">
        <f t="shared" si="2"/>
        <v>26</v>
      </c>
      <c r="D728" s="85" t="s">
        <v>159</v>
      </c>
      <c r="E728" s="85" t="s">
        <v>167</v>
      </c>
      <c r="F728" s="86" t="s">
        <v>253</v>
      </c>
      <c r="G728" s="87" t="s">
        <v>168</v>
      </c>
      <c r="H728" s="88">
        <f t="shared" si="3"/>
        <v>0.11</v>
      </c>
      <c r="I728" s="89">
        <v>0.1</v>
      </c>
      <c r="J728" s="130"/>
      <c r="K728" s="89">
        <f t="shared" si="4"/>
        <v>0.01</v>
      </c>
      <c r="L728" s="84">
        <f t="shared" si="5"/>
        <v>727</v>
      </c>
      <c r="M728" s="85" t="s">
        <v>181</v>
      </c>
    </row>
    <row r="729" ht="22.5" customHeight="1">
      <c r="A729" s="83">
        <v>46195.0</v>
      </c>
      <c r="B729" s="84" t="str">
        <f t="shared" si="1"/>
        <v>Jun 2026</v>
      </c>
      <c r="C729" s="84">
        <f t="shared" si="2"/>
        <v>26</v>
      </c>
      <c r="D729" s="85" t="s">
        <v>159</v>
      </c>
      <c r="E729" s="85" t="s">
        <v>167</v>
      </c>
      <c r="F729" s="86" t="s">
        <v>252</v>
      </c>
      <c r="G729" s="87" t="s">
        <v>204</v>
      </c>
      <c r="H729" s="88">
        <f t="shared" si="3"/>
        <v>0.11</v>
      </c>
      <c r="I729" s="89">
        <v>0.1</v>
      </c>
      <c r="J729" s="130"/>
      <c r="K729" s="89">
        <f t="shared" si="4"/>
        <v>0.01</v>
      </c>
      <c r="L729" s="84">
        <f t="shared" si="5"/>
        <v>728</v>
      </c>
      <c r="M729" s="85" t="s">
        <v>181</v>
      </c>
    </row>
    <row r="730" ht="22.5" customHeight="1">
      <c r="A730" s="83">
        <v>46195.0</v>
      </c>
      <c r="B730" s="84" t="str">
        <f t="shared" si="1"/>
        <v>Jun 2026</v>
      </c>
      <c r="C730" s="84">
        <f t="shared" si="2"/>
        <v>26</v>
      </c>
      <c r="D730" s="85" t="s">
        <v>159</v>
      </c>
      <c r="E730" s="85" t="s">
        <v>167</v>
      </c>
      <c r="F730" s="86" t="s">
        <v>252</v>
      </c>
      <c r="G730" s="87" t="s">
        <v>204</v>
      </c>
      <c r="H730" s="88">
        <f t="shared" si="3"/>
        <v>0.11</v>
      </c>
      <c r="I730" s="89">
        <v>0.1</v>
      </c>
      <c r="J730" s="130"/>
      <c r="K730" s="89">
        <f t="shared" si="4"/>
        <v>0.01</v>
      </c>
      <c r="L730" s="84">
        <f t="shared" si="5"/>
        <v>729</v>
      </c>
      <c r="M730" s="85" t="s">
        <v>181</v>
      </c>
    </row>
    <row r="731" ht="22.5" customHeight="1">
      <c r="A731" s="83">
        <v>46195.0</v>
      </c>
      <c r="B731" s="84" t="str">
        <f t="shared" si="1"/>
        <v>Jun 2026</v>
      </c>
      <c r="C731" s="84">
        <f t="shared" si="2"/>
        <v>26</v>
      </c>
      <c r="D731" s="85" t="s">
        <v>159</v>
      </c>
      <c r="E731" s="85" t="s">
        <v>167</v>
      </c>
      <c r="F731" s="86" t="s">
        <v>259</v>
      </c>
      <c r="G731" s="86" t="s">
        <v>196</v>
      </c>
      <c r="H731" s="88">
        <f t="shared" si="3"/>
        <v>0.11</v>
      </c>
      <c r="I731" s="89">
        <v>0.1</v>
      </c>
      <c r="J731" s="130"/>
      <c r="K731" s="89">
        <f t="shared" si="4"/>
        <v>0.01</v>
      </c>
      <c r="L731" s="84">
        <f t="shared" si="5"/>
        <v>730</v>
      </c>
      <c r="M731" s="85" t="s">
        <v>181</v>
      </c>
    </row>
    <row r="732" ht="22.5" customHeight="1">
      <c r="A732" s="83">
        <v>46195.0</v>
      </c>
      <c r="B732" s="84" t="str">
        <f t="shared" si="1"/>
        <v>Jun 2026</v>
      </c>
      <c r="C732" s="84">
        <f t="shared" si="2"/>
        <v>26</v>
      </c>
      <c r="D732" s="85" t="s">
        <v>161</v>
      </c>
      <c r="E732" s="85" t="s">
        <v>167</v>
      </c>
      <c r="F732" s="86" t="s">
        <v>232</v>
      </c>
      <c r="G732" s="87" t="s">
        <v>75</v>
      </c>
      <c r="H732" s="88">
        <f t="shared" si="3"/>
        <v>0.11</v>
      </c>
      <c r="I732" s="89">
        <v>0.1</v>
      </c>
      <c r="J732" s="130"/>
      <c r="K732" s="89">
        <f t="shared" si="4"/>
        <v>0.01</v>
      </c>
      <c r="L732" s="84">
        <f t="shared" si="5"/>
        <v>731</v>
      </c>
      <c r="M732" s="85" t="s">
        <v>181</v>
      </c>
    </row>
    <row r="733" ht="22.5" customHeight="1">
      <c r="A733" s="83">
        <v>46195.0</v>
      </c>
      <c r="B733" s="84" t="str">
        <f t="shared" si="1"/>
        <v>Jun 2026</v>
      </c>
      <c r="C733" s="84">
        <f t="shared" si="2"/>
        <v>26</v>
      </c>
      <c r="D733" s="85" t="s">
        <v>161</v>
      </c>
      <c r="E733" s="85" t="s">
        <v>130</v>
      </c>
      <c r="F733" s="86" t="s">
        <v>232</v>
      </c>
      <c r="G733" s="87" t="s">
        <v>75</v>
      </c>
      <c r="H733" s="88">
        <f t="shared" si="3"/>
        <v>0.11</v>
      </c>
      <c r="I733" s="89">
        <v>0.1</v>
      </c>
      <c r="J733" s="130"/>
      <c r="K733" s="89">
        <f t="shared" si="4"/>
        <v>0.01</v>
      </c>
      <c r="L733" s="84">
        <f t="shared" si="5"/>
        <v>732</v>
      </c>
      <c r="M733" s="85" t="s">
        <v>133</v>
      </c>
    </row>
    <row r="734" ht="22.5" customHeight="1">
      <c r="A734" s="83">
        <v>46195.0</v>
      </c>
      <c r="B734" s="84" t="str">
        <f t="shared" si="1"/>
        <v>Jun 2026</v>
      </c>
      <c r="C734" s="84">
        <f t="shared" si="2"/>
        <v>26</v>
      </c>
      <c r="D734" s="85" t="s">
        <v>161</v>
      </c>
      <c r="E734" s="85" t="s">
        <v>130</v>
      </c>
      <c r="F734" s="86" t="s">
        <v>232</v>
      </c>
      <c r="G734" s="87" t="s">
        <v>75</v>
      </c>
      <c r="H734" s="88">
        <f t="shared" si="3"/>
        <v>0.11</v>
      </c>
      <c r="I734" s="89">
        <v>0.1</v>
      </c>
      <c r="J734" s="130"/>
      <c r="K734" s="89">
        <f t="shared" si="4"/>
        <v>0.01</v>
      </c>
      <c r="L734" s="84">
        <f t="shared" si="5"/>
        <v>733</v>
      </c>
      <c r="M734" s="85" t="s">
        <v>133</v>
      </c>
    </row>
    <row r="735" ht="22.5" customHeight="1">
      <c r="A735" s="83">
        <v>46195.0</v>
      </c>
      <c r="B735" s="84" t="str">
        <f t="shared" si="1"/>
        <v>Jun 2026</v>
      </c>
      <c r="C735" s="84">
        <f t="shared" si="2"/>
        <v>26</v>
      </c>
      <c r="D735" s="85" t="s">
        <v>161</v>
      </c>
      <c r="E735" s="85" t="s">
        <v>130</v>
      </c>
      <c r="F735" s="86" t="s">
        <v>232</v>
      </c>
      <c r="G735" s="87" t="s">
        <v>75</v>
      </c>
      <c r="H735" s="88">
        <f t="shared" si="3"/>
        <v>0.11</v>
      </c>
      <c r="I735" s="89">
        <v>0.1</v>
      </c>
      <c r="J735" s="130"/>
      <c r="K735" s="89">
        <f t="shared" si="4"/>
        <v>0.01</v>
      </c>
      <c r="L735" s="84">
        <f t="shared" si="5"/>
        <v>734</v>
      </c>
      <c r="M735" s="85" t="s">
        <v>181</v>
      </c>
    </row>
    <row r="736" ht="22.5" customHeight="1">
      <c r="A736" s="83">
        <v>46195.0</v>
      </c>
      <c r="B736" s="84" t="str">
        <f t="shared" si="1"/>
        <v>Jun 2026</v>
      </c>
      <c r="C736" s="84">
        <f t="shared" si="2"/>
        <v>26</v>
      </c>
      <c r="D736" s="85" t="s">
        <v>161</v>
      </c>
      <c r="E736" s="85" t="s">
        <v>130</v>
      </c>
      <c r="F736" s="86" t="s">
        <v>232</v>
      </c>
      <c r="G736" s="87" t="s">
        <v>75</v>
      </c>
      <c r="H736" s="88">
        <f t="shared" si="3"/>
        <v>0.11</v>
      </c>
      <c r="I736" s="89">
        <v>0.1</v>
      </c>
      <c r="J736" s="130"/>
      <c r="K736" s="89">
        <f t="shared" si="4"/>
        <v>0.01</v>
      </c>
      <c r="L736" s="84">
        <f t="shared" si="5"/>
        <v>735</v>
      </c>
      <c r="M736" s="85" t="s">
        <v>133</v>
      </c>
    </row>
    <row r="737" ht="22.5" customHeight="1">
      <c r="A737" s="83">
        <v>46195.0</v>
      </c>
      <c r="B737" s="84" t="str">
        <f t="shared" si="1"/>
        <v>Jun 2026</v>
      </c>
      <c r="C737" s="84">
        <f t="shared" si="2"/>
        <v>26</v>
      </c>
      <c r="D737" s="85" t="s">
        <v>161</v>
      </c>
      <c r="E737" s="85" t="s">
        <v>130</v>
      </c>
      <c r="F737" s="86" t="s">
        <v>232</v>
      </c>
      <c r="G737" s="87" t="s">
        <v>75</v>
      </c>
      <c r="H737" s="88">
        <f t="shared" si="3"/>
        <v>0.11</v>
      </c>
      <c r="I737" s="89">
        <v>0.1</v>
      </c>
      <c r="J737" s="130"/>
      <c r="K737" s="89">
        <f t="shared" si="4"/>
        <v>0.01</v>
      </c>
      <c r="L737" s="84">
        <f t="shared" si="5"/>
        <v>736</v>
      </c>
      <c r="M737" s="85" t="s">
        <v>133</v>
      </c>
    </row>
    <row r="738" ht="22.5" customHeight="1">
      <c r="A738" s="83">
        <v>46195.0</v>
      </c>
      <c r="B738" s="84" t="str">
        <f t="shared" si="1"/>
        <v>Jun 2026</v>
      </c>
      <c r="C738" s="84">
        <f t="shared" si="2"/>
        <v>26</v>
      </c>
      <c r="D738" s="85" t="s">
        <v>159</v>
      </c>
      <c r="E738" s="85" t="s">
        <v>130</v>
      </c>
      <c r="F738" s="86" t="s">
        <v>257</v>
      </c>
      <c r="G738" s="86" t="s">
        <v>202</v>
      </c>
      <c r="H738" s="88">
        <f t="shared" si="3"/>
        <v>0.11</v>
      </c>
      <c r="I738" s="89">
        <v>0.1</v>
      </c>
      <c r="J738" s="130"/>
      <c r="K738" s="89">
        <f t="shared" si="4"/>
        <v>0.01</v>
      </c>
      <c r="L738" s="84">
        <f t="shared" si="5"/>
        <v>737</v>
      </c>
      <c r="M738" s="85" t="s">
        <v>181</v>
      </c>
    </row>
    <row r="739" ht="22.5" customHeight="1">
      <c r="A739" s="83">
        <v>46195.0</v>
      </c>
      <c r="B739" s="84" t="str">
        <f t="shared" si="1"/>
        <v>Jun 2026</v>
      </c>
      <c r="C739" s="84">
        <f t="shared" si="2"/>
        <v>26</v>
      </c>
      <c r="D739" s="85" t="s">
        <v>159</v>
      </c>
      <c r="E739" s="85" t="s">
        <v>130</v>
      </c>
      <c r="F739" s="86" t="s">
        <v>252</v>
      </c>
      <c r="G739" s="87" t="s">
        <v>195</v>
      </c>
      <c r="H739" s="88">
        <f t="shared" si="3"/>
        <v>0.11</v>
      </c>
      <c r="I739" s="89">
        <v>0.1</v>
      </c>
      <c r="J739" s="130"/>
      <c r="K739" s="89">
        <f t="shared" si="4"/>
        <v>0.01</v>
      </c>
      <c r="L739" s="84">
        <f t="shared" si="5"/>
        <v>738</v>
      </c>
      <c r="M739" s="85" t="s">
        <v>181</v>
      </c>
    </row>
    <row r="740" ht="22.5" customHeight="1">
      <c r="A740" s="83">
        <v>46195.0</v>
      </c>
      <c r="B740" s="84" t="str">
        <f t="shared" si="1"/>
        <v>Jun 2026</v>
      </c>
      <c r="C740" s="84">
        <f t="shared" si="2"/>
        <v>26</v>
      </c>
      <c r="D740" s="85" t="s">
        <v>159</v>
      </c>
      <c r="E740" s="85" t="s">
        <v>130</v>
      </c>
      <c r="F740" s="86" t="s">
        <v>260</v>
      </c>
      <c r="G740" s="86" t="s">
        <v>203</v>
      </c>
      <c r="H740" s="88">
        <f t="shared" si="3"/>
        <v>0.11</v>
      </c>
      <c r="I740" s="89">
        <v>0.1</v>
      </c>
      <c r="J740" s="130"/>
      <c r="K740" s="89">
        <f t="shared" si="4"/>
        <v>0.01</v>
      </c>
      <c r="L740" s="84">
        <f t="shared" si="5"/>
        <v>739</v>
      </c>
      <c r="M740" s="85" t="s">
        <v>181</v>
      </c>
    </row>
    <row r="741" ht="22.5" customHeight="1">
      <c r="A741" s="83">
        <v>46195.0</v>
      </c>
      <c r="B741" s="84" t="str">
        <f t="shared" si="1"/>
        <v>Jun 2026</v>
      </c>
      <c r="C741" s="84">
        <f t="shared" si="2"/>
        <v>26</v>
      </c>
      <c r="D741" s="85" t="s">
        <v>159</v>
      </c>
      <c r="E741" s="85" t="s">
        <v>130</v>
      </c>
      <c r="F741" s="86" t="s">
        <v>253</v>
      </c>
      <c r="G741" s="87" t="s">
        <v>168</v>
      </c>
      <c r="H741" s="88">
        <f t="shared" si="3"/>
        <v>0.11</v>
      </c>
      <c r="I741" s="89">
        <v>0.1</v>
      </c>
      <c r="J741" s="130"/>
      <c r="K741" s="89">
        <f t="shared" si="4"/>
        <v>0.01</v>
      </c>
      <c r="L741" s="84">
        <f t="shared" si="5"/>
        <v>740</v>
      </c>
      <c r="M741" s="85" t="s">
        <v>181</v>
      </c>
    </row>
    <row r="742" ht="22.5" customHeight="1">
      <c r="A742" s="83">
        <v>46195.0</v>
      </c>
      <c r="B742" s="84" t="str">
        <f t="shared" si="1"/>
        <v>Jun 2026</v>
      </c>
      <c r="C742" s="84">
        <f t="shared" si="2"/>
        <v>26</v>
      </c>
      <c r="D742" s="85" t="s">
        <v>159</v>
      </c>
      <c r="E742" s="85" t="s">
        <v>130</v>
      </c>
      <c r="F742" s="86" t="s">
        <v>256</v>
      </c>
      <c r="G742" s="87" t="s">
        <v>180</v>
      </c>
      <c r="H742" s="88">
        <f t="shared" si="3"/>
        <v>0.11</v>
      </c>
      <c r="I742" s="89">
        <v>0.1</v>
      </c>
      <c r="J742" s="130"/>
      <c r="K742" s="89">
        <f t="shared" si="4"/>
        <v>0.01</v>
      </c>
      <c r="L742" s="84">
        <f t="shared" si="5"/>
        <v>741</v>
      </c>
      <c r="M742" s="85" t="s">
        <v>181</v>
      </c>
    </row>
    <row r="743" ht="22.5" customHeight="1">
      <c r="A743" s="83">
        <v>46195.0</v>
      </c>
      <c r="B743" s="84" t="str">
        <f t="shared" si="1"/>
        <v>Jun 2026</v>
      </c>
      <c r="C743" s="84">
        <f t="shared" si="2"/>
        <v>26</v>
      </c>
      <c r="D743" s="85" t="s">
        <v>159</v>
      </c>
      <c r="E743" s="85" t="s">
        <v>130</v>
      </c>
      <c r="F743" s="86" t="s">
        <v>252</v>
      </c>
      <c r="G743" s="87" t="s">
        <v>204</v>
      </c>
      <c r="H743" s="88">
        <f t="shared" si="3"/>
        <v>0.11</v>
      </c>
      <c r="I743" s="89">
        <v>0.1</v>
      </c>
      <c r="J743" s="130"/>
      <c r="K743" s="89">
        <f t="shared" si="4"/>
        <v>0.01</v>
      </c>
      <c r="L743" s="84">
        <f t="shared" si="5"/>
        <v>742</v>
      </c>
      <c r="M743" s="85" t="s">
        <v>181</v>
      </c>
    </row>
    <row r="744" ht="22.5" customHeight="1">
      <c r="A744" s="83">
        <v>46195.0</v>
      </c>
      <c r="B744" s="84" t="str">
        <f t="shared" si="1"/>
        <v>Jun 2026</v>
      </c>
      <c r="C744" s="84">
        <f t="shared" si="2"/>
        <v>26</v>
      </c>
      <c r="D744" s="85" t="s">
        <v>159</v>
      </c>
      <c r="E744" s="85" t="s">
        <v>130</v>
      </c>
      <c r="F744" s="86" t="s">
        <v>254</v>
      </c>
      <c r="G744" s="86" t="s">
        <v>197</v>
      </c>
      <c r="H744" s="88">
        <f t="shared" si="3"/>
        <v>0.11</v>
      </c>
      <c r="I744" s="89">
        <v>0.1</v>
      </c>
      <c r="J744" s="130"/>
      <c r="K744" s="89">
        <f t="shared" si="4"/>
        <v>0.01</v>
      </c>
      <c r="L744" s="84">
        <f t="shared" si="5"/>
        <v>743</v>
      </c>
      <c r="M744" s="85" t="s">
        <v>181</v>
      </c>
    </row>
    <row r="745" ht="22.5" customHeight="1">
      <c r="A745" s="83">
        <v>46195.0</v>
      </c>
      <c r="B745" s="84" t="str">
        <f t="shared" si="1"/>
        <v>Jun 2026</v>
      </c>
      <c r="C745" s="84">
        <f t="shared" si="2"/>
        <v>26</v>
      </c>
      <c r="D745" s="85" t="s">
        <v>159</v>
      </c>
      <c r="E745" s="85" t="s">
        <v>130</v>
      </c>
      <c r="F745" s="86" t="s">
        <v>254</v>
      </c>
      <c r="G745" s="87" t="s">
        <v>179</v>
      </c>
      <c r="H745" s="88">
        <f t="shared" si="3"/>
        <v>0.11</v>
      </c>
      <c r="I745" s="89">
        <v>0.1</v>
      </c>
      <c r="J745" s="130"/>
      <c r="K745" s="89">
        <f t="shared" si="4"/>
        <v>0.01</v>
      </c>
      <c r="L745" s="84">
        <f t="shared" si="5"/>
        <v>744</v>
      </c>
      <c r="M745" s="85" t="s">
        <v>181</v>
      </c>
    </row>
    <row r="746" ht="22.5" customHeight="1">
      <c r="A746" s="83">
        <v>46195.0</v>
      </c>
      <c r="B746" s="84" t="str">
        <f t="shared" si="1"/>
        <v>Jun 2026</v>
      </c>
      <c r="C746" s="84">
        <f t="shared" si="2"/>
        <v>26</v>
      </c>
      <c r="D746" s="85" t="s">
        <v>159</v>
      </c>
      <c r="E746" s="85" t="s">
        <v>130</v>
      </c>
      <c r="F746" s="86" t="s">
        <v>259</v>
      </c>
      <c r="G746" s="86" t="s">
        <v>196</v>
      </c>
      <c r="H746" s="88">
        <f t="shared" si="3"/>
        <v>0.11</v>
      </c>
      <c r="I746" s="89">
        <v>0.1</v>
      </c>
      <c r="J746" s="130"/>
      <c r="K746" s="89">
        <f t="shared" si="4"/>
        <v>0.01</v>
      </c>
      <c r="L746" s="84">
        <f t="shared" si="5"/>
        <v>745</v>
      </c>
      <c r="M746" s="85" t="s">
        <v>181</v>
      </c>
    </row>
    <row r="747" ht="22.5" customHeight="1">
      <c r="A747" s="83">
        <v>46195.0</v>
      </c>
      <c r="B747" s="84" t="str">
        <f t="shared" si="1"/>
        <v>Jun 2026</v>
      </c>
      <c r="C747" s="84">
        <f t="shared" si="2"/>
        <v>26</v>
      </c>
      <c r="D747" s="85" t="s">
        <v>159</v>
      </c>
      <c r="E747" s="85" t="s">
        <v>130</v>
      </c>
      <c r="F747" s="86" t="s">
        <v>252</v>
      </c>
      <c r="G747" s="87" t="s">
        <v>204</v>
      </c>
      <c r="H747" s="88">
        <f t="shared" si="3"/>
        <v>0.11</v>
      </c>
      <c r="I747" s="89">
        <v>0.1</v>
      </c>
      <c r="J747" s="130"/>
      <c r="K747" s="89">
        <f t="shared" si="4"/>
        <v>0.01</v>
      </c>
      <c r="L747" s="84">
        <f t="shared" si="5"/>
        <v>746</v>
      </c>
      <c r="M747" s="85" t="s">
        <v>181</v>
      </c>
    </row>
    <row r="748" ht="22.5" customHeight="1">
      <c r="A748" s="83">
        <v>46195.0</v>
      </c>
      <c r="B748" s="84" t="str">
        <f t="shared" si="1"/>
        <v>Jun 2026</v>
      </c>
      <c r="C748" s="84">
        <f t="shared" si="2"/>
        <v>26</v>
      </c>
      <c r="D748" s="85" t="s">
        <v>159</v>
      </c>
      <c r="E748" s="85" t="s">
        <v>130</v>
      </c>
      <c r="F748" s="86" t="s">
        <v>255</v>
      </c>
      <c r="G748" s="87" t="s">
        <v>200</v>
      </c>
      <c r="H748" s="88">
        <f t="shared" si="3"/>
        <v>0.11</v>
      </c>
      <c r="I748" s="89">
        <v>0.1</v>
      </c>
      <c r="J748" s="130"/>
      <c r="K748" s="89">
        <f t="shared" si="4"/>
        <v>0.01</v>
      </c>
      <c r="L748" s="84">
        <f t="shared" si="5"/>
        <v>747</v>
      </c>
      <c r="M748" s="85" t="s">
        <v>181</v>
      </c>
    </row>
    <row r="749" ht="22.5" customHeight="1">
      <c r="A749" s="83">
        <v>46195.0</v>
      </c>
      <c r="B749" s="84" t="str">
        <f t="shared" si="1"/>
        <v>Jun 2026</v>
      </c>
      <c r="C749" s="84">
        <f t="shared" si="2"/>
        <v>26</v>
      </c>
      <c r="D749" s="85" t="s">
        <v>159</v>
      </c>
      <c r="E749" s="85" t="s">
        <v>130</v>
      </c>
      <c r="F749" s="86" t="s">
        <v>258</v>
      </c>
      <c r="G749" s="86" t="s">
        <v>169</v>
      </c>
      <c r="H749" s="88">
        <f t="shared" si="3"/>
        <v>0.11</v>
      </c>
      <c r="I749" s="89">
        <v>0.1</v>
      </c>
      <c r="J749" s="130"/>
      <c r="K749" s="89">
        <f t="shared" si="4"/>
        <v>0.01</v>
      </c>
      <c r="L749" s="84">
        <f t="shared" si="5"/>
        <v>748</v>
      </c>
      <c r="M749" s="85" t="s">
        <v>181</v>
      </c>
    </row>
    <row r="750" ht="22.5" customHeight="1">
      <c r="A750" s="83">
        <v>46195.0</v>
      </c>
      <c r="B750" s="84" t="str">
        <f t="shared" si="1"/>
        <v>Jun 2026</v>
      </c>
      <c r="C750" s="84">
        <f t="shared" si="2"/>
        <v>26</v>
      </c>
      <c r="D750" s="85" t="s">
        <v>159</v>
      </c>
      <c r="E750" s="85" t="s">
        <v>130</v>
      </c>
      <c r="F750" s="86" t="s">
        <v>252</v>
      </c>
      <c r="G750" s="87" t="s">
        <v>204</v>
      </c>
      <c r="H750" s="88">
        <f t="shared" si="3"/>
        <v>0.11</v>
      </c>
      <c r="I750" s="89">
        <v>0.1</v>
      </c>
      <c r="J750" s="130"/>
      <c r="K750" s="89">
        <f t="shared" si="4"/>
        <v>0.01</v>
      </c>
      <c r="L750" s="84">
        <f t="shared" si="5"/>
        <v>749</v>
      </c>
      <c r="M750" s="85" t="s">
        <v>181</v>
      </c>
    </row>
    <row r="751" ht="22.5" customHeight="1">
      <c r="A751" s="83">
        <v>46195.0</v>
      </c>
      <c r="B751" s="84" t="str">
        <f t="shared" si="1"/>
        <v>Jun 2026</v>
      </c>
      <c r="C751" s="84">
        <f t="shared" si="2"/>
        <v>26</v>
      </c>
      <c r="D751" s="85" t="s">
        <v>159</v>
      </c>
      <c r="E751" s="85" t="s">
        <v>130</v>
      </c>
      <c r="F751" s="86" t="s">
        <v>252</v>
      </c>
      <c r="G751" s="87" t="s">
        <v>204</v>
      </c>
      <c r="H751" s="88">
        <f t="shared" si="3"/>
        <v>0.11</v>
      </c>
      <c r="I751" s="89">
        <v>0.1</v>
      </c>
      <c r="J751" s="130"/>
      <c r="K751" s="89">
        <f t="shared" si="4"/>
        <v>0.01</v>
      </c>
      <c r="L751" s="84">
        <f t="shared" si="5"/>
        <v>750</v>
      </c>
      <c r="M751" s="85" t="s">
        <v>181</v>
      </c>
    </row>
    <row r="752" ht="22.5" customHeight="1">
      <c r="A752" s="83">
        <v>46195.0</v>
      </c>
      <c r="B752" s="84" t="str">
        <f t="shared" si="1"/>
        <v>Jun 2026</v>
      </c>
      <c r="C752" s="84">
        <f t="shared" si="2"/>
        <v>26</v>
      </c>
      <c r="D752" s="85" t="s">
        <v>161</v>
      </c>
      <c r="E752" s="85" t="s">
        <v>130</v>
      </c>
      <c r="F752" s="86" t="s">
        <v>232</v>
      </c>
      <c r="G752" s="87" t="s">
        <v>75</v>
      </c>
      <c r="H752" s="88">
        <f t="shared" si="3"/>
        <v>0.11</v>
      </c>
      <c r="I752" s="89">
        <v>0.1</v>
      </c>
      <c r="J752" s="130"/>
      <c r="K752" s="89">
        <f t="shared" si="4"/>
        <v>0.01</v>
      </c>
      <c r="L752" s="84">
        <f t="shared" si="5"/>
        <v>751</v>
      </c>
      <c r="M752" s="85" t="s">
        <v>181</v>
      </c>
    </row>
    <row r="753" ht="22.5" customHeight="1">
      <c r="A753" s="83">
        <v>46195.0</v>
      </c>
      <c r="B753" s="84" t="str">
        <f t="shared" si="1"/>
        <v>Jun 2026</v>
      </c>
      <c r="C753" s="84">
        <f t="shared" si="2"/>
        <v>26</v>
      </c>
      <c r="D753" s="85" t="s">
        <v>161</v>
      </c>
      <c r="E753" s="85" t="s">
        <v>130</v>
      </c>
      <c r="F753" s="86" t="s">
        <v>232</v>
      </c>
      <c r="G753" s="87" t="s">
        <v>75</v>
      </c>
      <c r="H753" s="88">
        <f t="shared" si="3"/>
        <v>0.11</v>
      </c>
      <c r="I753" s="89">
        <v>0.1</v>
      </c>
      <c r="J753" s="130"/>
      <c r="K753" s="89">
        <f t="shared" si="4"/>
        <v>0.01</v>
      </c>
      <c r="L753" s="84">
        <f t="shared" si="5"/>
        <v>752</v>
      </c>
      <c r="M753" s="85" t="s">
        <v>181</v>
      </c>
    </row>
    <row r="754" ht="22.5" customHeight="1">
      <c r="A754" s="83">
        <v>46196.0</v>
      </c>
      <c r="B754" s="84" t="str">
        <f t="shared" si="1"/>
        <v>Jun 2026</v>
      </c>
      <c r="C754" s="84">
        <f t="shared" si="2"/>
        <v>26</v>
      </c>
      <c r="D754" s="85" t="s">
        <v>159</v>
      </c>
      <c r="E754" s="85" t="s">
        <v>164</v>
      </c>
      <c r="F754" s="86" t="s">
        <v>233</v>
      </c>
      <c r="G754" s="87" t="s">
        <v>210</v>
      </c>
      <c r="H754" s="88">
        <f t="shared" si="3"/>
        <v>0.11</v>
      </c>
      <c r="I754" s="89">
        <v>0.1</v>
      </c>
      <c r="J754" s="130"/>
      <c r="K754" s="89">
        <f t="shared" si="4"/>
        <v>0.01</v>
      </c>
      <c r="L754" s="84">
        <f t="shared" si="5"/>
        <v>753</v>
      </c>
      <c r="M754" s="85" t="s">
        <v>133</v>
      </c>
    </row>
    <row r="755" ht="22.5" customHeight="1">
      <c r="A755" s="83">
        <v>46196.0</v>
      </c>
      <c r="B755" s="84" t="str">
        <f t="shared" si="1"/>
        <v>Jun 2026</v>
      </c>
      <c r="C755" s="84">
        <f t="shared" si="2"/>
        <v>26</v>
      </c>
      <c r="D755" s="85" t="s">
        <v>159</v>
      </c>
      <c r="E755" s="85" t="s">
        <v>164</v>
      </c>
      <c r="F755" s="86" t="s">
        <v>233</v>
      </c>
      <c r="G755" s="87" t="s">
        <v>210</v>
      </c>
      <c r="H755" s="88">
        <f t="shared" si="3"/>
        <v>0.11</v>
      </c>
      <c r="I755" s="89">
        <v>0.1</v>
      </c>
      <c r="J755" s="130"/>
      <c r="K755" s="89">
        <f t="shared" si="4"/>
        <v>0.01</v>
      </c>
      <c r="L755" s="84">
        <f t="shared" si="5"/>
        <v>754</v>
      </c>
      <c r="M755" s="85" t="s">
        <v>181</v>
      </c>
    </row>
    <row r="756" ht="22.5" customHeight="1">
      <c r="A756" s="83">
        <v>46196.0</v>
      </c>
      <c r="B756" s="84" t="str">
        <f t="shared" si="1"/>
        <v>Jun 2026</v>
      </c>
      <c r="C756" s="84">
        <f t="shared" si="2"/>
        <v>26</v>
      </c>
      <c r="D756" s="85" t="s">
        <v>159</v>
      </c>
      <c r="E756" s="85" t="s">
        <v>164</v>
      </c>
      <c r="F756" s="86" t="s">
        <v>261</v>
      </c>
      <c r="G756" s="86" t="s">
        <v>193</v>
      </c>
      <c r="H756" s="88">
        <f t="shared" si="3"/>
        <v>0.11</v>
      </c>
      <c r="I756" s="89">
        <v>0.1</v>
      </c>
      <c r="J756" s="130"/>
      <c r="K756" s="89">
        <f t="shared" si="4"/>
        <v>0.01</v>
      </c>
      <c r="L756" s="84">
        <f t="shared" si="5"/>
        <v>755</v>
      </c>
      <c r="M756" s="85" t="s">
        <v>181</v>
      </c>
    </row>
    <row r="757" ht="22.5" customHeight="1">
      <c r="A757" s="83">
        <v>46196.0</v>
      </c>
      <c r="B757" s="84" t="str">
        <f t="shared" si="1"/>
        <v>Jun 2026</v>
      </c>
      <c r="C757" s="84">
        <f t="shared" si="2"/>
        <v>26</v>
      </c>
      <c r="D757" s="85" t="s">
        <v>159</v>
      </c>
      <c r="E757" s="85" t="s">
        <v>164</v>
      </c>
      <c r="F757" s="86" t="s">
        <v>261</v>
      </c>
      <c r="G757" s="86" t="s">
        <v>193</v>
      </c>
      <c r="H757" s="88">
        <f t="shared" si="3"/>
        <v>0.11</v>
      </c>
      <c r="I757" s="89">
        <v>0.1</v>
      </c>
      <c r="J757" s="130"/>
      <c r="K757" s="89">
        <f t="shared" si="4"/>
        <v>0.01</v>
      </c>
      <c r="L757" s="84">
        <f t="shared" si="5"/>
        <v>756</v>
      </c>
      <c r="M757" s="85" t="s">
        <v>181</v>
      </c>
    </row>
    <row r="758" ht="22.5" customHeight="1">
      <c r="A758" s="83">
        <v>46196.0</v>
      </c>
      <c r="B758" s="84" t="str">
        <f t="shared" si="1"/>
        <v>Jun 2026</v>
      </c>
      <c r="C758" s="84">
        <f t="shared" si="2"/>
        <v>26</v>
      </c>
      <c r="D758" s="85" t="s">
        <v>159</v>
      </c>
      <c r="E758" s="85" t="s">
        <v>164</v>
      </c>
      <c r="F758" s="86" t="s">
        <v>236</v>
      </c>
      <c r="G758" s="87" t="s">
        <v>170</v>
      </c>
      <c r="H758" s="88">
        <f t="shared" si="3"/>
        <v>0.11</v>
      </c>
      <c r="I758" s="89">
        <v>0.1</v>
      </c>
      <c r="J758" s="130"/>
      <c r="K758" s="89">
        <f t="shared" si="4"/>
        <v>0.01</v>
      </c>
      <c r="L758" s="84">
        <f t="shared" si="5"/>
        <v>757</v>
      </c>
      <c r="M758" s="85" t="s">
        <v>133</v>
      </c>
    </row>
    <row r="759" ht="22.5" customHeight="1">
      <c r="A759" s="83">
        <v>46196.0</v>
      </c>
      <c r="B759" s="84" t="str">
        <f t="shared" si="1"/>
        <v>Jun 2026</v>
      </c>
      <c r="C759" s="84">
        <f t="shared" si="2"/>
        <v>26</v>
      </c>
      <c r="D759" s="85" t="s">
        <v>161</v>
      </c>
      <c r="E759" s="85" t="s">
        <v>164</v>
      </c>
      <c r="F759" s="86" t="s">
        <v>232</v>
      </c>
      <c r="G759" s="87" t="s">
        <v>75</v>
      </c>
      <c r="H759" s="88">
        <f t="shared" si="3"/>
        <v>0.11</v>
      </c>
      <c r="I759" s="89">
        <v>0.1</v>
      </c>
      <c r="J759" s="130"/>
      <c r="K759" s="89">
        <f t="shared" si="4"/>
        <v>0.01</v>
      </c>
      <c r="L759" s="84">
        <f t="shared" si="5"/>
        <v>758</v>
      </c>
      <c r="M759" s="85" t="s">
        <v>133</v>
      </c>
    </row>
    <row r="760" ht="22.5" customHeight="1">
      <c r="A760" s="83">
        <v>46196.0</v>
      </c>
      <c r="B760" s="84" t="str">
        <f t="shared" si="1"/>
        <v>Jun 2026</v>
      </c>
      <c r="C760" s="84">
        <f t="shared" si="2"/>
        <v>26</v>
      </c>
      <c r="D760" s="85" t="s">
        <v>159</v>
      </c>
      <c r="E760" s="85" t="s">
        <v>164</v>
      </c>
      <c r="F760" s="86" t="s">
        <v>173</v>
      </c>
      <c r="G760" s="87" t="s">
        <v>174</v>
      </c>
      <c r="H760" s="88">
        <f t="shared" si="3"/>
        <v>0.11</v>
      </c>
      <c r="I760" s="89">
        <v>0.1</v>
      </c>
      <c r="J760" s="130"/>
      <c r="K760" s="89">
        <f t="shared" si="4"/>
        <v>0.01</v>
      </c>
      <c r="L760" s="84">
        <f t="shared" si="5"/>
        <v>759</v>
      </c>
      <c r="M760" s="85" t="s">
        <v>181</v>
      </c>
    </row>
    <row r="761" ht="22.5" customHeight="1">
      <c r="A761" s="83">
        <v>46196.0</v>
      </c>
      <c r="B761" s="84" t="str">
        <f t="shared" si="1"/>
        <v>Jun 2026</v>
      </c>
      <c r="C761" s="84">
        <f t="shared" si="2"/>
        <v>26</v>
      </c>
      <c r="D761" s="85" t="s">
        <v>159</v>
      </c>
      <c r="E761" s="85" t="s">
        <v>164</v>
      </c>
      <c r="F761" s="86" t="s">
        <v>229</v>
      </c>
      <c r="G761" s="86" t="s">
        <v>213</v>
      </c>
      <c r="H761" s="88">
        <f t="shared" si="3"/>
        <v>0.11</v>
      </c>
      <c r="I761" s="89">
        <v>0.1</v>
      </c>
      <c r="J761" s="130"/>
      <c r="K761" s="89">
        <f t="shared" si="4"/>
        <v>0.01</v>
      </c>
      <c r="L761" s="84">
        <f t="shared" si="5"/>
        <v>760</v>
      </c>
      <c r="M761" s="85" t="s">
        <v>181</v>
      </c>
    </row>
    <row r="762" ht="22.5" customHeight="1">
      <c r="A762" s="83">
        <v>46196.0</v>
      </c>
      <c r="B762" s="84" t="str">
        <f t="shared" si="1"/>
        <v>Jun 2026</v>
      </c>
      <c r="C762" s="84">
        <f t="shared" si="2"/>
        <v>26</v>
      </c>
      <c r="D762" s="85" t="s">
        <v>129</v>
      </c>
      <c r="E762" s="85" t="s">
        <v>164</v>
      </c>
      <c r="F762" s="86" t="s">
        <v>131</v>
      </c>
      <c r="G762" s="87" t="s">
        <v>132</v>
      </c>
      <c r="H762" s="88">
        <f t="shared" si="3"/>
        <v>0.7337</v>
      </c>
      <c r="I762" s="89">
        <v>0.667</v>
      </c>
      <c r="J762" s="130"/>
      <c r="K762" s="89">
        <f t="shared" si="4"/>
        <v>0.0667</v>
      </c>
      <c r="L762" s="84">
        <f t="shared" si="5"/>
        <v>761</v>
      </c>
      <c r="M762" s="85" t="s">
        <v>133</v>
      </c>
    </row>
    <row r="763" ht="22.5" customHeight="1">
      <c r="A763" s="83">
        <v>46196.0</v>
      </c>
      <c r="B763" s="84" t="str">
        <f t="shared" si="1"/>
        <v>Jun 2026</v>
      </c>
      <c r="C763" s="84">
        <f t="shared" si="2"/>
        <v>26</v>
      </c>
      <c r="D763" s="85" t="s">
        <v>159</v>
      </c>
      <c r="E763" s="85" t="s">
        <v>164</v>
      </c>
      <c r="F763" s="86" t="s">
        <v>172</v>
      </c>
      <c r="G763" s="87" t="s">
        <v>62</v>
      </c>
      <c r="H763" s="88">
        <f t="shared" si="3"/>
        <v>0.11</v>
      </c>
      <c r="I763" s="89">
        <v>0.1</v>
      </c>
      <c r="J763" s="130"/>
      <c r="K763" s="89">
        <f t="shared" si="4"/>
        <v>0.01</v>
      </c>
      <c r="L763" s="84">
        <f t="shared" si="5"/>
        <v>762</v>
      </c>
      <c r="M763" s="85" t="s">
        <v>181</v>
      </c>
    </row>
    <row r="764" ht="22.5" customHeight="1">
      <c r="A764" s="83">
        <v>46196.0</v>
      </c>
      <c r="B764" s="84" t="str">
        <f t="shared" si="1"/>
        <v>Jun 2026</v>
      </c>
      <c r="C764" s="84">
        <f t="shared" si="2"/>
        <v>26</v>
      </c>
      <c r="D764" s="85" t="s">
        <v>129</v>
      </c>
      <c r="E764" s="85" t="s">
        <v>164</v>
      </c>
      <c r="F764" s="86" t="s">
        <v>262</v>
      </c>
      <c r="G764" s="86" t="s">
        <v>221</v>
      </c>
      <c r="H764" s="88">
        <f t="shared" si="3"/>
        <v>0.7337</v>
      </c>
      <c r="I764" s="89">
        <v>0.667</v>
      </c>
      <c r="J764" s="130"/>
      <c r="K764" s="89">
        <f t="shared" si="4"/>
        <v>0.0667</v>
      </c>
      <c r="L764" s="84">
        <f t="shared" si="5"/>
        <v>763</v>
      </c>
      <c r="M764" s="85" t="s">
        <v>133</v>
      </c>
    </row>
    <row r="765" ht="22.5" customHeight="1">
      <c r="A765" s="83">
        <v>46196.0</v>
      </c>
      <c r="B765" s="84" t="str">
        <f t="shared" si="1"/>
        <v>Jun 2026</v>
      </c>
      <c r="C765" s="84">
        <f t="shared" si="2"/>
        <v>26</v>
      </c>
      <c r="D765" s="85" t="s">
        <v>161</v>
      </c>
      <c r="E765" s="85" t="s">
        <v>164</v>
      </c>
      <c r="F765" s="86" t="s">
        <v>232</v>
      </c>
      <c r="G765" s="87" t="s">
        <v>75</v>
      </c>
      <c r="H765" s="88">
        <f t="shared" si="3"/>
        <v>0.11</v>
      </c>
      <c r="I765" s="89">
        <v>0.1</v>
      </c>
      <c r="J765" s="130"/>
      <c r="K765" s="89">
        <f t="shared" si="4"/>
        <v>0.01</v>
      </c>
      <c r="L765" s="84">
        <f t="shared" si="5"/>
        <v>764</v>
      </c>
      <c r="M765" s="85" t="s">
        <v>181</v>
      </c>
    </row>
    <row r="766" ht="22.5" customHeight="1">
      <c r="A766" s="83">
        <v>46196.0</v>
      </c>
      <c r="B766" s="84" t="str">
        <f t="shared" si="1"/>
        <v>Jun 2026</v>
      </c>
      <c r="C766" s="84">
        <f t="shared" si="2"/>
        <v>26</v>
      </c>
      <c r="D766" s="85" t="s">
        <v>129</v>
      </c>
      <c r="E766" s="85" t="s">
        <v>164</v>
      </c>
      <c r="F766" s="86" t="s">
        <v>262</v>
      </c>
      <c r="G766" s="86" t="s">
        <v>221</v>
      </c>
      <c r="H766" s="88">
        <f t="shared" si="3"/>
        <v>0.7337</v>
      </c>
      <c r="I766" s="89">
        <v>0.667</v>
      </c>
      <c r="J766" s="130"/>
      <c r="K766" s="89">
        <f t="shared" si="4"/>
        <v>0.0667</v>
      </c>
      <c r="L766" s="84">
        <f t="shared" si="5"/>
        <v>765</v>
      </c>
      <c r="M766" s="85" t="s">
        <v>133</v>
      </c>
    </row>
    <row r="767" ht="22.5" customHeight="1">
      <c r="A767" s="83">
        <v>46196.0</v>
      </c>
      <c r="B767" s="84" t="str">
        <f t="shared" si="1"/>
        <v>Jun 2026</v>
      </c>
      <c r="C767" s="84">
        <f t="shared" si="2"/>
        <v>26</v>
      </c>
      <c r="D767" s="85" t="s">
        <v>129</v>
      </c>
      <c r="E767" s="85" t="s">
        <v>164</v>
      </c>
      <c r="F767" s="86" t="s">
        <v>131</v>
      </c>
      <c r="G767" s="87" t="s">
        <v>132</v>
      </c>
      <c r="H767" s="88">
        <f t="shared" si="3"/>
        <v>0.7337</v>
      </c>
      <c r="I767" s="89">
        <v>0.667</v>
      </c>
      <c r="J767" s="130"/>
      <c r="K767" s="89">
        <f t="shared" si="4"/>
        <v>0.0667</v>
      </c>
      <c r="L767" s="84">
        <f t="shared" si="5"/>
        <v>766</v>
      </c>
      <c r="M767" s="85" t="s">
        <v>133</v>
      </c>
    </row>
    <row r="768" ht="22.5" customHeight="1">
      <c r="A768" s="83">
        <v>46196.0</v>
      </c>
      <c r="B768" s="84" t="str">
        <f t="shared" si="1"/>
        <v>Jun 2026</v>
      </c>
      <c r="C768" s="84">
        <f t="shared" si="2"/>
        <v>26</v>
      </c>
      <c r="D768" s="85" t="s">
        <v>129</v>
      </c>
      <c r="E768" s="85" t="s">
        <v>164</v>
      </c>
      <c r="F768" s="86" t="s">
        <v>262</v>
      </c>
      <c r="G768" s="86" t="s">
        <v>221</v>
      </c>
      <c r="H768" s="88">
        <f t="shared" si="3"/>
        <v>0.7337</v>
      </c>
      <c r="I768" s="89">
        <v>0.667</v>
      </c>
      <c r="J768" s="130"/>
      <c r="K768" s="89">
        <f t="shared" si="4"/>
        <v>0.0667</v>
      </c>
      <c r="L768" s="84">
        <f t="shared" si="5"/>
        <v>767</v>
      </c>
      <c r="M768" s="85" t="s">
        <v>133</v>
      </c>
    </row>
    <row r="769" ht="22.5" customHeight="1">
      <c r="A769" s="83">
        <v>46196.0</v>
      </c>
      <c r="B769" s="84" t="str">
        <f t="shared" si="1"/>
        <v>Jun 2026</v>
      </c>
      <c r="C769" s="84">
        <f t="shared" si="2"/>
        <v>26</v>
      </c>
      <c r="D769" s="85" t="s">
        <v>129</v>
      </c>
      <c r="E769" s="85" t="s">
        <v>164</v>
      </c>
      <c r="F769" s="86" t="s">
        <v>131</v>
      </c>
      <c r="G769" s="87" t="s">
        <v>132</v>
      </c>
      <c r="H769" s="88">
        <f t="shared" si="3"/>
        <v>0.7337</v>
      </c>
      <c r="I769" s="89">
        <v>0.667</v>
      </c>
      <c r="J769" s="130"/>
      <c r="K769" s="89">
        <f t="shared" si="4"/>
        <v>0.0667</v>
      </c>
      <c r="L769" s="84">
        <f t="shared" si="5"/>
        <v>768</v>
      </c>
      <c r="M769" s="85" t="s">
        <v>133</v>
      </c>
    </row>
    <row r="770" ht="22.5" customHeight="1">
      <c r="A770" s="83">
        <v>46196.0</v>
      </c>
      <c r="B770" s="84" t="str">
        <f t="shared" si="1"/>
        <v>Jun 2026</v>
      </c>
      <c r="C770" s="84">
        <f t="shared" si="2"/>
        <v>26</v>
      </c>
      <c r="D770" s="85" t="s">
        <v>161</v>
      </c>
      <c r="E770" s="85" t="s">
        <v>164</v>
      </c>
      <c r="F770" s="86" t="s">
        <v>232</v>
      </c>
      <c r="G770" s="87" t="s">
        <v>75</v>
      </c>
      <c r="H770" s="88">
        <f t="shared" si="3"/>
        <v>0.11</v>
      </c>
      <c r="I770" s="89">
        <v>0.1</v>
      </c>
      <c r="J770" s="130"/>
      <c r="K770" s="89">
        <f t="shared" si="4"/>
        <v>0.01</v>
      </c>
      <c r="L770" s="84">
        <f t="shared" si="5"/>
        <v>769</v>
      </c>
      <c r="M770" s="85" t="s">
        <v>181</v>
      </c>
    </row>
    <row r="771" ht="22.5" customHeight="1">
      <c r="A771" s="83">
        <v>46196.0</v>
      </c>
      <c r="B771" s="84" t="str">
        <f t="shared" si="1"/>
        <v>Jun 2026</v>
      </c>
      <c r="C771" s="84">
        <f t="shared" si="2"/>
        <v>26</v>
      </c>
      <c r="D771" s="85" t="s">
        <v>159</v>
      </c>
      <c r="E771" s="85" t="s">
        <v>164</v>
      </c>
      <c r="F771" s="86" t="s">
        <v>229</v>
      </c>
      <c r="G771" s="86" t="s">
        <v>213</v>
      </c>
      <c r="H771" s="88">
        <f t="shared" si="3"/>
        <v>0.11</v>
      </c>
      <c r="I771" s="89">
        <v>0.1</v>
      </c>
      <c r="J771" s="130"/>
      <c r="K771" s="89">
        <f t="shared" si="4"/>
        <v>0.01</v>
      </c>
      <c r="L771" s="84">
        <f t="shared" si="5"/>
        <v>770</v>
      </c>
      <c r="M771" s="85" t="s">
        <v>133</v>
      </c>
    </row>
    <row r="772" ht="22.5" customHeight="1">
      <c r="A772" s="83">
        <v>46196.0</v>
      </c>
      <c r="B772" s="84" t="str">
        <f t="shared" si="1"/>
        <v>Jun 2026</v>
      </c>
      <c r="C772" s="84">
        <f t="shared" si="2"/>
        <v>26</v>
      </c>
      <c r="D772" s="85" t="s">
        <v>159</v>
      </c>
      <c r="E772" s="85" t="s">
        <v>164</v>
      </c>
      <c r="F772" s="86" t="s">
        <v>258</v>
      </c>
      <c r="G772" s="86" t="s">
        <v>169</v>
      </c>
      <c r="H772" s="88">
        <f t="shared" si="3"/>
        <v>0.11</v>
      </c>
      <c r="I772" s="89">
        <v>0.1</v>
      </c>
      <c r="J772" s="130"/>
      <c r="K772" s="89">
        <f t="shared" si="4"/>
        <v>0.01</v>
      </c>
      <c r="L772" s="84">
        <f t="shared" si="5"/>
        <v>771</v>
      </c>
      <c r="M772" s="85" t="s">
        <v>181</v>
      </c>
    </row>
    <row r="773" ht="22.5" customHeight="1">
      <c r="A773" s="83">
        <v>46196.0</v>
      </c>
      <c r="B773" s="84" t="str">
        <f t="shared" si="1"/>
        <v>Jun 2026</v>
      </c>
      <c r="C773" s="84">
        <f t="shared" si="2"/>
        <v>26</v>
      </c>
      <c r="D773" s="85" t="s">
        <v>159</v>
      </c>
      <c r="E773" s="85" t="s">
        <v>165</v>
      </c>
      <c r="F773" s="86" t="s">
        <v>258</v>
      </c>
      <c r="G773" s="86" t="s">
        <v>169</v>
      </c>
      <c r="H773" s="88">
        <f t="shared" si="3"/>
        <v>0.11</v>
      </c>
      <c r="I773" s="89">
        <v>0.1</v>
      </c>
      <c r="J773" s="130"/>
      <c r="K773" s="89">
        <f t="shared" si="4"/>
        <v>0.01</v>
      </c>
      <c r="L773" s="84">
        <f t="shared" si="5"/>
        <v>772</v>
      </c>
      <c r="M773" s="85" t="s">
        <v>181</v>
      </c>
    </row>
    <row r="774" ht="22.5" customHeight="1">
      <c r="A774" s="83">
        <v>46196.0</v>
      </c>
      <c r="B774" s="84" t="str">
        <f t="shared" si="1"/>
        <v>Jun 2026</v>
      </c>
      <c r="C774" s="84">
        <f t="shared" si="2"/>
        <v>26</v>
      </c>
      <c r="D774" s="85" t="s">
        <v>159</v>
      </c>
      <c r="E774" s="85" t="s">
        <v>165</v>
      </c>
      <c r="F774" s="86" t="s">
        <v>258</v>
      </c>
      <c r="G774" s="86" t="s">
        <v>169</v>
      </c>
      <c r="H774" s="88">
        <f t="shared" si="3"/>
        <v>0.11</v>
      </c>
      <c r="I774" s="89">
        <v>0.1</v>
      </c>
      <c r="J774" s="130"/>
      <c r="K774" s="89">
        <f t="shared" si="4"/>
        <v>0.01</v>
      </c>
      <c r="L774" s="84">
        <f t="shared" si="5"/>
        <v>773</v>
      </c>
      <c r="M774" s="85" t="s">
        <v>181</v>
      </c>
    </row>
    <row r="775" ht="22.5" customHeight="1">
      <c r="A775" s="83">
        <v>46196.0</v>
      </c>
      <c r="B775" s="84" t="str">
        <f t="shared" si="1"/>
        <v>Jun 2026</v>
      </c>
      <c r="C775" s="84">
        <f t="shared" si="2"/>
        <v>26</v>
      </c>
      <c r="D775" s="85" t="s">
        <v>129</v>
      </c>
      <c r="E775" s="85" t="s">
        <v>165</v>
      </c>
      <c r="F775" s="86" t="s">
        <v>262</v>
      </c>
      <c r="G775" s="86" t="s">
        <v>221</v>
      </c>
      <c r="H775" s="88">
        <f t="shared" si="3"/>
        <v>0.7337</v>
      </c>
      <c r="I775" s="89">
        <v>0.667</v>
      </c>
      <c r="J775" s="130"/>
      <c r="K775" s="89">
        <f t="shared" si="4"/>
        <v>0.0667</v>
      </c>
      <c r="L775" s="84">
        <f t="shared" si="5"/>
        <v>774</v>
      </c>
      <c r="M775" s="85" t="s">
        <v>133</v>
      </c>
    </row>
    <row r="776" ht="22.5" customHeight="1">
      <c r="A776" s="83">
        <v>46196.0</v>
      </c>
      <c r="B776" s="84" t="str">
        <f t="shared" si="1"/>
        <v>Jun 2026</v>
      </c>
      <c r="C776" s="84">
        <f t="shared" si="2"/>
        <v>26</v>
      </c>
      <c r="D776" s="85" t="s">
        <v>159</v>
      </c>
      <c r="E776" s="85" t="s">
        <v>165</v>
      </c>
      <c r="F776" s="86" t="s">
        <v>233</v>
      </c>
      <c r="G776" s="87" t="s">
        <v>210</v>
      </c>
      <c r="H776" s="88">
        <f t="shared" si="3"/>
        <v>0.11</v>
      </c>
      <c r="I776" s="89">
        <v>0.1</v>
      </c>
      <c r="J776" s="130"/>
      <c r="K776" s="89">
        <f t="shared" si="4"/>
        <v>0.01</v>
      </c>
      <c r="L776" s="84">
        <f t="shared" si="5"/>
        <v>775</v>
      </c>
      <c r="M776" s="85" t="s">
        <v>181</v>
      </c>
    </row>
    <row r="777" ht="22.5" customHeight="1">
      <c r="A777" s="83">
        <v>46196.0</v>
      </c>
      <c r="B777" s="84" t="str">
        <f t="shared" si="1"/>
        <v>Jun 2026</v>
      </c>
      <c r="C777" s="84">
        <f t="shared" si="2"/>
        <v>26</v>
      </c>
      <c r="D777" s="85" t="s">
        <v>159</v>
      </c>
      <c r="E777" s="85" t="s">
        <v>165</v>
      </c>
      <c r="F777" s="86" t="s">
        <v>247</v>
      </c>
      <c r="G777" s="87" t="s">
        <v>183</v>
      </c>
      <c r="H777" s="88">
        <f t="shared" si="3"/>
        <v>0.11</v>
      </c>
      <c r="I777" s="89">
        <v>0.1</v>
      </c>
      <c r="J777" s="130"/>
      <c r="K777" s="89">
        <f t="shared" si="4"/>
        <v>0.01</v>
      </c>
      <c r="L777" s="84">
        <f t="shared" si="5"/>
        <v>776</v>
      </c>
      <c r="M777" s="85" t="s">
        <v>181</v>
      </c>
    </row>
    <row r="778" ht="22.5" customHeight="1">
      <c r="A778" s="83">
        <v>46196.0</v>
      </c>
      <c r="B778" s="84" t="str">
        <f t="shared" si="1"/>
        <v>Jun 2026</v>
      </c>
      <c r="C778" s="84">
        <f t="shared" si="2"/>
        <v>26</v>
      </c>
      <c r="D778" s="85" t="s">
        <v>159</v>
      </c>
      <c r="E778" s="85" t="s">
        <v>165</v>
      </c>
      <c r="F778" s="86" t="s">
        <v>229</v>
      </c>
      <c r="G778" s="86" t="s">
        <v>213</v>
      </c>
      <c r="H778" s="88">
        <f t="shared" si="3"/>
        <v>0.11</v>
      </c>
      <c r="I778" s="89">
        <v>0.1</v>
      </c>
      <c r="J778" s="130"/>
      <c r="K778" s="89">
        <f t="shared" si="4"/>
        <v>0.01</v>
      </c>
      <c r="L778" s="84">
        <f t="shared" si="5"/>
        <v>777</v>
      </c>
      <c r="M778" s="85" t="s">
        <v>133</v>
      </c>
    </row>
    <row r="779" ht="22.5" customHeight="1">
      <c r="A779" s="83">
        <v>46196.0</v>
      </c>
      <c r="B779" s="84" t="str">
        <f t="shared" si="1"/>
        <v>Jun 2026</v>
      </c>
      <c r="C779" s="84">
        <f t="shared" si="2"/>
        <v>26</v>
      </c>
      <c r="D779" s="85" t="s">
        <v>159</v>
      </c>
      <c r="E779" s="85" t="s">
        <v>165</v>
      </c>
      <c r="F779" s="86" t="s">
        <v>172</v>
      </c>
      <c r="G779" s="87" t="s">
        <v>62</v>
      </c>
      <c r="H779" s="88">
        <f t="shared" si="3"/>
        <v>0.11</v>
      </c>
      <c r="I779" s="89">
        <v>0.1</v>
      </c>
      <c r="J779" s="130"/>
      <c r="K779" s="89">
        <f t="shared" si="4"/>
        <v>0.01</v>
      </c>
      <c r="L779" s="84">
        <f t="shared" si="5"/>
        <v>778</v>
      </c>
      <c r="M779" s="85" t="s">
        <v>181</v>
      </c>
    </row>
    <row r="780" ht="22.5" customHeight="1">
      <c r="A780" s="83">
        <v>46196.0</v>
      </c>
      <c r="B780" s="84" t="str">
        <f t="shared" si="1"/>
        <v>Jun 2026</v>
      </c>
      <c r="C780" s="84">
        <f t="shared" si="2"/>
        <v>26</v>
      </c>
      <c r="D780" s="85" t="s">
        <v>159</v>
      </c>
      <c r="E780" s="85" t="s">
        <v>165</v>
      </c>
      <c r="F780" s="86" t="s">
        <v>236</v>
      </c>
      <c r="G780" s="87" t="s">
        <v>170</v>
      </c>
      <c r="H780" s="88">
        <f t="shared" si="3"/>
        <v>0.11</v>
      </c>
      <c r="I780" s="89">
        <v>0.1</v>
      </c>
      <c r="J780" s="130"/>
      <c r="K780" s="89">
        <f t="shared" si="4"/>
        <v>0.01</v>
      </c>
      <c r="L780" s="84">
        <f t="shared" si="5"/>
        <v>779</v>
      </c>
      <c r="M780" s="85" t="s">
        <v>133</v>
      </c>
    </row>
    <row r="781" ht="22.5" customHeight="1">
      <c r="A781" s="83">
        <v>46196.0</v>
      </c>
      <c r="B781" s="84" t="str">
        <f t="shared" si="1"/>
        <v>Jun 2026</v>
      </c>
      <c r="C781" s="84">
        <f t="shared" si="2"/>
        <v>26</v>
      </c>
      <c r="D781" s="85" t="s">
        <v>159</v>
      </c>
      <c r="E781" s="85" t="s">
        <v>165</v>
      </c>
      <c r="F781" s="86" t="s">
        <v>173</v>
      </c>
      <c r="G781" s="87" t="s">
        <v>174</v>
      </c>
      <c r="H781" s="88">
        <f t="shared" si="3"/>
        <v>0.11</v>
      </c>
      <c r="I781" s="89">
        <v>0.1</v>
      </c>
      <c r="J781" s="130"/>
      <c r="K781" s="89">
        <f t="shared" si="4"/>
        <v>0.01</v>
      </c>
      <c r="L781" s="84">
        <f t="shared" si="5"/>
        <v>780</v>
      </c>
      <c r="M781" s="85" t="s">
        <v>181</v>
      </c>
    </row>
    <row r="782" ht="22.5" customHeight="1">
      <c r="A782" s="83">
        <v>46196.0</v>
      </c>
      <c r="B782" s="84" t="str">
        <f t="shared" si="1"/>
        <v>Jun 2026</v>
      </c>
      <c r="C782" s="84">
        <f t="shared" si="2"/>
        <v>26</v>
      </c>
      <c r="D782" s="85" t="s">
        <v>159</v>
      </c>
      <c r="E782" s="85" t="s">
        <v>165</v>
      </c>
      <c r="F782" s="86" t="s">
        <v>244</v>
      </c>
      <c r="G782" s="87" t="s">
        <v>206</v>
      </c>
      <c r="H782" s="88">
        <f t="shared" si="3"/>
        <v>0.11</v>
      </c>
      <c r="I782" s="89">
        <v>0.1</v>
      </c>
      <c r="J782" s="130"/>
      <c r="K782" s="89">
        <f t="shared" si="4"/>
        <v>0.01</v>
      </c>
      <c r="L782" s="84">
        <f t="shared" si="5"/>
        <v>781</v>
      </c>
      <c r="M782" s="85" t="s">
        <v>181</v>
      </c>
    </row>
    <row r="783" ht="22.5" customHeight="1">
      <c r="A783" s="83">
        <v>46196.0</v>
      </c>
      <c r="B783" s="84" t="str">
        <f t="shared" si="1"/>
        <v>Jun 2026</v>
      </c>
      <c r="C783" s="84">
        <f t="shared" si="2"/>
        <v>26</v>
      </c>
      <c r="D783" s="85" t="s">
        <v>159</v>
      </c>
      <c r="E783" s="85" t="s">
        <v>165</v>
      </c>
      <c r="F783" s="86" t="s">
        <v>233</v>
      </c>
      <c r="G783" s="87" t="s">
        <v>210</v>
      </c>
      <c r="H783" s="88">
        <f t="shared" si="3"/>
        <v>0.11</v>
      </c>
      <c r="I783" s="89">
        <v>0.1</v>
      </c>
      <c r="J783" s="130"/>
      <c r="K783" s="89">
        <f t="shared" si="4"/>
        <v>0.01</v>
      </c>
      <c r="L783" s="84">
        <f t="shared" si="5"/>
        <v>782</v>
      </c>
      <c r="M783" s="85" t="s">
        <v>181</v>
      </c>
    </row>
    <row r="784" ht="22.5" customHeight="1">
      <c r="A784" s="83">
        <v>46196.0</v>
      </c>
      <c r="B784" s="84" t="str">
        <f t="shared" si="1"/>
        <v>Jun 2026</v>
      </c>
      <c r="C784" s="84">
        <f t="shared" si="2"/>
        <v>26</v>
      </c>
      <c r="D784" s="85" t="s">
        <v>129</v>
      </c>
      <c r="E784" s="85" t="s">
        <v>165</v>
      </c>
      <c r="F784" s="86" t="s">
        <v>131</v>
      </c>
      <c r="G784" s="87" t="s">
        <v>132</v>
      </c>
      <c r="H784" s="88">
        <f t="shared" si="3"/>
        <v>0.7337</v>
      </c>
      <c r="I784" s="89">
        <v>0.667</v>
      </c>
      <c r="J784" s="130"/>
      <c r="K784" s="89">
        <f t="shared" si="4"/>
        <v>0.0667</v>
      </c>
      <c r="L784" s="84">
        <f t="shared" si="5"/>
        <v>783</v>
      </c>
      <c r="M784" s="85" t="s">
        <v>133</v>
      </c>
    </row>
    <row r="785" ht="22.5" customHeight="1">
      <c r="A785" s="83">
        <v>46196.0</v>
      </c>
      <c r="B785" s="84" t="str">
        <f t="shared" si="1"/>
        <v>Jun 2026</v>
      </c>
      <c r="C785" s="84">
        <f t="shared" si="2"/>
        <v>26</v>
      </c>
      <c r="D785" s="85" t="s">
        <v>161</v>
      </c>
      <c r="E785" s="85" t="s">
        <v>165</v>
      </c>
      <c r="F785" s="86" t="s">
        <v>232</v>
      </c>
      <c r="G785" s="87" t="s">
        <v>75</v>
      </c>
      <c r="H785" s="88">
        <f t="shared" si="3"/>
        <v>0.11</v>
      </c>
      <c r="I785" s="89">
        <v>0.1</v>
      </c>
      <c r="J785" s="130"/>
      <c r="K785" s="89">
        <f t="shared" si="4"/>
        <v>0.01</v>
      </c>
      <c r="L785" s="84">
        <f t="shared" si="5"/>
        <v>784</v>
      </c>
      <c r="M785" s="85" t="s">
        <v>133</v>
      </c>
    </row>
    <row r="786" ht="22.5" customHeight="1">
      <c r="A786" s="83">
        <v>46196.0</v>
      </c>
      <c r="B786" s="84" t="str">
        <f t="shared" si="1"/>
        <v>Jun 2026</v>
      </c>
      <c r="C786" s="84">
        <f t="shared" si="2"/>
        <v>26</v>
      </c>
      <c r="D786" s="85" t="s">
        <v>129</v>
      </c>
      <c r="E786" s="85" t="s">
        <v>165</v>
      </c>
      <c r="F786" s="86" t="s">
        <v>262</v>
      </c>
      <c r="G786" s="86" t="s">
        <v>221</v>
      </c>
      <c r="H786" s="88">
        <f t="shared" si="3"/>
        <v>0.7337</v>
      </c>
      <c r="I786" s="89">
        <v>0.667</v>
      </c>
      <c r="J786" s="130"/>
      <c r="K786" s="89">
        <f t="shared" si="4"/>
        <v>0.0667</v>
      </c>
      <c r="L786" s="84">
        <f t="shared" si="5"/>
        <v>785</v>
      </c>
      <c r="M786" s="85" t="s">
        <v>133</v>
      </c>
    </row>
    <row r="787" ht="22.5" customHeight="1">
      <c r="A787" s="83">
        <v>46196.0</v>
      </c>
      <c r="B787" s="84" t="str">
        <f t="shared" si="1"/>
        <v>Jun 2026</v>
      </c>
      <c r="C787" s="84">
        <f t="shared" si="2"/>
        <v>26</v>
      </c>
      <c r="D787" s="85" t="s">
        <v>129</v>
      </c>
      <c r="E787" s="85" t="s">
        <v>165</v>
      </c>
      <c r="F787" s="86" t="s">
        <v>131</v>
      </c>
      <c r="G787" s="87" t="s">
        <v>132</v>
      </c>
      <c r="H787" s="88">
        <f t="shared" si="3"/>
        <v>0.7337</v>
      </c>
      <c r="I787" s="89">
        <v>0.667</v>
      </c>
      <c r="J787" s="130"/>
      <c r="K787" s="89">
        <f t="shared" si="4"/>
        <v>0.0667</v>
      </c>
      <c r="L787" s="84">
        <f t="shared" si="5"/>
        <v>786</v>
      </c>
      <c r="M787" s="85" t="s">
        <v>133</v>
      </c>
    </row>
    <row r="788" ht="22.5" customHeight="1">
      <c r="A788" s="83">
        <v>46196.0</v>
      </c>
      <c r="B788" s="84" t="str">
        <f t="shared" si="1"/>
        <v>Jun 2026</v>
      </c>
      <c r="C788" s="84">
        <f t="shared" si="2"/>
        <v>26</v>
      </c>
      <c r="D788" s="85" t="s">
        <v>159</v>
      </c>
      <c r="E788" s="85" t="s">
        <v>165</v>
      </c>
      <c r="F788" s="86" t="s">
        <v>247</v>
      </c>
      <c r="G788" s="87" t="s">
        <v>183</v>
      </c>
      <c r="H788" s="88">
        <f t="shared" si="3"/>
        <v>0.11</v>
      </c>
      <c r="I788" s="89">
        <v>0.1</v>
      </c>
      <c r="J788" s="130"/>
      <c r="K788" s="89">
        <f t="shared" si="4"/>
        <v>0.01</v>
      </c>
      <c r="L788" s="84">
        <f t="shared" si="5"/>
        <v>787</v>
      </c>
      <c r="M788" s="85" t="s">
        <v>181</v>
      </c>
    </row>
    <row r="789" ht="22.5" customHeight="1">
      <c r="A789" s="83">
        <v>46196.0</v>
      </c>
      <c r="B789" s="84" t="str">
        <f t="shared" si="1"/>
        <v>Jun 2026</v>
      </c>
      <c r="C789" s="84">
        <f t="shared" si="2"/>
        <v>26</v>
      </c>
      <c r="D789" s="85" t="s">
        <v>129</v>
      </c>
      <c r="E789" s="85" t="s">
        <v>165</v>
      </c>
      <c r="F789" s="86" t="s">
        <v>262</v>
      </c>
      <c r="G789" s="86" t="s">
        <v>221</v>
      </c>
      <c r="H789" s="88">
        <f t="shared" si="3"/>
        <v>0.7337</v>
      </c>
      <c r="I789" s="89">
        <v>0.667</v>
      </c>
      <c r="J789" s="130"/>
      <c r="K789" s="89">
        <f t="shared" si="4"/>
        <v>0.0667</v>
      </c>
      <c r="L789" s="84">
        <f t="shared" si="5"/>
        <v>788</v>
      </c>
      <c r="M789" s="85" t="s">
        <v>133</v>
      </c>
    </row>
    <row r="790" ht="22.5" customHeight="1">
      <c r="A790" s="83">
        <v>46196.0</v>
      </c>
      <c r="B790" s="84" t="str">
        <f t="shared" si="1"/>
        <v>Jun 2026</v>
      </c>
      <c r="C790" s="84">
        <f t="shared" si="2"/>
        <v>26</v>
      </c>
      <c r="D790" s="85" t="s">
        <v>129</v>
      </c>
      <c r="E790" s="85" t="s">
        <v>165</v>
      </c>
      <c r="F790" s="86" t="s">
        <v>131</v>
      </c>
      <c r="G790" s="87" t="s">
        <v>132</v>
      </c>
      <c r="H790" s="88">
        <f t="shared" si="3"/>
        <v>0.7337</v>
      </c>
      <c r="I790" s="89">
        <v>0.667</v>
      </c>
      <c r="J790" s="130"/>
      <c r="K790" s="89">
        <f t="shared" si="4"/>
        <v>0.0667</v>
      </c>
      <c r="L790" s="84">
        <f t="shared" si="5"/>
        <v>789</v>
      </c>
      <c r="M790" s="85" t="s">
        <v>133</v>
      </c>
    </row>
    <row r="791" ht="22.5" customHeight="1">
      <c r="A791" s="83">
        <v>46196.0</v>
      </c>
      <c r="B791" s="84" t="str">
        <f t="shared" si="1"/>
        <v>Jun 2026</v>
      </c>
      <c r="C791" s="84">
        <f t="shared" si="2"/>
        <v>26</v>
      </c>
      <c r="D791" s="85" t="s">
        <v>159</v>
      </c>
      <c r="E791" s="85" t="s">
        <v>167</v>
      </c>
      <c r="F791" s="86" t="s">
        <v>247</v>
      </c>
      <c r="G791" s="87" t="s">
        <v>183</v>
      </c>
      <c r="H791" s="88">
        <f t="shared" si="3"/>
        <v>0.11</v>
      </c>
      <c r="I791" s="89">
        <v>0.1</v>
      </c>
      <c r="J791" s="130"/>
      <c r="K791" s="89">
        <f t="shared" si="4"/>
        <v>0.01</v>
      </c>
      <c r="L791" s="84">
        <f t="shared" si="5"/>
        <v>790</v>
      </c>
      <c r="M791" s="85" t="s">
        <v>181</v>
      </c>
    </row>
    <row r="792" ht="22.5" customHeight="1">
      <c r="A792" s="83">
        <v>46196.0</v>
      </c>
      <c r="B792" s="84" t="str">
        <f t="shared" si="1"/>
        <v>Jun 2026</v>
      </c>
      <c r="C792" s="84">
        <f t="shared" si="2"/>
        <v>26</v>
      </c>
      <c r="D792" s="85" t="s">
        <v>159</v>
      </c>
      <c r="E792" s="85" t="s">
        <v>167</v>
      </c>
      <c r="F792" s="86" t="s">
        <v>247</v>
      </c>
      <c r="G792" s="87" t="s">
        <v>183</v>
      </c>
      <c r="H792" s="88">
        <f t="shared" si="3"/>
        <v>0.11</v>
      </c>
      <c r="I792" s="89">
        <v>0.1</v>
      </c>
      <c r="J792" s="130"/>
      <c r="K792" s="89">
        <f t="shared" si="4"/>
        <v>0.01</v>
      </c>
      <c r="L792" s="84">
        <f t="shared" si="5"/>
        <v>791</v>
      </c>
      <c r="M792" s="85" t="s">
        <v>181</v>
      </c>
    </row>
    <row r="793" ht="22.5" customHeight="1">
      <c r="A793" s="83">
        <v>46196.0</v>
      </c>
      <c r="B793" s="84" t="str">
        <f t="shared" si="1"/>
        <v>Jun 2026</v>
      </c>
      <c r="C793" s="84">
        <f t="shared" si="2"/>
        <v>26</v>
      </c>
      <c r="D793" s="85" t="s">
        <v>159</v>
      </c>
      <c r="E793" s="85" t="s">
        <v>167</v>
      </c>
      <c r="F793" s="86" t="s">
        <v>261</v>
      </c>
      <c r="G793" s="86" t="s">
        <v>193</v>
      </c>
      <c r="H793" s="88">
        <f t="shared" si="3"/>
        <v>0.11</v>
      </c>
      <c r="I793" s="89">
        <v>0.1</v>
      </c>
      <c r="J793" s="130"/>
      <c r="K793" s="89">
        <f t="shared" si="4"/>
        <v>0.01</v>
      </c>
      <c r="L793" s="84">
        <f t="shared" si="5"/>
        <v>792</v>
      </c>
      <c r="M793" s="85" t="s">
        <v>181</v>
      </c>
    </row>
    <row r="794" ht="22.5" customHeight="1">
      <c r="A794" s="83">
        <v>46196.0</v>
      </c>
      <c r="B794" s="84" t="str">
        <f t="shared" si="1"/>
        <v>Jun 2026</v>
      </c>
      <c r="C794" s="84">
        <f t="shared" si="2"/>
        <v>26</v>
      </c>
      <c r="D794" s="85" t="s">
        <v>159</v>
      </c>
      <c r="E794" s="85" t="s">
        <v>167</v>
      </c>
      <c r="F794" s="86" t="s">
        <v>258</v>
      </c>
      <c r="G794" s="86" t="s">
        <v>169</v>
      </c>
      <c r="H794" s="88">
        <f t="shared" si="3"/>
        <v>0.11</v>
      </c>
      <c r="I794" s="89">
        <v>0.1</v>
      </c>
      <c r="J794" s="130"/>
      <c r="K794" s="89">
        <f t="shared" si="4"/>
        <v>0.01</v>
      </c>
      <c r="L794" s="84">
        <f t="shared" si="5"/>
        <v>793</v>
      </c>
      <c r="M794" s="85" t="s">
        <v>181</v>
      </c>
    </row>
    <row r="795" ht="22.5" customHeight="1">
      <c r="A795" s="83">
        <v>46196.0</v>
      </c>
      <c r="B795" s="84" t="str">
        <f t="shared" si="1"/>
        <v>Jun 2026</v>
      </c>
      <c r="C795" s="84">
        <f t="shared" si="2"/>
        <v>26</v>
      </c>
      <c r="D795" s="85" t="s">
        <v>159</v>
      </c>
      <c r="E795" s="85" t="s">
        <v>167</v>
      </c>
      <c r="F795" s="86" t="s">
        <v>229</v>
      </c>
      <c r="G795" s="86" t="s">
        <v>213</v>
      </c>
      <c r="H795" s="88">
        <f t="shared" si="3"/>
        <v>0.11</v>
      </c>
      <c r="I795" s="89">
        <v>0.1</v>
      </c>
      <c r="J795" s="130"/>
      <c r="K795" s="89">
        <f t="shared" si="4"/>
        <v>0.01</v>
      </c>
      <c r="L795" s="84">
        <f t="shared" si="5"/>
        <v>794</v>
      </c>
      <c r="M795" s="85" t="s">
        <v>133</v>
      </c>
    </row>
    <row r="796" ht="22.5" customHeight="1">
      <c r="A796" s="83">
        <v>46196.0</v>
      </c>
      <c r="B796" s="84" t="str">
        <f t="shared" si="1"/>
        <v>Jun 2026</v>
      </c>
      <c r="C796" s="84">
        <f t="shared" si="2"/>
        <v>26</v>
      </c>
      <c r="D796" s="85" t="s">
        <v>129</v>
      </c>
      <c r="E796" s="85" t="s">
        <v>167</v>
      </c>
      <c r="F796" s="86" t="s">
        <v>262</v>
      </c>
      <c r="G796" s="86" t="s">
        <v>221</v>
      </c>
      <c r="H796" s="88">
        <f t="shared" si="3"/>
        <v>0.7337</v>
      </c>
      <c r="I796" s="89">
        <v>0.667</v>
      </c>
      <c r="J796" s="130"/>
      <c r="K796" s="89">
        <f t="shared" si="4"/>
        <v>0.0667</v>
      </c>
      <c r="L796" s="84">
        <f t="shared" si="5"/>
        <v>795</v>
      </c>
      <c r="M796" s="85" t="s">
        <v>133</v>
      </c>
    </row>
    <row r="797" ht="22.5" customHeight="1">
      <c r="A797" s="83">
        <v>46196.0</v>
      </c>
      <c r="B797" s="84" t="str">
        <f t="shared" si="1"/>
        <v>Jun 2026</v>
      </c>
      <c r="C797" s="84">
        <f t="shared" si="2"/>
        <v>26</v>
      </c>
      <c r="D797" s="85" t="s">
        <v>129</v>
      </c>
      <c r="E797" s="85" t="s">
        <v>167</v>
      </c>
      <c r="F797" s="86" t="s">
        <v>262</v>
      </c>
      <c r="G797" s="86" t="s">
        <v>221</v>
      </c>
      <c r="H797" s="88">
        <f t="shared" si="3"/>
        <v>0.7337</v>
      </c>
      <c r="I797" s="89">
        <v>0.667</v>
      </c>
      <c r="J797" s="130"/>
      <c r="K797" s="89">
        <f t="shared" si="4"/>
        <v>0.0667</v>
      </c>
      <c r="L797" s="84">
        <f t="shared" si="5"/>
        <v>796</v>
      </c>
      <c r="M797" s="85" t="s">
        <v>133</v>
      </c>
    </row>
    <row r="798" ht="22.5" customHeight="1">
      <c r="A798" s="83">
        <v>46196.0</v>
      </c>
      <c r="B798" s="84" t="str">
        <f t="shared" si="1"/>
        <v>Jun 2026</v>
      </c>
      <c r="C798" s="84">
        <f t="shared" si="2"/>
        <v>26</v>
      </c>
      <c r="D798" s="85" t="s">
        <v>159</v>
      </c>
      <c r="E798" s="85" t="s">
        <v>167</v>
      </c>
      <c r="F798" s="86" t="s">
        <v>261</v>
      </c>
      <c r="G798" s="86" t="s">
        <v>193</v>
      </c>
      <c r="H798" s="88">
        <f t="shared" si="3"/>
        <v>0.11</v>
      </c>
      <c r="I798" s="89">
        <v>0.1</v>
      </c>
      <c r="J798" s="130"/>
      <c r="K798" s="89">
        <f t="shared" si="4"/>
        <v>0.01</v>
      </c>
      <c r="L798" s="84">
        <f t="shared" si="5"/>
        <v>797</v>
      </c>
      <c r="M798" s="85" t="s">
        <v>181</v>
      </c>
    </row>
    <row r="799" ht="22.5" customHeight="1">
      <c r="A799" s="83">
        <v>46196.0</v>
      </c>
      <c r="B799" s="84" t="str">
        <f t="shared" si="1"/>
        <v>Jun 2026</v>
      </c>
      <c r="C799" s="84">
        <f t="shared" si="2"/>
        <v>26</v>
      </c>
      <c r="D799" s="85" t="s">
        <v>159</v>
      </c>
      <c r="E799" s="85" t="s">
        <v>167</v>
      </c>
      <c r="F799" s="86" t="s">
        <v>236</v>
      </c>
      <c r="G799" s="87" t="s">
        <v>170</v>
      </c>
      <c r="H799" s="88">
        <f t="shared" si="3"/>
        <v>0.11</v>
      </c>
      <c r="I799" s="89">
        <v>0.1</v>
      </c>
      <c r="J799" s="130"/>
      <c r="K799" s="89">
        <f t="shared" si="4"/>
        <v>0.01</v>
      </c>
      <c r="L799" s="84">
        <f t="shared" si="5"/>
        <v>798</v>
      </c>
      <c r="M799" s="85" t="s">
        <v>181</v>
      </c>
    </row>
    <row r="800" ht="22.5" customHeight="1">
      <c r="A800" s="83">
        <v>46196.0</v>
      </c>
      <c r="B800" s="84" t="str">
        <f t="shared" si="1"/>
        <v>Jun 2026</v>
      </c>
      <c r="C800" s="84">
        <f t="shared" si="2"/>
        <v>26</v>
      </c>
      <c r="D800" s="85" t="s">
        <v>159</v>
      </c>
      <c r="E800" s="85" t="s">
        <v>167</v>
      </c>
      <c r="F800" s="86" t="s">
        <v>258</v>
      </c>
      <c r="G800" s="86" t="s">
        <v>169</v>
      </c>
      <c r="H800" s="88">
        <f t="shared" si="3"/>
        <v>0.11</v>
      </c>
      <c r="I800" s="89">
        <v>0.1</v>
      </c>
      <c r="J800" s="130"/>
      <c r="K800" s="89">
        <f t="shared" si="4"/>
        <v>0.01</v>
      </c>
      <c r="L800" s="84">
        <f t="shared" si="5"/>
        <v>799</v>
      </c>
      <c r="M800" s="85" t="s">
        <v>181</v>
      </c>
    </row>
    <row r="801" ht="22.5" customHeight="1">
      <c r="A801" s="83">
        <v>46196.0</v>
      </c>
      <c r="B801" s="84" t="str">
        <f t="shared" si="1"/>
        <v>Jun 2026</v>
      </c>
      <c r="C801" s="84">
        <f t="shared" si="2"/>
        <v>26</v>
      </c>
      <c r="D801" s="85" t="s">
        <v>129</v>
      </c>
      <c r="E801" s="85" t="s">
        <v>167</v>
      </c>
      <c r="F801" s="86" t="s">
        <v>131</v>
      </c>
      <c r="G801" s="87" t="s">
        <v>132</v>
      </c>
      <c r="H801" s="88">
        <f t="shared" si="3"/>
        <v>0.7337</v>
      </c>
      <c r="I801" s="89">
        <v>0.667</v>
      </c>
      <c r="J801" s="130"/>
      <c r="K801" s="89">
        <f t="shared" si="4"/>
        <v>0.0667</v>
      </c>
      <c r="L801" s="84">
        <f t="shared" si="5"/>
        <v>800</v>
      </c>
      <c r="M801" s="85" t="s">
        <v>133</v>
      </c>
    </row>
    <row r="802" ht="22.5" customHeight="1">
      <c r="A802" s="83">
        <v>46196.0</v>
      </c>
      <c r="B802" s="84" t="str">
        <f t="shared" si="1"/>
        <v>Jun 2026</v>
      </c>
      <c r="C802" s="84">
        <f t="shared" si="2"/>
        <v>26</v>
      </c>
      <c r="D802" s="85" t="s">
        <v>129</v>
      </c>
      <c r="E802" s="85" t="s">
        <v>167</v>
      </c>
      <c r="F802" s="86" t="s">
        <v>131</v>
      </c>
      <c r="G802" s="87" t="s">
        <v>132</v>
      </c>
      <c r="H802" s="88">
        <f t="shared" si="3"/>
        <v>0.7337</v>
      </c>
      <c r="I802" s="89">
        <v>0.667</v>
      </c>
      <c r="J802" s="130"/>
      <c r="K802" s="89">
        <f t="shared" si="4"/>
        <v>0.0667</v>
      </c>
      <c r="L802" s="84">
        <f t="shared" si="5"/>
        <v>801</v>
      </c>
      <c r="M802" s="85" t="s">
        <v>133</v>
      </c>
    </row>
    <row r="803" ht="22.5" customHeight="1">
      <c r="A803" s="83">
        <v>46196.0</v>
      </c>
      <c r="B803" s="84" t="str">
        <f t="shared" si="1"/>
        <v>Jun 2026</v>
      </c>
      <c r="C803" s="84">
        <f t="shared" si="2"/>
        <v>26</v>
      </c>
      <c r="D803" s="85" t="s">
        <v>129</v>
      </c>
      <c r="E803" s="85" t="s">
        <v>167</v>
      </c>
      <c r="F803" s="86" t="s">
        <v>262</v>
      </c>
      <c r="G803" s="86" t="s">
        <v>221</v>
      </c>
      <c r="H803" s="88">
        <f t="shared" si="3"/>
        <v>0.7337</v>
      </c>
      <c r="I803" s="89">
        <v>0.667</v>
      </c>
      <c r="J803" s="130"/>
      <c r="K803" s="89">
        <f t="shared" si="4"/>
        <v>0.0667</v>
      </c>
      <c r="L803" s="84">
        <f t="shared" si="5"/>
        <v>802</v>
      </c>
      <c r="M803" s="85" t="s">
        <v>133</v>
      </c>
    </row>
    <row r="804" ht="22.5" customHeight="1">
      <c r="A804" s="83">
        <v>46196.0</v>
      </c>
      <c r="B804" s="84" t="str">
        <f t="shared" si="1"/>
        <v>Jun 2026</v>
      </c>
      <c r="C804" s="84">
        <f t="shared" si="2"/>
        <v>26</v>
      </c>
      <c r="D804" s="85" t="s">
        <v>129</v>
      </c>
      <c r="E804" s="85" t="s">
        <v>167</v>
      </c>
      <c r="F804" s="86" t="s">
        <v>131</v>
      </c>
      <c r="G804" s="87" t="s">
        <v>132</v>
      </c>
      <c r="H804" s="88">
        <f t="shared" si="3"/>
        <v>0.7337</v>
      </c>
      <c r="I804" s="89">
        <v>0.667</v>
      </c>
      <c r="J804" s="130"/>
      <c r="K804" s="89">
        <f t="shared" si="4"/>
        <v>0.0667</v>
      </c>
      <c r="L804" s="84">
        <f t="shared" si="5"/>
        <v>803</v>
      </c>
      <c r="M804" s="85" t="s">
        <v>133</v>
      </c>
    </row>
    <row r="805" ht="22.5" customHeight="1">
      <c r="A805" s="83">
        <v>46196.0</v>
      </c>
      <c r="B805" s="84" t="str">
        <f t="shared" si="1"/>
        <v>Jun 2026</v>
      </c>
      <c r="C805" s="84">
        <f t="shared" si="2"/>
        <v>26</v>
      </c>
      <c r="D805" s="85" t="s">
        <v>161</v>
      </c>
      <c r="E805" s="85" t="s">
        <v>167</v>
      </c>
      <c r="F805" s="86" t="s">
        <v>232</v>
      </c>
      <c r="G805" s="87" t="s">
        <v>75</v>
      </c>
      <c r="H805" s="88">
        <f t="shared" si="3"/>
        <v>0.11</v>
      </c>
      <c r="I805" s="89">
        <v>0.1</v>
      </c>
      <c r="J805" s="130"/>
      <c r="K805" s="89">
        <f t="shared" si="4"/>
        <v>0.01</v>
      </c>
      <c r="L805" s="84">
        <f t="shared" si="5"/>
        <v>804</v>
      </c>
      <c r="M805" s="85" t="s">
        <v>133</v>
      </c>
    </row>
    <row r="806" ht="22.5" customHeight="1">
      <c r="A806" s="83">
        <v>46196.0</v>
      </c>
      <c r="B806" s="84" t="str">
        <f t="shared" si="1"/>
        <v>Jun 2026</v>
      </c>
      <c r="C806" s="84">
        <f t="shared" si="2"/>
        <v>26</v>
      </c>
      <c r="D806" s="85" t="s">
        <v>161</v>
      </c>
      <c r="E806" s="85" t="s">
        <v>167</v>
      </c>
      <c r="F806" s="86" t="s">
        <v>232</v>
      </c>
      <c r="G806" s="87" t="s">
        <v>75</v>
      </c>
      <c r="H806" s="88">
        <f t="shared" si="3"/>
        <v>0.11</v>
      </c>
      <c r="I806" s="89">
        <v>0.1</v>
      </c>
      <c r="J806" s="130"/>
      <c r="K806" s="89">
        <f t="shared" si="4"/>
        <v>0.01</v>
      </c>
      <c r="L806" s="84">
        <f t="shared" si="5"/>
        <v>805</v>
      </c>
      <c r="M806" s="85" t="s">
        <v>181</v>
      </c>
    </row>
    <row r="807" ht="22.5" customHeight="1">
      <c r="A807" s="83">
        <v>46196.0</v>
      </c>
      <c r="B807" s="84" t="str">
        <f t="shared" si="1"/>
        <v>Jun 2026</v>
      </c>
      <c r="C807" s="84">
        <f t="shared" si="2"/>
        <v>26</v>
      </c>
      <c r="D807" s="85" t="s">
        <v>129</v>
      </c>
      <c r="E807" s="85" t="s">
        <v>167</v>
      </c>
      <c r="F807" s="86" t="s">
        <v>131</v>
      </c>
      <c r="G807" s="87" t="s">
        <v>132</v>
      </c>
      <c r="H807" s="88">
        <f t="shared" si="3"/>
        <v>0.7337</v>
      </c>
      <c r="I807" s="89">
        <v>0.667</v>
      </c>
      <c r="J807" s="130"/>
      <c r="K807" s="89">
        <f t="shared" si="4"/>
        <v>0.0667</v>
      </c>
      <c r="L807" s="84">
        <f t="shared" si="5"/>
        <v>806</v>
      </c>
      <c r="M807" s="85" t="s">
        <v>133</v>
      </c>
    </row>
    <row r="808" ht="22.5" customHeight="1">
      <c r="A808" s="83">
        <v>46196.0</v>
      </c>
      <c r="B808" s="84" t="str">
        <f t="shared" si="1"/>
        <v>Jun 2026</v>
      </c>
      <c r="C808" s="84">
        <f t="shared" si="2"/>
        <v>26</v>
      </c>
      <c r="D808" s="85" t="s">
        <v>159</v>
      </c>
      <c r="E808" s="85" t="s">
        <v>130</v>
      </c>
      <c r="F808" s="86" t="s">
        <v>172</v>
      </c>
      <c r="G808" s="87" t="s">
        <v>62</v>
      </c>
      <c r="H808" s="88">
        <f t="shared" si="3"/>
        <v>0.11</v>
      </c>
      <c r="I808" s="89">
        <v>0.1</v>
      </c>
      <c r="J808" s="130"/>
      <c r="K808" s="89">
        <f t="shared" si="4"/>
        <v>0.01</v>
      </c>
      <c r="L808" s="84">
        <f t="shared" si="5"/>
        <v>807</v>
      </c>
      <c r="M808" s="85" t="s">
        <v>181</v>
      </c>
    </row>
    <row r="809" ht="22.5" customHeight="1">
      <c r="A809" s="83">
        <v>46196.0</v>
      </c>
      <c r="B809" s="84" t="str">
        <f t="shared" si="1"/>
        <v>Jun 2026</v>
      </c>
      <c r="C809" s="84">
        <f t="shared" si="2"/>
        <v>26</v>
      </c>
      <c r="D809" s="85" t="s">
        <v>161</v>
      </c>
      <c r="E809" s="85" t="s">
        <v>130</v>
      </c>
      <c r="F809" s="86" t="s">
        <v>232</v>
      </c>
      <c r="G809" s="87" t="s">
        <v>75</v>
      </c>
      <c r="H809" s="88">
        <f t="shared" si="3"/>
        <v>0.11</v>
      </c>
      <c r="I809" s="89">
        <v>0.1</v>
      </c>
      <c r="J809" s="130"/>
      <c r="K809" s="89">
        <f t="shared" si="4"/>
        <v>0.01</v>
      </c>
      <c r="L809" s="84">
        <f t="shared" si="5"/>
        <v>808</v>
      </c>
      <c r="M809" s="85" t="s">
        <v>133</v>
      </c>
    </row>
    <row r="810" ht="22.5" customHeight="1">
      <c r="A810" s="83">
        <v>46196.0</v>
      </c>
      <c r="B810" s="84" t="str">
        <f t="shared" si="1"/>
        <v>Jun 2026</v>
      </c>
      <c r="C810" s="84">
        <f t="shared" si="2"/>
        <v>26</v>
      </c>
      <c r="D810" s="85" t="s">
        <v>159</v>
      </c>
      <c r="E810" s="85" t="s">
        <v>130</v>
      </c>
      <c r="F810" s="86" t="s">
        <v>236</v>
      </c>
      <c r="G810" s="87" t="s">
        <v>170</v>
      </c>
      <c r="H810" s="88">
        <f t="shared" si="3"/>
        <v>0.11</v>
      </c>
      <c r="I810" s="89">
        <v>0.1</v>
      </c>
      <c r="J810" s="130"/>
      <c r="K810" s="89">
        <f t="shared" si="4"/>
        <v>0.01</v>
      </c>
      <c r="L810" s="84">
        <f t="shared" si="5"/>
        <v>809</v>
      </c>
      <c r="M810" s="85" t="s">
        <v>181</v>
      </c>
    </row>
    <row r="811" ht="22.5" customHeight="1">
      <c r="A811" s="83">
        <v>46196.0</v>
      </c>
      <c r="B811" s="84" t="str">
        <f t="shared" si="1"/>
        <v>Jun 2026</v>
      </c>
      <c r="C811" s="84">
        <f t="shared" si="2"/>
        <v>26</v>
      </c>
      <c r="D811" s="85" t="s">
        <v>161</v>
      </c>
      <c r="E811" s="85" t="s">
        <v>130</v>
      </c>
      <c r="F811" s="86" t="s">
        <v>232</v>
      </c>
      <c r="G811" s="87" t="s">
        <v>75</v>
      </c>
      <c r="H811" s="88">
        <f t="shared" si="3"/>
        <v>0.11</v>
      </c>
      <c r="I811" s="89">
        <v>0.1</v>
      </c>
      <c r="J811" s="130"/>
      <c r="K811" s="89">
        <f t="shared" si="4"/>
        <v>0.01</v>
      </c>
      <c r="L811" s="84">
        <f t="shared" si="5"/>
        <v>810</v>
      </c>
      <c r="M811" s="85" t="s">
        <v>181</v>
      </c>
    </row>
    <row r="812" ht="22.5" customHeight="1">
      <c r="A812" s="83">
        <v>46196.0</v>
      </c>
      <c r="B812" s="84" t="str">
        <f t="shared" si="1"/>
        <v>Jun 2026</v>
      </c>
      <c r="C812" s="84">
        <f t="shared" si="2"/>
        <v>26</v>
      </c>
      <c r="D812" s="85" t="s">
        <v>159</v>
      </c>
      <c r="E812" s="85" t="s">
        <v>130</v>
      </c>
      <c r="F812" s="86" t="s">
        <v>247</v>
      </c>
      <c r="G812" s="87" t="s">
        <v>183</v>
      </c>
      <c r="H812" s="88">
        <f t="shared" si="3"/>
        <v>0.11</v>
      </c>
      <c r="I812" s="89">
        <v>0.1</v>
      </c>
      <c r="J812" s="130"/>
      <c r="K812" s="89">
        <f t="shared" si="4"/>
        <v>0.01</v>
      </c>
      <c r="L812" s="84">
        <f t="shared" si="5"/>
        <v>811</v>
      </c>
      <c r="M812" s="85" t="s">
        <v>181</v>
      </c>
    </row>
    <row r="813" ht="22.5" customHeight="1">
      <c r="A813" s="83">
        <v>46196.0</v>
      </c>
      <c r="B813" s="84" t="str">
        <f t="shared" si="1"/>
        <v>Jun 2026</v>
      </c>
      <c r="C813" s="84">
        <f t="shared" si="2"/>
        <v>26</v>
      </c>
      <c r="D813" s="85" t="s">
        <v>159</v>
      </c>
      <c r="E813" s="85" t="s">
        <v>130</v>
      </c>
      <c r="F813" s="86" t="s">
        <v>261</v>
      </c>
      <c r="G813" s="86" t="s">
        <v>193</v>
      </c>
      <c r="H813" s="88">
        <f t="shared" si="3"/>
        <v>0.11</v>
      </c>
      <c r="I813" s="89">
        <v>0.1</v>
      </c>
      <c r="J813" s="130"/>
      <c r="K813" s="89">
        <f t="shared" si="4"/>
        <v>0.01</v>
      </c>
      <c r="L813" s="84">
        <f t="shared" si="5"/>
        <v>812</v>
      </c>
      <c r="M813" s="85" t="s">
        <v>181</v>
      </c>
    </row>
    <row r="814" ht="22.5" customHeight="1">
      <c r="A814" s="83">
        <v>46196.0</v>
      </c>
      <c r="B814" s="84" t="str">
        <f t="shared" si="1"/>
        <v>Jun 2026</v>
      </c>
      <c r="C814" s="84">
        <f t="shared" si="2"/>
        <v>26</v>
      </c>
      <c r="D814" s="85" t="s">
        <v>129</v>
      </c>
      <c r="E814" s="85" t="s">
        <v>130</v>
      </c>
      <c r="F814" s="86" t="s">
        <v>131</v>
      </c>
      <c r="G814" s="87" t="s">
        <v>132</v>
      </c>
      <c r="H814" s="88">
        <f t="shared" si="3"/>
        <v>0.737</v>
      </c>
      <c r="I814" s="89">
        <v>0.67</v>
      </c>
      <c r="J814" s="130"/>
      <c r="K814" s="89">
        <f t="shared" si="4"/>
        <v>0.067</v>
      </c>
      <c r="L814" s="84">
        <f t="shared" si="5"/>
        <v>813</v>
      </c>
      <c r="M814" s="85" t="s">
        <v>133</v>
      </c>
    </row>
    <row r="815" ht="22.5" customHeight="1">
      <c r="A815" s="83">
        <v>46196.0</v>
      </c>
      <c r="B815" s="84" t="str">
        <f t="shared" si="1"/>
        <v>Jun 2026</v>
      </c>
      <c r="C815" s="84">
        <f t="shared" si="2"/>
        <v>26</v>
      </c>
      <c r="D815" s="85" t="s">
        <v>129</v>
      </c>
      <c r="E815" s="85" t="s">
        <v>130</v>
      </c>
      <c r="F815" s="86" t="s">
        <v>131</v>
      </c>
      <c r="G815" s="87" t="s">
        <v>132</v>
      </c>
      <c r="H815" s="88">
        <f t="shared" si="3"/>
        <v>0.737</v>
      </c>
      <c r="I815" s="89">
        <v>0.67</v>
      </c>
      <c r="J815" s="130"/>
      <c r="K815" s="89">
        <f t="shared" si="4"/>
        <v>0.067</v>
      </c>
      <c r="L815" s="84">
        <f t="shared" si="5"/>
        <v>814</v>
      </c>
      <c r="M815" s="85" t="s">
        <v>133</v>
      </c>
    </row>
    <row r="816" ht="22.5" customHeight="1">
      <c r="A816" s="83">
        <v>46196.0</v>
      </c>
      <c r="B816" s="84" t="str">
        <f t="shared" si="1"/>
        <v>Jun 2026</v>
      </c>
      <c r="C816" s="84">
        <f t="shared" si="2"/>
        <v>26</v>
      </c>
      <c r="D816" s="85" t="s">
        <v>129</v>
      </c>
      <c r="E816" s="85" t="s">
        <v>130</v>
      </c>
      <c r="F816" s="86" t="s">
        <v>262</v>
      </c>
      <c r="G816" s="86" t="s">
        <v>221</v>
      </c>
      <c r="H816" s="88">
        <f t="shared" si="3"/>
        <v>0.737</v>
      </c>
      <c r="I816" s="89">
        <v>0.67</v>
      </c>
      <c r="J816" s="130"/>
      <c r="K816" s="89">
        <f t="shared" si="4"/>
        <v>0.067</v>
      </c>
      <c r="L816" s="84">
        <f t="shared" si="5"/>
        <v>815</v>
      </c>
      <c r="M816" s="85" t="s">
        <v>133</v>
      </c>
    </row>
    <row r="817" ht="22.5" customHeight="1">
      <c r="A817" s="83">
        <v>46196.0</v>
      </c>
      <c r="B817" s="84" t="str">
        <f t="shared" si="1"/>
        <v>Jun 2026</v>
      </c>
      <c r="C817" s="84">
        <f t="shared" si="2"/>
        <v>26</v>
      </c>
      <c r="D817" s="85" t="s">
        <v>129</v>
      </c>
      <c r="E817" s="85" t="s">
        <v>130</v>
      </c>
      <c r="F817" s="86" t="s">
        <v>262</v>
      </c>
      <c r="G817" s="86" t="s">
        <v>221</v>
      </c>
      <c r="H817" s="88">
        <f t="shared" si="3"/>
        <v>0.737</v>
      </c>
      <c r="I817" s="89">
        <v>0.67</v>
      </c>
      <c r="J817" s="130"/>
      <c r="K817" s="89">
        <f t="shared" si="4"/>
        <v>0.067</v>
      </c>
      <c r="L817" s="84">
        <f t="shared" si="5"/>
        <v>816</v>
      </c>
      <c r="M817" s="85" t="s">
        <v>133</v>
      </c>
    </row>
    <row r="818" ht="22.5" customHeight="1">
      <c r="A818" s="83">
        <v>46196.0</v>
      </c>
      <c r="B818" s="84" t="str">
        <f t="shared" si="1"/>
        <v>Jun 2026</v>
      </c>
      <c r="C818" s="84">
        <f t="shared" si="2"/>
        <v>26</v>
      </c>
      <c r="D818" s="85" t="s">
        <v>129</v>
      </c>
      <c r="E818" s="85" t="s">
        <v>130</v>
      </c>
      <c r="F818" s="86" t="s">
        <v>262</v>
      </c>
      <c r="G818" s="86" t="s">
        <v>221</v>
      </c>
      <c r="H818" s="88">
        <f t="shared" si="3"/>
        <v>0.737</v>
      </c>
      <c r="I818" s="89">
        <v>0.67</v>
      </c>
      <c r="J818" s="130"/>
      <c r="K818" s="89">
        <f t="shared" si="4"/>
        <v>0.067</v>
      </c>
      <c r="L818" s="84">
        <f t="shared" si="5"/>
        <v>817</v>
      </c>
      <c r="M818" s="85" t="s">
        <v>133</v>
      </c>
    </row>
    <row r="819" ht="22.5" customHeight="1">
      <c r="A819" s="83">
        <v>46196.0</v>
      </c>
      <c r="B819" s="84" t="str">
        <f t="shared" si="1"/>
        <v>Jun 2026</v>
      </c>
      <c r="C819" s="84">
        <f t="shared" si="2"/>
        <v>26</v>
      </c>
      <c r="D819" s="85" t="s">
        <v>159</v>
      </c>
      <c r="E819" s="85" t="s">
        <v>130</v>
      </c>
      <c r="F819" s="86" t="s">
        <v>261</v>
      </c>
      <c r="G819" s="86" t="s">
        <v>193</v>
      </c>
      <c r="H819" s="88">
        <f t="shared" si="3"/>
        <v>0.11</v>
      </c>
      <c r="I819" s="89">
        <v>0.1</v>
      </c>
      <c r="J819" s="130"/>
      <c r="K819" s="89">
        <f t="shared" si="4"/>
        <v>0.01</v>
      </c>
      <c r="L819" s="84">
        <f t="shared" si="5"/>
        <v>818</v>
      </c>
      <c r="M819" s="85" t="s">
        <v>181</v>
      </c>
    </row>
    <row r="820" ht="22.5" customHeight="1">
      <c r="A820" s="83">
        <v>46196.0</v>
      </c>
      <c r="B820" s="84" t="str">
        <f t="shared" si="1"/>
        <v>Jun 2026</v>
      </c>
      <c r="C820" s="84">
        <f t="shared" si="2"/>
        <v>26</v>
      </c>
      <c r="D820" s="85" t="s">
        <v>159</v>
      </c>
      <c r="E820" s="85" t="s">
        <v>130</v>
      </c>
      <c r="F820" s="86" t="s">
        <v>247</v>
      </c>
      <c r="G820" s="87" t="s">
        <v>183</v>
      </c>
      <c r="H820" s="88">
        <f t="shared" si="3"/>
        <v>0.11</v>
      </c>
      <c r="I820" s="89">
        <v>0.1</v>
      </c>
      <c r="J820" s="130"/>
      <c r="K820" s="89">
        <f t="shared" si="4"/>
        <v>0.01</v>
      </c>
      <c r="L820" s="84">
        <f t="shared" si="5"/>
        <v>819</v>
      </c>
      <c r="M820" s="85" t="s">
        <v>181</v>
      </c>
    </row>
    <row r="821" ht="22.5" customHeight="1">
      <c r="A821" s="83">
        <v>46196.0</v>
      </c>
      <c r="B821" s="84" t="str">
        <f t="shared" si="1"/>
        <v>Jun 2026</v>
      </c>
      <c r="C821" s="84">
        <f t="shared" si="2"/>
        <v>26</v>
      </c>
      <c r="D821" s="85" t="s">
        <v>159</v>
      </c>
      <c r="E821" s="85" t="s">
        <v>130</v>
      </c>
      <c r="F821" s="86" t="s">
        <v>233</v>
      </c>
      <c r="G821" s="87" t="s">
        <v>210</v>
      </c>
      <c r="H821" s="88">
        <f t="shared" si="3"/>
        <v>0.11</v>
      </c>
      <c r="I821" s="89">
        <v>0.1</v>
      </c>
      <c r="J821" s="130"/>
      <c r="K821" s="89">
        <f t="shared" si="4"/>
        <v>0.01</v>
      </c>
      <c r="L821" s="84">
        <f t="shared" si="5"/>
        <v>820</v>
      </c>
      <c r="M821" s="85" t="s">
        <v>181</v>
      </c>
    </row>
    <row r="822" ht="22.5" customHeight="1">
      <c r="A822" s="83">
        <v>46196.0</v>
      </c>
      <c r="B822" s="84" t="str">
        <f t="shared" si="1"/>
        <v>Jun 2026</v>
      </c>
      <c r="C822" s="84">
        <f t="shared" si="2"/>
        <v>26</v>
      </c>
      <c r="D822" s="85" t="s">
        <v>159</v>
      </c>
      <c r="E822" s="85" t="s">
        <v>130</v>
      </c>
      <c r="F822" s="86" t="s">
        <v>244</v>
      </c>
      <c r="G822" s="87" t="s">
        <v>206</v>
      </c>
      <c r="H822" s="88">
        <f t="shared" si="3"/>
        <v>0.11</v>
      </c>
      <c r="I822" s="89">
        <v>0.1</v>
      </c>
      <c r="J822" s="130"/>
      <c r="K822" s="89">
        <f t="shared" si="4"/>
        <v>0.01</v>
      </c>
      <c r="L822" s="84">
        <f t="shared" si="5"/>
        <v>821</v>
      </c>
      <c r="M822" s="85" t="s">
        <v>181</v>
      </c>
    </row>
    <row r="823" ht="22.5" customHeight="1">
      <c r="A823" s="83">
        <v>46196.0</v>
      </c>
      <c r="B823" s="84" t="str">
        <f t="shared" si="1"/>
        <v>Jun 2026</v>
      </c>
      <c r="C823" s="84">
        <f t="shared" si="2"/>
        <v>26</v>
      </c>
      <c r="D823" s="85" t="s">
        <v>159</v>
      </c>
      <c r="E823" s="85" t="s">
        <v>130</v>
      </c>
      <c r="F823" s="86" t="s">
        <v>258</v>
      </c>
      <c r="G823" s="86" t="s">
        <v>169</v>
      </c>
      <c r="H823" s="88">
        <f t="shared" si="3"/>
        <v>0.11</v>
      </c>
      <c r="I823" s="89">
        <v>0.1</v>
      </c>
      <c r="J823" s="130"/>
      <c r="K823" s="89">
        <f t="shared" si="4"/>
        <v>0.01</v>
      </c>
      <c r="L823" s="84">
        <f t="shared" si="5"/>
        <v>822</v>
      </c>
      <c r="M823" s="85" t="s">
        <v>181</v>
      </c>
    </row>
    <row r="824" ht="22.5" customHeight="1">
      <c r="A824" s="83">
        <v>46196.0</v>
      </c>
      <c r="B824" s="84" t="str">
        <f t="shared" si="1"/>
        <v>Jun 2026</v>
      </c>
      <c r="C824" s="84">
        <f t="shared" si="2"/>
        <v>26</v>
      </c>
      <c r="D824" s="85" t="s">
        <v>129</v>
      </c>
      <c r="E824" s="85" t="s">
        <v>130</v>
      </c>
      <c r="F824" s="86" t="s">
        <v>131</v>
      </c>
      <c r="G824" s="87" t="s">
        <v>132</v>
      </c>
      <c r="H824" s="88">
        <f t="shared" si="3"/>
        <v>0.737</v>
      </c>
      <c r="I824" s="89">
        <v>0.67</v>
      </c>
      <c r="J824" s="130"/>
      <c r="K824" s="89">
        <f t="shared" si="4"/>
        <v>0.067</v>
      </c>
      <c r="L824" s="84">
        <f t="shared" si="5"/>
        <v>823</v>
      </c>
      <c r="M824" s="85" t="s">
        <v>133</v>
      </c>
    </row>
    <row r="825" ht="22.5" customHeight="1">
      <c r="A825" s="83">
        <v>46197.0</v>
      </c>
      <c r="B825" s="84" t="str">
        <f t="shared" si="1"/>
        <v>Jun 2026</v>
      </c>
      <c r="C825" s="84">
        <f t="shared" si="2"/>
        <v>26</v>
      </c>
      <c r="D825" s="85" t="s">
        <v>129</v>
      </c>
      <c r="E825" s="85" t="s">
        <v>164</v>
      </c>
      <c r="F825" s="86" t="s">
        <v>131</v>
      </c>
      <c r="G825" s="87" t="s">
        <v>132</v>
      </c>
      <c r="H825" s="88">
        <f t="shared" si="3"/>
        <v>0.7337</v>
      </c>
      <c r="I825" s="89">
        <v>0.667</v>
      </c>
      <c r="J825" s="130"/>
      <c r="K825" s="89">
        <f t="shared" si="4"/>
        <v>0.0667</v>
      </c>
      <c r="L825" s="84">
        <f t="shared" si="5"/>
        <v>824</v>
      </c>
      <c r="M825" s="85" t="s">
        <v>133</v>
      </c>
    </row>
    <row r="826" ht="22.5" customHeight="1">
      <c r="A826" s="83">
        <v>46197.0</v>
      </c>
      <c r="B826" s="84" t="str">
        <f t="shared" si="1"/>
        <v>Jun 2026</v>
      </c>
      <c r="C826" s="84">
        <f t="shared" si="2"/>
        <v>26</v>
      </c>
      <c r="D826" s="85" t="s">
        <v>129</v>
      </c>
      <c r="E826" s="85" t="s">
        <v>164</v>
      </c>
      <c r="F826" s="86" t="s">
        <v>131</v>
      </c>
      <c r="G826" s="87" t="s">
        <v>132</v>
      </c>
      <c r="H826" s="88">
        <f t="shared" si="3"/>
        <v>0.7337</v>
      </c>
      <c r="I826" s="89">
        <v>0.667</v>
      </c>
      <c r="J826" s="130"/>
      <c r="K826" s="89">
        <f t="shared" si="4"/>
        <v>0.0667</v>
      </c>
      <c r="L826" s="84">
        <f t="shared" si="5"/>
        <v>825</v>
      </c>
      <c r="M826" s="85" t="s">
        <v>133</v>
      </c>
    </row>
    <row r="827" ht="22.5" customHeight="1">
      <c r="A827" s="83">
        <v>46197.0</v>
      </c>
      <c r="B827" s="84" t="str">
        <f t="shared" si="1"/>
        <v>Jun 2026</v>
      </c>
      <c r="C827" s="84">
        <f t="shared" si="2"/>
        <v>26</v>
      </c>
      <c r="D827" s="85" t="s">
        <v>129</v>
      </c>
      <c r="E827" s="85" t="s">
        <v>164</v>
      </c>
      <c r="F827" s="86" t="s">
        <v>131</v>
      </c>
      <c r="G827" s="87" t="s">
        <v>132</v>
      </c>
      <c r="H827" s="88">
        <f t="shared" si="3"/>
        <v>0.7337</v>
      </c>
      <c r="I827" s="89">
        <v>0.667</v>
      </c>
      <c r="J827" s="130"/>
      <c r="K827" s="89">
        <f t="shared" si="4"/>
        <v>0.0667</v>
      </c>
      <c r="L827" s="84">
        <f t="shared" si="5"/>
        <v>826</v>
      </c>
      <c r="M827" s="85" t="s">
        <v>133</v>
      </c>
    </row>
    <row r="828" ht="22.5" customHeight="1">
      <c r="A828" s="83">
        <v>46197.0</v>
      </c>
      <c r="B828" s="84" t="str">
        <f t="shared" si="1"/>
        <v>Jun 2026</v>
      </c>
      <c r="C828" s="84">
        <f t="shared" si="2"/>
        <v>26</v>
      </c>
      <c r="D828" s="85" t="s">
        <v>129</v>
      </c>
      <c r="E828" s="85" t="s">
        <v>164</v>
      </c>
      <c r="F828" s="86" t="s">
        <v>131</v>
      </c>
      <c r="G828" s="87" t="s">
        <v>132</v>
      </c>
      <c r="H828" s="88">
        <f t="shared" si="3"/>
        <v>0.7337</v>
      </c>
      <c r="I828" s="89">
        <v>0.667</v>
      </c>
      <c r="J828" s="130"/>
      <c r="K828" s="89">
        <f t="shared" si="4"/>
        <v>0.0667</v>
      </c>
      <c r="L828" s="84">
        <f t="shared" si="5"/>
        <v>827</v>
      </c>
      <c r="M828" s="85" t="s">
        <v>133</v>
      </c>
    </row>
    <row r="829" ht="22.5" customHeight="1">
      <c r="A829" s="83">
        <v>46197.0</v>
      </c>
      <c r="B829" s="84" t="str">
        <f t="shared" si="1"/>
        <v>Jun 2026</v>
      </c>
      <c r="C829" s="84">
        <f t="shared" si="2"/>
        <v>26</v>
      </c>
      <c r="D829" s="85" t="s">
        <v>129</v>
      </c>
      <c r="E829" s="85" t="s">
        <v>164</v>
      </c>
      <c r="F829" s="86" t="s">
        <v>262</v>
      </c>
      <c r="G829" s="86" t="s">
        <v>221</v>
      </c>
      <c r="H829" s="88">
        <f t="shared" si="3"/>
        <v>0.7337</v>
      </c>
      <c r="I829" s="89">
        <v>0.667</v>
      </c>
      <c r="J829" s="130"/>
      <c r="K829" s="89">
        <f t="shared" si="4"/>
        <v>0.0667</v>
      </c>
      <c r="L829" s="84">
        <f t="shared" si="5"/>
        <v>828</v>
      </c>
      <c r="M829" s="85" t="s">
        <v>133</v>
      </c>
    </row>
    <row r="830" ht="22.5" customHeight="1">
      <c r="A830" s="83">
        <v>46197.0</v>
      </c>
      <c r="B830" s="84" t="str">
        <f t="shared" si="1"/>
        <v>Jun 2026</v>
      </c>
      <c r="C830" s="84">
        <f t="shared" si="2"/>
        <v>26</v>
      </c>
      <c r="D830" s="85" t="s">
        <v>129</v>
      </c>
      <c r="E830" s="85" t="s">
        <v>164</v>
      </c>
      <c r="F830" s="86" t="s">
        <v>262</v>
      </c>
      <c r="G830" s="86" t="s">
        <v>221</v>
      </c>
      <c r="H830" s="88">
        <f t="shared" si="3"/>
        <v>0.7337</v>
      </c>
      <c r="I830" s="89">
        <v>0.667</v>
      </c>
      <c r="J830" s="130"/>
      <c r="K830" s="89">
        <f t="shared" si="4"/>
        <v>0.0667</v>
      </c>
      <c r="L830" s="84">
        <f t="shared" si="5"/>
        <v>829</v>
      </c>
      <c r="M830" s="85" t="s">
        <v>133</v>
      </c>
    </row>
    <row r="831" ht="22.5" customHeight="1">
      <c r="A831" s="83">
        <v>46197.0</v>
      </c>
      <c r="B831" s="84" t="str">
        <f t="shared" si="1"/>
        <v>Jun 2026</v>
      </c>
      <c r="C831" s="84">
        <f t="shared" si="2"/>
        <v>26</v>
      </c>
      <c r="D831" s="85" t="s">
        <v>159</v>
      </c>
      <c r="E831" s="85" t="s">
        <v>164</v>
      </c>
      <c r="F831" s="86" t="s">
        <v>258</v>
      </c>
      <c r="G831" s="86" t="s">
        <v>169</v>
      </c>
      <c r="H831" s="88">
        <f t="shared" si="3"/>
        <v>0.11</v>
      </c>
      <c r="I831" s="89">
        <v>0.1</v>
      </c>
      <c r="J831" s="130"/>
      <c r="K831" s="89">
        <f t="shared" si="4"/>
        <v>0.01</v>
      </c>
      <c r="L831" s="84">
        <f t="shared" si="5"/>
        <v>830</v>
      </c>
      <c r="M831" s="85" t="s">
        <v>181</v>
      </c>
    </row>
    <row r="832" ht="22.5" customHeight="1">
      <c r="A832" s="83">
        <v>46197.0</v>
      </c>
      <c r="B832" s="84" t="str">
        <f t="shared" si="1"/>
        <v>Jun 2026</v>
      </c>
      <c r="C832" s="84">
        <f t="shared" si="2"/>
        <v>26</v>
      </c>
      <c r="D832" s="85" t="s">
        <v>129</v>
      </c>
      <c r="E832" s="85" t="s">
        <v>164</v>
      </c>
      <c r="F832" s="86" t="s">
        <v>262</v>
      </c>
      <c r="G832" s="86" t="s">
        <v>221</v>
      </c>
      <c r="H832" s="88">
        <f t="shared" si="3"/>
        <v>0.7337</v>
      </c>
      <c r="I832" s="89">
        <v>0.667</v>
      </c>
      <c r="J832" s="130"/>
      <c r="K832" s="89">
        <f t="shared" si="4"/>
        <v>0.0667</v>
      </c>
      <c r="L832" s="84">
        <f t="shared" si="5"/>
        <v>831</v>
      </c>
      <c r="M832" s="85" t="s">
        <v>133</v>
      </c>
    </row>
    <row r="833" ht="22.5" customHeight="1">
      <c r="A833" s="83">
        <v>46197.0</v>
      </c>
      <c r="B833" s="84" t="str">
        <f t="shared" si="1"/>
        <v>Jun 2026</v>
      </c>
      <c r="C833" s="84">
        <f t="shared" si="2"/>
        <v>26</v>
      </c>
      <c r="D833" s="85" t="s">
        <v>129</v>
      </c>
      <c r="E833" s="85" t="s">
        <v>164</v>
      </c>
      <c r="F833" s="86" t="s">
        <v>131</v>
      </c>
      <c r="G833" s="87" t="s">
        <v>132</v>
      </c>
      <c r="H833" s="88">
        <f t="shared" si="3"/>
        <v>0.7337</v>
      </c>
      <c r="I833" s="89">
        <v>0.667</v>
      </c>
      <c r="J833" s="130"/>
      <c r="K833" s="89">
        <f t="shared" si="4"/>
        <v>0.0667</v>
      </c>
      <c r="L833" s="84">
        <f t="shared" si="5"/>
        <v>832</v>
      </c>
      <c r="M833" s="85" t="s">
        <v>133</v>
      </c>
    </row>
    <row r="834" ht="22.5" customHeight="1">
      <c r="A834" s="83">
        <v>46197.0</v>
      </c>
      <c r="B834" s="84" t="str">
        <f t="shared" si="1"/>
        <v>Jun 2026</v>
      </c>
      <c r="C834" s="84">
        <f t="shared" si="2"/>
        <v>26</v>
      </c>
      <c r="D834" s="85" t="s">
        <v>129</v>
      </c>
      <c r="E834" s="85" t="s">
        <v>164</v>
      </c>
      <c r="F834" s="86" t="s">
        <v>262</v>
      </c>
      <c r="G834" s="86" t="s">
        <v>221</v>
      </c>
      <c r="H834" s="88">
        <f t="shared" si="3"/>
        <v>0.7337</v>
      </c>
      <c r="I834" s="89">
        <v>0.667</v>
      </c>
      <c r="J834" s="130"/>
      <c r="K834" s="89">
        <f t="shared" si="4"/>
        <v>0.0667</v>
      </c>
      <c r="L834" s="84">
        <f t="shared" si="5"/>
        <v>833</v>
      </c>
      <c r="M834" s="85" t="s">
        <v>133</v>
      </c>
    </row>
    <row r="835" ht="22.5" customHeight="1">
      <c r="A835" s="83">
        <v>46197.0</v>
      </c>
      <c r="B835" s="84" t="str">
        <f t="shared" si="1"/>
        <v>Jun 2026</v>
      </c>
      <c r="C835" s="84">
        <f t="shared" si="2"/>
        <v>26</v>
      </c>
      <c r="D835" s="85" t="s">
        <v>129</v>
      </c>
      <c r="E835" s="85" t="s">
        <v>164</v>
      </c>
      <c r="F835" s="86" t="s">
        <v>262</v>
      </c>
      <c r="G835" s="86" t="s">
        <v>221</v>
      </c>
      <c r="H835" s="88">
        <f t="shared" si="3"/>
        <v>0.7337</v>
      </c>
      <c r="I835" s="89">
        <v>0.667</v>
      </c>
      <c r="J835" s="130"/>
      <c r="K835" s="89">
        <f t="shared" si="4"/>
        <v>0.0667</v>
      </c>
      <c r="L835" s="84">
        <f t="shared" si="5"/>
        <v>834</v>
      </c>
      <c r="M835" s="85" t="s">
        <v>133</v>
      </c>
    </row>
    <row r="836" ht="22.5" customHeight="1">
      <c r="A836" s="83">
        <v>46197.0</v>
      </c>
      <c r="B836" s="84" t="str">
        <f t="shared" si="1"/>
        <v>Jun 2026</v>
      </c>
      <c r="C836" s="84">
        <f t="shared" si="2"/>
        <v>26</v>
      </c>
      <c r="D836" s="85" t="s">
        <v>159</v>
      </c>
      <c r="E836" s="85" t="s">
        <v>164</v>
      </c>
      <c r="F836" s="86" t="s">
        <v>233</v>
      </c>
      <c r="G836" s="86" t="s">
        <v>199</v>
      </c>
      <c r="H836" s="88">
        <f t="shared" si="3"/>
        <v>0.11</v>
      </c>
      <c r="I836" s="89">
        <v>0.1</v>
      </c>
      <c r="J836" s="130"/>
      <c r="K836" s="89">
        <f t="shared" si="4"/>
        <v>0.01</v>
      </c>
      <c r="L836" s="84">
        <f t="shared" si="5"/>
        <v>835</v>
      </c>
      <c r="M836" s="85" t="s">
        <v>133</v>
      </c>
    </row>
    <row r="837" ht="22.5" customHeight="1">
      <c r="A837" s="83">
        <v>46197.0</v>
      </c>
      <c r="B837" s="84" t="str">
        <f t="shared" si="1"/>
        <v>Jun 2026</v>
      </c>
      <c r="C837" s="84">
        <f t="shared" si="2"/>
        <v>26</v>
      </c>
      <c r="D837" s="85" t="s">
        <v>159</v>
      </c>
      <c r="E837" s="85" t="s">
        <v>164</v>
      </c>
      <c r="F837" s="86" t="s">
        <v>263</v>
      </c>
      <c r="G837" s="86" t="s">
        <v>205</v>
      </c>
      <c r="H837" s="88">
        <f t="shared" si="3"/>
        <v>0.11</v>
      </c>
      <c r="I837" s="89">
        <v>0.1</v>
      </c>
      <c r="J837" s="130"/>
      <c r="K837" s="89">
        <f t="shared" si="4"/>
        <v>0.01</v>
      </c>
      <c r="L837" s="84">
        <f t="shared" si="5"/>
        <v>836</v>
      </c>
      <c r="M837" s="85" t="s">
        <v>133</v>
      </c>
    </row>
    <row r="838" ht="22.5" customHeight="1">
      <c r="A838" s="83">
        <v>46197.0</v>
      </c>
      <c r="B838" s="84" t="str">
        <f t="shared" si="1"/>
        <v>Jun 2026</v>
      </c>
      <c r="C838" s="84">
        <f t="shared" si="2"/>
        <v>26</v>
      </c>
      <c r="D838" s="85" t="s">
        <v>159</v>
      </c>
      <c r="E838" s="85" t="s">
        <v>164</v>
      </c>
      <c r="F838" s="86" t="s">
        <v>264</v>
      </c>
      <c r="G838" s="86" t="s">
        <v>186</v>
      </c>
      <c r="H838" s="88">
        <f t="shared" si="3"/>
        <v>0.11</v>
      </c>
      <c r="I838" s="89">
        <v>0.1</v>
      </c>
      <c r="J838" s="130"/>
      <c r="K838" s="89">
        <f t="shared" si="4"/>
        <v>0.01</v>
      </c>
      <c r="L838" s="84">
        <f t="shared" si="5"/>
        <v>837</v>
      </c>
      <c r="M838" s="85" t="s">
        <v>133</v>
      </c>
    </row>
    <row r="839" ht="22.5" customHeight="1">
      <c r="A839" s="83">
        <v>46197.0</v>
      </c>
      <c r="B839" s="84" t="str">
        <f t="shared" si="1"/>
        <v>Jun 2026</v>
      </c>
      <c r="C839" s="84">
        <f t="shared" si="2"/>
        <v>26</v>
      </c>
      <c r="D839" s="85" t="s">
        <v>159</v>
      </c>
      <c r="E839" s="85" t="s">
        <v>164</v>
      </c>
      <c r="F839" s="86" t="s">
        <v>253</v>
      </c>
      <c r="G839" s="87" t="s">
        <v>168</v>
      </c>
      <c r="H839" s="88">
        <f t="shared" si="3"/>
        <v>0.11</v>
      </c>
      <c r="I839" s="89">
        <v>0.1</v>
      </c>
      <c r="J839" s="130"/>
      <c r="K839" s="89">
        <f t="shared" si="4"/>
        <v>0.01</v>
      </c>
      <c r="L839" s="84">
        <f t="shared" si="5"/>
        <v>838</v>
      </c>
      <c r="M839" s="85" t="s">
        <v>133</v>
      </c>
    </row>
    <row r="840" ht="22.5" customHeight="1">
      <c r="A840" s="83">
        <v>46197.0</v>
      </c>
      <c r="B840" s="84" t="str">
        <f t="shared" si="1"/>
        <v>Jun 2026</v>
      </c>
      <c r="C840" s="84">
        <f t="shared" si="2"/>
        <v>26</v>
      </c>
      <c r="D840" s="85" t="s">
        <v>159</v>
      </c>
      <c r="E840" s="85" t="s">
        <v>164</v>
      </c>
      <c r="F840" s="86" t="s">
        <v>265</v>
      </c>
      <c r="G840" s="86" t="s">
        <v>201</v>
      </c>
      <c r="H840" s="88">
        <f t="shared" si="3"/>
        <v>0.11</v>
      </c>
      <c r="I840" s="89">
        <v>0.1</v>
      </c>
      <c r="J840" s="130"/>
      <c r="K840" s="89">
        <f t="shared" si="4"/>
        <v>0.01</v>
      </c>
      <c r="L840" s="84">
        <f t="shared" si="5"/>
        <v>839</v>
      </c>
      <c r="M840" s="85" t="s">
        <v>133</v>
      </c>
    </row>
    <row r="841" ht="22.5" customHeight="1">
      <c r="A841" s="83">
        <v>46197.0</v>
      </c>
      <c r="B841" s="84" t="str">
        <f t="shared" si="1"/>
        <v>Jun 2026</v>
      </c>
      <c r="C841" s="84">
        <f t="shared" si="2"/>
        <v>26</v>
      </c>
      <c r="D841" s="85" t="s">
        <v>159</v>
      </c>
      <c r="E841" s="85" t="s">
        <v>164</v>
      </c>
      <c r="F841" s="86" t="s">
        <v>236</v>
      </c>
      <c r="G841" s="87" t="s">
        <v>170</v>
      </c>
      <c r="H841" s="88">
        <f t="shared" si="3"/>
        <v>0.11</v>
      </c>
      <c r="I841" s="89">
        <v>0.1</v>
      </c>
      <c r="J841" s="130"/>
      <c r="K841" s="89">
        <f t="shared" si="4"/>
        <v>0.01</v>
      </c>
      <c r="L841" s="84">
        <f t="shared" si="5"/>
        <v>840</v>
      </c>
      <c r="M841" s="85" t="s">
        <v>181</v>
      </c>
    </row>
    <row r="842" ht="22.5" customHeight="1">
      <c r="A842" s="83">
        <v>46197.0</v>
      </c>
      <c r="B842" s="84" t="str">
        <f t="shared" si="1"/>
        <v>Jun 2026</v>
      </c>
      <c r="C842" s="84">
        <f t="shared" si="2"/>
        <v>26</v>
      </c>
      <c r="D842" s="85" t="s">
        <v>159</v>
      </c>
      <c r="E842" s="85" t="s">
        <v>164</v>
      </c>
      <c r="F842" s="86" t="s">
        <v>266</v>
      </c>
      <c r="G842" s="86" t="s">
        <v>198</v>
      </c>
      <c r="H842" s="88">
        <f t="shared" si="3"/>
        <v>0.11</v>
      </c>
      <c r="I842" s="89">
        <v>0.1</v>
      </c>
      <c r="J842" s="130"/>
      <c r="K842" s="89">
        <f t="shared" si="4"/>
        <v>0.01</v>
      </c>
      <c r="L842" s="84">
        <f t="shared" si="5"/>
        <v>841</v>
      </c>
      <c r="M842" s="85" t="s">
        <v>133</v>
      </c>
    </row>
    <row r="843" ht="22.5" customHeight="1">
      <c r="A843" s="83">
        <v>46197.0</v>
      </c>
      <c r="B843" s="84" t="str">
        <f t="shared" si="1"/>
        <v>Jun 2026</v>
      </c>
      <c r="C843" s="84">
        <f t="shared" si="2"/>
        <v>26</v>
      </c>
      <c r="D843" s="85" t="s">
        <v>159</v>
      </c>
      <c r="E843" s="85" t="s">
        <v>164</v>
      </c>
      <c r="F843" s="86" t="s">
        <v>254</v>
      </c>
      <c r="G843" s="87" t="s">
        <v>179</v>
      </c>
      <c r="H843" s="88">
        <f t="shared" si="3"/>
        <v>0.11</v>
      </c>
      <c r="I843" s="89">
        <v>0.1</v>
      </c>
      <c r="J843" s="130"/>
      <c r="K843" s="89">
        <f t="shared" si="4"/>
        <v>0.01</v>
      </c>
      <c r="L843" s="84">
        <f t="shared" si="5"/>
        <v>842</v>
      </c>
      <c r="M843" s="85" t="s">
        <v>181</v>
      </c>
    </row>
    <row r="844" ht="22.5" customHeight="1">
      <c r="A844" s="83">
        <v>46197.0</v>
      </c>
      <c r="B844" s="84" t="str">
        <f t="shared" si="1"/>
        <v>Jun 2026</v>
      </c>
      <c r="C844" s="84">
        <f t="shared" si="2"/>
        <v>26</v>
      </c>
      <c r="D844" s="85" t="s">
        <v>129</v>
      </c>
      <c r="E844" s="85" t="s">
        <v>164</v>
      </c>
      <c r="F844" s="86" t="s">
        <v>262</v>
      </c>
      <c r="G844" s="86" t="s">
        <v>221</v>
      </c>
      <c r="H844" s="88">
        <f t="shared" si="3"/>
        <v>0.7337</v>
      </c>
      <c r="I844" s="89">
        <v>0.667</v>
      </c>
      <c r="J844" s="130"/>
      <c r="K844" s="89">
        <f t="shared" si="4"/>
        <v>0.0667</v>
      </c>
      <c r="L844" s="84">
        <f t="shared" si="5"/>
        <v>843</v>
      </c>
      <c r="M844" s="85" t="s">
        <v>133</v>
      </c>
    </row>
    <row r="845" ht="22.5" customHeight="1">
      <c r="A845" s="83">
        <v>46197.0</v>
      </c>
      <c r="B845" s="84" t="str">
        <f t="shared" si="1"/>
        <v>Jun 2026</v>
      </c>
      <c r="C845" s="84">
        <f t="shared" si="2"/>
        <v>26</v>
      </c>
      <c r="D845" s="85" t="s">
        <v>159</v>
      </c>
      <c r="E845" s="85" t="s">
        <v>164</v>
      </c>
      <c r="F845" s="86" t="s">
        <v>267</v>
      </c>
      <c r="G845" s="86" t="s">
        <v>225</v>
      </c>
      <c r="H845" s="88">
        <f t="shared" si="3"/>
        <v>0.11</v>
      </c>
      <c r="I845" s="89">
        <v>0.1</v>
      </c>
      <c r="J845" s="130"/>
      <c r="K845" s="89">
        <f t="shared" si="4"/>
        <v>0.01</v>
      </c>
      <c r="L845" s="84">
        <f t="shared" si="5"/>
        <v>844</v>
      </c>
      <c r="M845" s="85" t="s">
        <v>133</v>
      </c>
    </row>
    <row r="846" ht="22.5" customHeight="1">
      <c r="A846" s="83">
        <v>46197.0</v>
      </c>
      <c r="B846" s="84" t="str">
        <f t="shared" si="1"/>
        <v>Jun 2026</v>
      </c>
      <c r="C846" s="84">
        <f t="shared" si="2"/>
        <v>26</v>
      </c>
      <c r="D846" s="85" t="s">
        <v>129</v>
      </c>
      <c r="E846" s="85" t="s">
        <v>164</v>
      </c>
      <c r="F846" s="86" t="s">
        <v>131</v>
      </c>
      <c r="G846" s="87" t="s">
        <v>132</v>
      </c>
      <c r="H846" s="88">
        <f t="shared" si="3"/>
        <v>0.7337</v>
      </c>
      <c r="I846" s="89">
        <v>0.667</v>
      </c>
      <c r="J846" s="130"/>
      <c r="K846" s="89">
        <f t="shared" si="4"/>
        <v>0.0667</v>
      </c>
      <c r="L846" s="84">
        <f t="shared" si="5"/>
        <v>845</v>
      </c>
      <c r="M846" s="85" t="s">
        <v>133</v>
      </c>
    </row>
    <row r="847" ht="22.5" customHeight="1">
      <c r="A847" s="83">
        <v>46197.0</v>
      </c>
      <c r="B847" s="84" t="str">
        <f t="shared" si="1"/>
        <v>Jun 2026</v>
      </c>
      <c r="C847" s="84">
        <f t="shared" si="2"/>
        <v>26</v>
      </c>
      <c r="D847" s="85" t="s">
        <v>129</v>
      </c>
      <c r="E847" s="85" t="s">
        <v>165</v>
      </c>
      <c r="F847" s="86" t="s">
        <v>131</v>
      </c>
      <c r="G847" s="87" t="s">
        <v>132</v>
      </c>
      <c r="H847" s="88">
        <f t="shared" si="3"/>
        <v>0.7337</v>
      </c>
      <c r="I847" s="89">
        <v>0.667</v>
      </c>
      <c r="J847" s="130"/>
      <c r="K847" s="89">
        <f t="shared" si="4"/>
        <v>0.0667</v>
      </c>
      <c r="L847" s="84">
        <f t="shared" si="5"/>
        <v>846</v>
      </c>
      <c r="M847" s="85" t="s">
        <v>133</v>
      </c>
    </row>
    <row r="848" ht="22.5" customHeight="1">
      <c r="A848" s="83">
        <v>46197.0</v>
      </c>
      <c r="B848" s="84" t="str">
        <f t="shared" si="1"/>
        <v>Jun 2026</v>
      </c>
      <c r="C848" s="84">
        <f t="shared" si="2"/>
        <v>26</v>
      </c>
      <c r="D848" s="85" t="s">
        <v>129</v>
      </c>
      <c r="E848" s="85" t="s">
        <v>165</v>
      </c>
      <c r="F848" s="86" t="s">
        <v>131</v>
      </c>
      <c r="G848" s="87" t="s">
        <v>132</v>
      </c>
      <c r="H848" s="88">
        <f t="shared" si="3"/>
        <v>0.7337</v>
      </c>
      <c r="I848" s="89">
        <v>0.667</v>
      </c>
      <c r="J848" s="130"/>
      <c r="K848" s="89">
        <f t="shared" si="4"/>
        <v>0.0667</v>
      </c>
      <c r="L848" s="84">
        <f t="shared" si="5"/>
        <v>847</v>
      </c>
      <c r="M848" s="85" t="s">
        <v>133</v>
      </c>
    </row>
    <row r="849" ht="22.5" customHeight="1">
      <c r="A849" s="83">
        <v>46197.0</v>
      </c>
      <c r="B849" s="84" t="str">
        <f t="shared" si="1"/>
        <v>Jun 2026</v>
      </c>
      <c r="C849" s="84">
        <f t="shared" si="2"/>
        <v>26</v>
      </c>
      <c r="D849" s="85" t="s">
        <v>129</v>
      </c>
      <c r="E849" s="85" t="s">
        <v>165</v>
      </c>
      <c r="F849" s="86" t="s">
        <v>262</v>
      </c>
      <c r="G849" s="86" t="s">
        <v>221</v>
      </c>
      <c r="H849" s="88">
        <f t="shared" si="3"/>
        <v>0.7337</v>
      </c>
      <c r="I849" s="89">
        <v>0.667</v>
      </c>
      <c r="J849" s="130"/>
      <c r="K849" s="89">
        <f t="shared" si="4"/>
        <v>0.0667</v>
      </c>
      <c r="L849" s="84">
        <f t="shared" si="5"/>
        <v>848</v>
      </c>
      <c r="M849" s="85" t="s">
        <v>133</v>
      </c>
    </row>
    <row r="850" ht="22.5" customHeight="1">
      <c r="A850" s="83">
        <v>46197.0</v>
      </c>
      <c r="B850" s="84" t="str">
        <f t="shared" si="1"/>
        <v>Jun 2026</v>
      </c>
      <c r="C850" s="84">
        <f t="shared" si="2"/>
        <v>26</v>
      </c>
      <c r="D850" s="85" t="s">
        <v>129</v>
      </c>
      <c r="E850" s="85" t="s">
        <v>165</v>
      </c>
      <c r="F850" s="86" t="s">
        <v>262</v>
      </c>
      <c r="G850" s="86" t="s">
        <v>221</v>
      </c>
      <c r="H850" s="88">
        <f t="shared" si="3"/>
        <v>0.7337</v>
      </c>
      <c r="I850" s="89">
        <v>0.667</v>
      </c>
      <c r="J850" s="130"/>
      <c r="K850" s="89">
        <f t="shared" si="4"/>
        <v>0.0667</v>
      </c>
      <c r="L850" s="84">
        <f t="shared" si="5"/>
        <v>849</v>
      </c>
      <c r="M850" s="85" t="s">
        <v>133</v>
      </c>
    </row>
    <row r="851" ht="22.5" customHeight="1">
      <c r="A851" s="83">
        <v>46197.0</v>
      </c>
      <c r="B851" s="84" t="str">
        <f t="shared" si="1"/>
        <v>Jun 2026</v>
      </c>
      <c r="C851" s="84">
        <f t="shared" si="2"/>
        <v>26</v>
      </c>
      <c r="D851" s="85" t="s">
        <v>129</v>
      </c>
      <c r="E851" s="85" t="s">
        <v>165</v>
      </c>
      <c r="F851" s="86" t="s">
        <v>131</v>
      </c>
      <c r="G851" s="87" t="s">
        <v>132</v>
      </c>
      <c r="H851" s="88">
        <f t="shared" si="3"/>
        <v>0.7337</v>
      </c>
      <c r="I851" s="89">
        <v>0.667</v>
      </c>
      <c r="J851" s="130"/>
      <c r="K851" s="89">
        <f t="shared" si="4"/>
        <v>0.0667</v>
      </c>
      <c r="L851" s="84">
        <f t="shared" si="5"/>
        <v>850</v>
      </c>
      <c r="M851" s="85" t="s">
        <v>133</v>
      </c>
    </row>
    <row r="852" ht="22.5" customHeight="1">
      <c r="A852" s="83">
        <v>46197.0</v>
      </c>
      <c r="B852" s="84" t="str">
        <f t="shared" si="1"/>
        <v>Jun 2026</v>
      </c>
      <c r="C852" s="84">
        <f t="shared" si="2"/>
        <v>26</v>
      </c>
      <c r="D852" s="85" t="s">
        <v>129</v>
      </c>
      <c r="E852" s="85" t="s">
        <v>165</v>
      </c>
      <c r="F852" s="86" t="s">
        <v>262</v>
      </c>
      <c r="G852" s="86" t="s">
        <v>221</v>
      </c>
      <c r="H852" s="88">
        <f t="shared" si="3"/>
        <v>0.7337</v>
      </c>
      <c r="I852" s="89">
        <v>0.667</v>
      </c>
      <c r="J852" s="130"/>
      <c r="K852" s="89">
        <f t="shared" si="4"/>
        <v>0.0667</v>
      </c>
      <c r="L852" s="84">
        <f t="shared" si="5"/>
        <v>851</v>
      </c>
      <c r="M852" s="85" t="s">
        <v>133</v>
      </c>
    </row>
    <row r="853" ht="22.5" customHeight="1">
      <c r="A853" s="83">
        <v>46197.0</v>
      </c>
      <c r="B853" s="84" t="str">
        <f t="shared" si="1"/>
        <v>Jun 2026</v>
      </c>
      <c r="C853" s="84">
        <f t="shared" si="2"/>
        <v>26</v>
      </c>
      <c r="D853" s="85" t="s">
        <v>129</v>
      </c>
      <c r="E853" s="85" t="s">
        <v>165</v>
      </c>
      <c r="F853" s="86" t="s">
        <v>262</v>
      </c>
      <c r="G853" s="86" t="s">
        <v>221</v>
      </c>
      <c r="H853" s="88">
        <f t="shared" si="3"/>
        <v>0.7337</v>
      </c>
      <c r="I853" s="89">
        <v>0.667</v>
      </c>
      <c r="J853" s="130"/>
      <c r="K853" s="89">
        <f t="shared" si="4"/>
        <v>0.0667</v>
      </c>
      <c r="L853" s="84">
        <f t="shared" si="5"/>
        <v>852</v>
      </c>
      <c r="M853" s="85" t="s">
        <v>133</v>
      </c>
    </row>
    <row r="854" ht="22.5" customHeight="1">
      <c r="A854" s="83">
        <v>46197.0</v>
      </c>
      <c r="B854" s="84" t="str">
        <f t="shared" si="1"/>
        <v>Jun 2026</v>
      </c>
      <c r="C854" s="84">
        <f t="shared" si="2"/>
        <v>26</v>
      </c>
      <c r="D854" s="85" t="s">
        <v>129</v>
      </c>
      <c r="E854" s="85" t="s">
        <v>165</v>
      </c>
      <c r="F854" s="86" t="s">
        <v>131</v>
      </c>
      <c r="G854" s="87" t="s">
        <v>132</v>
      </c>
      <c r="H854" s="88">
        <f t="shared" si="3"/>
        <v>0.7337</v>
      </c>
      <c r="I854" s="89">
        <v>0.667</v>
      </c>
      <c r="J854" s="130"/>
      <c r="K854" s="89">
        <f t="shared" si="4"/>
        <v>0.0667</v>
      </c>
      <c r="L854" s="84">
        <f t="shared" si="5"/>
        <v>853</v>
      </c>
      <c r="M854" s="85" t="s">
        <v>133</v>
      </c>
    </row>
    <row r="855" ht="22.5" customHeight="1">
      <c r="A855" s="83">
        <v>46197.0</v>
      </c>
      <c r="B855" s="84" t="str">
        <f t="shared" si="1"/>
        <v>Jun 2026</v>
      </c>
      <c r="C855" s="84">
        <f t="shared" si="2"/>
        <v>26</v>
      </c>
      <c r="D855" s="85" t="s">
        <v>159</v>
      </c>
      <c r="E855" s="85" t="s">
        <v>165</v>
      </c>
      <c r="F855" s="86" t="s">
        <v>244</v>
      </c>
      <c r="G855" s="87" t="s">
        <v>206</v>
      </c>
      <c r="H855" s="88">
        <f t="shared" si="3"/>
        <v>0.11</v>
      </c>
      <c r="I855" s="89">
        <v>0.1</v>
      </c>
      <c r="J855" s="130"/>
      <c r="K855" s="89">
        <f t="shared" si="4"/>
        <v>0.01</v>
      </c>
      <c r="L855" s="84">
        <f t="shared" si="5"/>
        <v>854</v>
      </c>
      <c r="M855" s="85" t="s">
        <v>181</v>
      </c>
    </row>
    <row r="856" ht="22.5" customHeight="1">
      <c r="A856" s="83">
        <v>46197.0</v>
      </c>
      <c r="B856" s="84" t="str">
        <f t="shared" si="1"/>
        <v>Jun 2026</v>
      </c>
      <c r="C856" s="84">
        <f t="shared" si="2"/>
        <v>26</v>
      </c>
      <c r="D856" s="85" t="s">
        <v>129</v>
      </c>
      <c r="E856" s="85" t="s">
        <v>165</v>
      </c>
      <c r="F856" s="86" t="s">
        <v>262</v>
      </c>
      <c r="G856" s="86" t="s">
        <v>221</v>
      </c>
      <c r="H856" s="88">
        <f t="shared" si="3"/>
        <v>0.7337</v>
      </c>
      <c r="I856" s="89">
        <v>0.667</v>
      </c>
      <c r="J856" s="130"/>
      <c r="K856" s="89">
        <f t="shared" si="4"/>
        <v>0.0667</v>
      </c>
      <c r="L856" s="84">
        <f t="shared" si="5"/>
        <v>855</v>
      </c>
      <c r="M856" s="85" t="s">
        <v>133</v>
      </c>
    </row>
    <row r="857" ht="22.5" customHeight="1">
      <c r="A857" s="83">
        <v>46197.0</v>
      </c>
      <c r="B857" s="84" t="str">
        <f t="shared" si="1"/>
        <v>Jun 2026</v>
      </c>
      <c r="C857" s="84">
        <f t="shared" si="2"/>
        <v>26</v>
      </c>
      <c r="D857" s="85" t="s">
        <v>129</v>
      </c>
      <c r="E857" s="85" t="s">
        <v>165</v>
      </c>
      <c r="F857" s="86" t="s">
        <v>131</v>
      </c>
      <c r="G857" s="87" t="s">
        <v>132</v>
      </c>
      <c r="H857" s="88">
        <f t="shared" si="3"/>
        <v>0.7337</v>
      </c>
      <c r="I857" s="89">
        <v>0.667</v>
      </c>
      <c r="J857" s="130"/>
      <c r="K857" s="89">
        <f t="shared" si="4"/>
        <v>0.0667</v>
      </c>
      <c r="L857" s="84">
        <f t="shared" si="5"/>
        <v>856</v>
      </c>
      <c r="M857" s="85" t="s">
        <v>133</v>
      </c>
    </row>
    <row r="858" ht="22.5" customHeight="1">
      <c r="A858" s="83">
        <v>46197.0</v>
      </c>
      <c r="B858" s="84" t="str">
        <f t="shared" si="1"/>
        <v>Jun 2026</v>
      </c>
      <c r="C858" s="84">
        <f t="shared" si="2"/>
        <v>26</v>
      </c>
      <c r="D858" s="85" t="s">
        <v>159</v>
      </c>
      <c r="E858" s="85" t="s">
        <v>165</v>
      </c>
      <c r="F858" s="86" t="s">
        <v>244</v>
      </c>
      <c r="G858" s="87" t="s">
        <v>206</v>
      </c>
      <c r="H858" s="88">
        <f t="shared" si="3"/>
        <v>0.11</v>
      </c>
      <c r="I858" s="89">
        <v>0.1</v>
      </c>
      <c r="J858" s="130"/>
      <c r="K858" s="89">
        <f t="shared" si="4"/>
        <v>0.01</v>
      </c>
      <c r="L858" s="84">
        <f t="shared" si="5"/>
        <v>857</v>
      </c>
      <c r="M858" s="85" t="s">
        <v>181</v>
      </c>
    </row>
    <row r="859" ht="22.5" customHeight="1">
      <c r="A859" s="83">
        <v>46197.0</v>
      </c>
      <c r="B859" s="84" t="str">
        <f t="shared" si="1"/>
        <v>Jun 2026</v>
      </c>
      <c r="C859" s="84">
        <f t="shared" si="2"/>
        <v>26</v>
      </c>
      <c r="D859" s="85" t="s">
        <v>159</v>
      </c>
      <c r="E859" s="85" t="s">
        <v>165</v>
      </c>
      <c r="F859" s="86" t="s">
        <v>263</v>
      </c>
      <c r="G859" s="86" t="s">
        <v>205</v>
      </c>
      <c r="H859" s="88">
        <f t="shared" si="3"/>
        <v>0.11</v>
      </c>
      <c r="I859" s="89">
        <v>0.1</v>
      </c>
      <c r="J859" s="130"/>
      <c r="K859" s="89">
        <f t="shared" si="4"/>
        <v>0.01</v>
      </c>
      <c r="L859" s="84">
        <f t="shared" si="5"/>
        <v>858</v>
      </c>
      <c r="M859" s="85" t="s">
        <v>181</v>
      </c>
    </row>
    <row r="860" ht="22.5" customHeight="1">
      <c r="A860" s="83">
        <v>46197.0</v>
      </c>
      <c r="B860" s="84" t="str">
        <f t="shared" si="1"/>
        <v>Jun 2026</v>
      </c>
      <c r="C860" s="84">
        <f t="shared" si="2"/>
        <v>26</v>
      </c>
      <c r="D860" s="85" t="s">
        <v>159</v>
      </c>
      <c r="E860" s="85" t="s">
        <v>165</v>
      </c>
      <c r="F860" s="86" t="s">
        <v>233</v>
      </c>
      <c r="G860" s="86" t="s">
        <v>199</v>
      </c>
      <c r="H860" s="88">
        <f t="shared" si="3"/>
        <v>0.11</v>
      </c>
      <c r="I860" s="89">
        <v>0.1</v>
      </c>
      <c r="J860" s="130"/>
      <c r="K860" s="89">
        <f t="shared" si="4"/>
        <v>0.01</v>
      </c>
      <c r="L860" s="84">
        <f t="shared" si="5"/>
        <v>859</v>
      </c>
      <c r="M860" s="85" t="s">
        <v>181</v>
      </c>
    </row>
    <row r="861" ht="22.5" customHeight="1">
      <c r="A861" s="83">
        <v>46197.0</v>
      </c>
      <c r="B861" s="84" t="str">
        <f t="shared" si="1"/>
        <v>Jun 2026</v>
      </c>
      <c r="C861" s="84">
        <f t="shared" si="2"/>
        <v>26</v>
      </c>
      <c r="D861" s="85" t="s">
        <v>159</v>
      </c>
      <c r="E861" s="85" t="s">
        <v>165</v>
      </c>
      <c r="F861" s="86" t="s">
        <v>265</v>
      </c>
      <c r="G861" s="86" t="s">
        <v>201</v>
      </c>
      <c r="H861" s="88">
        <f t="shared" si="3"/>
        <v>0.11</v>
      </c>
      <c r="I861" s="89">
        <v>0.1</v>
      </c>
      <c r="J861" s="130"/>
      <c r="K861" s="89">
        <f t="shared" si="4"/>
        <v>0.01</v>
      </c>
      <c r="L861" s="84">
        <f t="shared" si="5"/>
        <v>860</v>
      </c>
      <c r="M861" s="85" t="s">
        <v>181</v>
      </c>
    </row>
    <row r="862" ht="22.5" customHeight="1">
      <c r="A862" s="83">
        <v>46197.0</v>
      </c>
      <c r="B862" s="84" t="str">
        <f t="shared" si="1"/>
        <v>Jun 2026</v>
      </c>
      <c r="C862" s="84">
        <f t="shared" si="2"/>
        <v>26</v>
      </c>
      <c r="D862" s="85" t="s">
        <v>159</v>
      </c>
      <c r="E862" s="85" t="s">
        <v>165</v>
      </c>
      <c r="F862" s="86" t="s">
        <v>264</v>
      </c>
      <c r="G862" s="86" t="s">
        <v>186</v>
      </c>
      <c r="H862" s="88">
        <f t="shared" si="3"/>
        <v>0.11</v>
      </c>
      <c r="I862" s="89">
        <v>0.1</v>
      </c>
      <c r="J862" s="130"/>
      <c r="K862" s="89">
        <f t="shared" si="4"/>
        <v>0.01</v>
      </c>
      <c r="L862" s="84">
        <f t="shared" si="5"/>
        <v>861</v>
      </c>
      <c r="M862" s="85" t="s">
        <v>181</v>
      </c>
    </row>
    <row r="863" ht="22.5" customHeight="1">
      <c r="A863" s="83">
        <v>46197.0</v>
      </c>
      <c r="B863" s="84" t="str">
        <f t="shared" si="1"/>
        <v>Jun 2026</v>
      </c>
      <c r="C863" s="84">
        <f t="shared" si="2"/>
        <v>26</v>
      </c>
      <c r="D863" s="85" t="s">
        <v>129</v>
      </c>
      <c r="E863" s="85" t="s">
        <v>165</v>
      </c>
      <c r="F863" s="86" t="s">
        <v>267</v>
      </c>
      <c r="G863" s="86" t="s">
        <v>225</v>
      </c>
      <c r="H863" s="88">
        <f t="shared" si="3"/>
        <v>0.7337</v>
      </c>
      <c r="I863" s="89">
        <v>0.667</v>
      </c>
      <c r="J863" s="130"/>
      <c r="K863" s="89">
        <f t="shared" si="4"/>
        <v>0.0667</v>
      </c>
      <c r="L863" s="84">
        <f t="shared" si="5"/>
        <v>862</v>
      </c>
      <c r="M863" s="85" t="s">
        <v>133</v>
      </c>
    </row>
    <row r="864" ht="22.5" customHeight="1">
      <c r="A864" s="83">
        <v>46197.0</v>
      </c>
      <c r="B864" s="84" t="str">
        <f t="shared" si="1"/>
        <v>Jun 2026</v>
      </c>
      <c r="C864" s="84">
        <f t="shared" si="2"/>
        <v>26</v>
      </c>
      <c r="D864" s="85" t="s">
        <v>159</v>
      </c>
      <c r="E864" s="85" t="s">
        <v>165</v>
      </c>
      <c r="F864" s="86" t="s">
        <v>266</v>
      </c>
      <c r="G864" s="86" t="s">
        <v>198</v>
      </c>
      <c r="H864" s="88">
        <f t="shared" si="3"/>
        <v>0.11</v>
      </c>
      <c r="I864" s="89">
        <v>0.1</v>
      </c>
      <c r="J864" s="130"/>
      <c r="K864" s="89">
        <f t="shared" si="4"/>
        <v>0.01</v>
      </c>
      <c r="L864" s="84">
        <f t="shared" si="5"/>
        <v>863</v>
      </c>
      <c r="M864" s="85" t="s">
        <v>181</v>
      </c>
    </row>
    <row r="865" ht="22.5" customHeight="1">
      <c r="A865" s="83">
        <v>46197.0</v>
      </c>
      <c r="B865" s="84" t="str">
        <f t="shared" si="1"/>
        <v>Jun 2026</v>
      </c>
      <c r="C865" s="84">
        <f t="shared" si="2"/>
        <v>26</v>
      </c>
      <c r="D865" s="85" t="s">
        <v>159</v>
      </c>
      <c r="E865" s="85" t="s">
        <v>167</v>
      </c>
      <c r="F865" s="86" t="s">
        <v>247</v>
      </c>
      <c r="G865" s="87" t="s">
        <v>183</v>
      </c>
      <c r="H865" s="88">
        <f t="shared" si="3"/>
        <v>0.11</v>
      </c>
      <c r="I865" s="89">
        <v>0.1</v>
      </c>
      <c r="J865" s="130"/>
      <c r="K865" s="89">
        <f t="shared" si="4"/>
        <v>0.01</v>
      </c>
      <c r="L865" s="84">
        <f t="shared" si="5"/>
        <v>864</v>
      </c>
      <c r="M865" s="85" t="s">
        <v>181</v>
      </c>
    </row>
    <row r="866" ht="22.5" customHeight="1">
      <c r="A866" s="83">
        <v>46197.0</v>
      </c>
      <c r="B866" s="84" t="str">
        <f t="shared" si="1"/>
        <v>Jun 2026</v>
      </c>
      <c r="C866" s="84">
        <f t="shared" si="2"/>
        <v>26</v>
      </c>
      <c r="D866" s="85" t="s">
        <v>129</v>
      </c>
      <c r="E866" s="85" t="s">
        <v>167</v>
      </c>
      <c r="F866" s="86" t="s">
        <v>262</v>
      </c>
      <c r="G866" s="86" t="s">
        <v>221</v>
      </c>
      <c r="H866" s="88">
        <f t="shared" si="3"/>
        <v>0.7337</v>
      </c>
      <c r="I866" s="89">
        <v>0.667</v>
      </c>
      <c r="J866" s="130"/>
      <c r="K866" s="89">
        <f t="shared" si="4"/>
        <v>0.0667</v>
      </c>
      <c r="L866" s="84">
        <f t="shared" si="5"/>
        <v>865</v>
      </c>
      <c r="M866" s="85" t="s">
        <v>133</v>
      </c>
    </row>
    <row r="867" ht="22.5" customHeight="1">
      <c r="A867" s="83">
        <v>46197.0</v>
      </c>
      <c r="B867" s="84" t="str">
        <f t="shared" si="1"/>
        <v>Jun 2026</v>
      </c>
      <c r="C867" s="84">
        <f t="shared" si="2"/>
        <v>26</v>
      </c>
      <c r="D867" s="85" t="s">
        <v>129</v>
      </c>
      <c r="E867" s="85" t="s">
        <v>167</v>
      </c>
      <c r="F867" s="86" t="s">
        <v>131</v>
      </c>
      <c r="G867" s="87" t="s">
        <v>132</v>
      </c>
      <c r="H867" s="88">
        <f t="shared" si="3"/>
        <v>0.7337</v>
      </c>
      <c r="I867" s="89">
        <v>0.667</v>
      </c>
      <c r="J867" s="130"/>
      <c r="K867" s="89">
        <f t="shared" si="4"/>
        <v>0.0667</v>
      </c>
      <c r="L867" s="84">
        <f t="shared" si="5"/>
        <v>866</v>
      </c>
      <c r="M867" s="85" t="s">
        <v>133</v>
      </c>
    </row>
    <row r="868" ht="22.5" customHeight="1">
      <c r="A868" s="83">
        <v>46197.0</v>
      </c>
      <c r="B868" s="84" t="str">
        <f t="shared" si="1"/>
        <v>Jun 2026</v>
      </c>
      <c r="C868" s="84">
        <f t="shared" si="2"/>
        <v>26</v>
      </c>
      <c r="D868" s="85" t="s">
        <v>159</v>
      </c>
      <c r="E868" s="85" t="s">
        <v>167</v>
      </c>
      <c r="F868" s="86" t="s">
        <v>173</v>
      </c>
      <c r="G868" s="87" t="s">
        <v>174</v>
      </c>
      <c r="H868" s="88">
        <f t="shared" si="3"/>
        <v>0.11</v>
      </c>
      <c r="I868" s="89">
        <v>0.1</v>
      </c>
      <c r="J868" s="130"/>
      <c r="K868" s="89">
        <f t="shared" si="4"/>
        <v>0.01</v>
      </c>
      <c r="L868" s="84">
        <f t="shared" si="5"/>
        <v>867</v>
      </c>
      <c r="M868" s="85" t="s">
        <v>181</v>
      </c>
    </row>
    <row r="869" ht="22.5" customHeight="1">
      <c r="A869" s="83">
        <v>46197.0</v>
      </c>
      <c r="B869" s="84" t="str">
        <f t="shared" si="1"/>
        <v>Jun 2026</v>
      </c>
      <c r="C869" s="84">
        <f t="shared" si="2"/>
        <v>26</v>
      </c>
      <c r="D869" s="85" t="s">
        <v>159</v>
      </c>
      <c r="E869" s="85" t="s">
        <v>167</v>
      </c>
      <c r="F869" s="86" t="s">
        <v>173</v>
      </c>
      <c r="G869" s="87" t="s">
        <v>174</v>
      </c>
      <c r="H869" s="88">
        <f t="shared" si="3"/>
        <v>0.11</v>
      </c>
      <c r="I869" s="89">
        <v>0.1</v>
      </c>
      <c r="J869" s="130"/>
      <c r="K869" s="89">
        <f t="shared" si="4"/>
        <v>0.01</v>
      </c>
      <c r="L869" s="84">
        <f t="shared" si="5"/>
        <v>868</v>
      </c>
      <c r="M869" s="85" t="s">
        <v>181</v>
      </c>
    </row>
    <row r="870" ht="22.5" customHeight="1">
      <c r="A870" s="83">
        <v>46197.0</v>
      </c>
      <c r="B870" s="84" t="str">
        <f t="shared" si="1"/>
        <v>Jun 2026</v>
      </c>
      <c r="C870" s="84">
        <f t="shared" si="2"/>
        <v>26</v>
      </c>
      <c r="D870" s="85" t="s">
        <v>129</v>
      </c>
      <c r="E870" s="85" t="s">
        <v>167</v>
      </c>
      <c r="F870" s="86" t="s">
        <v>262</v>
      </c>
      <c r="G870" s="86" t="s">
        <v>221</v>
      </c>
      <c r="H870" s="88">
        <f t="shared" si="3"/>
        <v>0.7337</v>
      </c>
      <c r="I870" s="89">
        <v>0.667</v>
      </c>
      <c r="J870" s="130"/>
      <c r="K870" s="89">
        <f t="shared" si="4"/>
        <v>0.0667</v>
      </c>
      <c r="L870" s="84">
        <f t="shared" si="5"/>
        <v>869</v>
      </c>
      <c r="M870" s="85" t="s">
        <v>133</v>
      </c>
    </row>
    <row r="871" ht="22.5" customHeight="1">
      <c r="A871" s="83">
        <v>46197.0</v>
      </c>
      <c r="B871" s="84" t="str">
        <f t="shared" si="1"/>
        <v>Jun 2026</v>
      </c>
      <c r="C871" s="84">
        <f t="shared" si="2"/>
        <v>26</v>
      </c>
      <c r="D871" s="85" t="s">
        <v>129</v>
      </c>
      <c r="E871" s="85" t="s">
        <v>167</v>
      </c>
      <c r="F871" s="86" t="s">
        <v>262</v>
      </c>
      <c r="G871" s="86" t="s">
        <v>221</v>
      </c>
      <c r="H871" s="88">
        <f t="shared" si="3"/>
        <v>0.7337</v>
      </c>
      <c r="I871" s="89">
        <v>0.667</v>
      </c>
      <c r="J871" s="130"/>
      <c r="K871" s="89">
        <f t="shared" si="4"/>
        <v>0.0667</v>
      </c>
      <c r="L871" s="84">
        <f t="shared" si="5"/>
        <v>870</v>
      </c>
      <c r="M871" s="85" t="s">
        <v>133</v>
      </c>
    </row>
    <row r="872" ht="22.5" customHeight="1">
      <c r="A872" s="83">
        <v>46197.0</v>
      </c>
      <c r="B872" s="84" t="str">
        <f t="shared" si="1"/>
        <v>Jun 2026</v>
      </c>
      <c r="C872" s="84">
        <f t="shared" si="2"/>
        <v>26</v>
      </c>
      <c r="D872" s="85" t="s">
        <v>129</v>
      </c>
      <c r="E872" s="85" t="s">
        <v>167</v>
      </c>
      <c r="F872" s="86" t="s">
        <v>131</v>
      </c>
      <c r="G872" s="87" t="s">
        <v>132</v>
      </c>
      <c r="H872" s="88">
        <f t="shared" si="3"/>
        <v>0.7337</v>
      </c>
      <c r="I872" s="89">
        <v>0.667</v>
      </c>
      <c r="J872" s="130"/>
      <c r="K872" s="89">
        <f t="shared" si="4"/>
        <v>0.0667</v>
      </c>
      <c r="L872" s="84">
        <f t="shared" si="5"/>
        <v>871</v>
      </c>
      <c r="M872" s="85" t="s">
        <v>133</v>
      </c>
    </row>
    <row r="873" ht="22.5" customHeight="1">
      <c r="A873" s="83">
        <v>46197.0</v>
      </c>
      <c r="B873" s="84" t="str">
        <f t="shared" si="1"/>
        <v>Jun 2026</v>
      </c>
      <c r="C873" s="84">
        <f t="shared" si="2"/>
        <v>26</v>
      </c>
      <c r="D873" s="85" t="s">
        <v>129</v>
      </c>
      <c r="E873" s="85" t="s">
        <v>167</v>
      </c>
      <c r="F873" s="86" t="s">
        <v>131</v>
      </c>
      <c r="G873" s="87" t="s">
        <v>132</v>
      </c>
      <c r="H873" s="88">
        <f t="shared" si="3"/>
        <v>0.7337</v>
      </c>
      <c r="I873" s="89">
        <v>0.667</v>
      </c>
      <c r="J873" s="130"/>
      <c r="K873" s="89">
        <f t="shared" si="4"/>
        <v>0.0667</v>
      </c>
      <c r="L873" s="84">
        <f t="shared" si="5"/>
        <v>872</v>
      </c>
      <c r="M873" s="85" t="s">
        <v>133</v>
      </c>
    </row>
    <row r="874" ht="22.5" customHeight="1">
      <c r="A874" s="83">
        <v>46197.0</v>
      </c>
      <c r="B874" s="84" t="str">
        <f t="shared" si="1"/>
        <v>Jun 2026</v>
      </c>
      <c r="C874" s="84">
        <f t="shared" si="2"/>
        <v>26</v>
      </c>
      <c r="D874" s="85" t="s">
        <v>129</v>
      </c>
      <c r="E874" s="85" t="s">
        <v>167</v>
      </c>
      <c r="F874" s="86" t="s">
        <v>131</v>
      </c>
      <c r="G874" s="87" t="s">
        <v>132</v>
      </c>
      <c r="H874" s="88">
        <f t="shared" si="3"/>
        <v>0.7337</v>
      </c>
      <c r="I874" s="89">
        <v>0.667</v>
      </c>
      <c r="J874" s="130"/>
      <c r="K874" s="89">
        <f t="shared" si="4"/>
        <v>0.0667</v>
      </c>
      <c r="L874" s="84">
        <f t="shared" si="5"/>
        <v>873</v>
      </c>
      <c r="M874" s="85" t="s">
        <v>133</v>
      </c>
    </row>
    <row r="875" ht="22.5" customHeight="1">
      <c r="A875" s="83">
        <v>46197.0</v>
      </c>
      <c r="B875" s="84" t="str">
        <f t="shared" si="1"/>
        <v>Jun 2026</v>
      </c>
      <c r="C875" s="84">
        <f t="shared" si="2"/>
        <v>26</v>
      </c>
      <c r="D875" s="85" t="s">
        <v>129</v>
      </c>
      <c r="E875" s="85" t="s">
        <v>167</v>
      </c>
      <c r="F875" s="86" t="s">
        <v>131</v>
      </c>
      <c r="G875" s="87" t="s">
        <v>132</v>
      </c>
      <c r="H875" s="88">
        <f t="shared" si="3"/>
        <v>0.7337</v>
      </c>
      <c r="I875" s="89">
        <v>0.667</v>
      </c>
      <c r="J875" s="130"/>
      <c r="K875" s="89">
        <f t="shared" si="4"/>
        <v>0.0667</v>
      </c>
      <c r="L875" s="84">
        <f t="shared" si="5"/>
        <v>874</v>
      </c>
      <c r="M875" s="85" t="s">
        <v>133</v>
      </c>
    </row>
    <row r="876" ht="22.5" customHeight="1">
      <c r="A876" s="83">
        <v>46197.0</v>
      </c>
      <c r="B876" s="84" t="str">
        <f t="shared" si="1"/>
        <v>Jun 2026</v>
      </c>
      <c r="C876" s="84">
        <f t="shared" si="2"/>
        <v>26</v>
      </c>
      <c r="D876" s="85" t="s">
        <v>129</v>
      </c>
      <c r="E876" s="85" t="s">
        <v>167</v>
      </c>
      <c r="F876" s="86" t="s">
        <v>262</v>
      </c>
      <c r="G876" s="86" t="s">
        <v>221</v>
      </c>
      <c r="H876" s="88">
        <f t="shared" si="3"/>
        <v>0.7337</v>
      </c>
      <c r="I876" s="89">
        <v>0.667</v>
      </c>
      <c r="J876" s="130"/>
      <c r="K876" s="89">
        <f t="shared" si="4"/>
        <v>0.0667</v>
      </c>
      <c r="L876" s="84">
        <f t="shared" si="5"/>
        <v>875</v>
      </c>
      <c r="M876" s="85" t="s">
        <v>133</v>
      </c>
    </row>
    <row r="877" ht="22.5" customHeight="1">
      <c r="A877" s="83">
        <v>46197.0</v>
      </c>
      <c r="B877" s="84" t="str">
        <f t="shared" si="1"/>
        <v>Jun 2026</v>
      </c>
      <c r="C877" s="84">
        <f t="shared" si="2"/>
        <v>26</v>
      </c>
      <c r="D877" s="85" t="s">
        <v>129</v>
      </c>
      <c r="E877" s="85" t="s">
        <v>167</v>
      </c>
      <c r="F877" s="86" t="s">
        <v>262</v>
      </c>
      <c r="G877" s="86" t="s">
        <v>221</v>
      </c>
      <c r="H877" s="88">
        <f t="shared" si="3"/>
        <v>0.7337</v>
      </c>
      <c r="I877" s="89">
        <v>0.667</v>
      </c>
      <c r="J877" s="130"/>
      <c r="K877" s="89">
        <f t="shared" si="4"/>
        <v>0.0667</v>
      </c>
      <c r="L877" s="84">
        <f t="shared" si="5"/>
        <v>876</v>
      </c>
      <c r="M877" s="85" t="s">
        <v>133</v>
      </c>
    </row>
    <row r="878" ht="22.5" customHeight="1">
      <c r="A878" s="83">
        <v>46197.0</v>
      </c>
      <c r="B878" s="84" t="str">
        <f t="shared" si="1"/>
        <v>Jun 2026</v>
      </c>
      <c r="C878" s="84">
        <f t="shared" si="2"/>
        <v>26</v>
      </c>
      <c r="D878" s="85" t="s">
        <v>159</v>
      </c>
      <c r="E878" s="85" t="s">
        <v>167</v>
      </c>
      <c r="F878" s="86" t="s">
        <v>263</v>
      </c>
      <c r="G878" s="86" t="s">
        <v>205</v>
      </c>
      <c r="H878" s="88">
        <f t="shared" si="3"/>
        <v>0.11</v>
      </c>
      <c r="I878" s="89">
        <v>0.1</v>
      </c>
      <c r="J878" s="130"/>
      <c r="K878" s="89">
        <f t="shared" si="4"/>
        <v>0.01</v>
      </c>
      <c r="L878" s="84">
        <f t="shared" si="5"/>
        <v>877</v>
      </c>
      <c r="M878" s="85" t="s">
        <v>133</v>
      </c>
    </row>
    <row r="879" ht="22.5" customHeight="1">
      <c r="A879" s="83">
        <v>46197.0</v>
      </c>
      <c r="B879" s="84" t="str">
        <f t="shared" si="1"/>
        <v>Jun 2026</v>
      </c>
      <c r="C879" s="84">
        <f t="shared" si="2"/>
        <v>26</v>
      </c>
      <c r="D879" s="85" t="s">
        <v>129</v>
      </c>
      <c r="E879" s="85" t="s">
        <v>167</v>
      </c>
      <c r="F879" s="86" t="s">
        <v>267</v>
      </c>
      <c r="G879" s="86" t="s">
        <v>225</v>
      </c>
      <c r="H879" s="88">
        <f t="shared" si="3"/>
        <v>0.7337</v>
      </c>
      <c r="I879" s="89">
        <v>0.667</v>
      </c>
      <c r="J879" s="130"/>
      <c r="K879" s="89">
        <f t="shared" si="4"/>
        <v>0.0667</v>
      </c>
      <c r="L879" s="84">
        <f t="shared" si="5"/>
        <v>878</v>
      </c>
      <c r="M879" s="85" t="s">
        <v>133</v>
      </c>
    </row>
    <row r="880" ht="22.5" customHeight="1">
      <c r="A880" s="83">
        <v>46197.0</v>
      </c>
      <c r="B880" s="84" t="str">
        <f t="shared" si="1"/>
        <v>Jun 2026</v>
      </c>
      <c r="C880" s="84">
        <f t="shared" si="2"/>
        <v>26</v>
      </c>
      <c r="D880" s="85" t="s">
        <v>159</v>
      </c>
      <c r="E880" s="85" t="s">
        <v>167</v>
      </c>
      <c r="F880" s="86" t="s">
        <v>264</v>
      </c>
      <c r="G880" s="86" t="s">
        <v>186</v>
      </c>
      <c r="H880" s="88">
        <f t="shared" si="3"/>
        <v>0.11</v>
      </c>
      <c r="I880" s="89">
        <v>0.1</v>
      </c>
      <c r="J880" s="130"/>
      <c r="K880" s="89">
        <f t="shared" si="4"/>
        <v>0.01</v>
      </c>
      <c r="L880" s="84">
        <f t="shared" si="5"/>
        <v>879</v>
      </c>
      <c r="M880" s="85" t="s">
        <v>181</v>
      </c>
    </row>
    <row r="881" ht="22.5" customHeight="1">
      <c r="A881" s="83">
        <v>46197.0</v>
      </c>
      <c r="B881" s="84" t="str">
        <f t="shared" si="1"/>
        <v>Jun 2026</v>
      </c>
      <c r="C881" s="84">
        <f t="shared" si="2"/>
        <v>26</v>
      </c>
      <c r="D881" s="85" t="s">
        <v>159</v>
      </c>
      <c r="E881" s="85" t="s">
        <v>167</v>
      </c>
      <c r="F881" s="86" t="s">
        <v>258</v>
      </c>
      <c r="G881" s="86" t="s">
        <v>169</v>
      </c>
      <c r="H881" s="88">
        <f t="shared" si="3"/>
        <v>0.11</v>
      </c>
      <c r="I881" s="89">
        <v>0.1</v>
      </c>
      <c r="J881" s="130"/>
      <c r="K881" s="89">
        <f t="shared" si="4"/>
        <v>0.01</v>
      </c>
      <c r="L881" s="84">
        <f t="shared" si="5"/>
        <v>880</v>
      </c>
      <c r="M881" s="85" t="s">
        <v>181</v>
      </c>
    </row>
    <row r="882" ht="22.5" customHeight="1">
      <c r="A882" s="83">
        <v>46197.0</v>
      </c>
      <c r="B882" s="84" t="str">
        <f t="shared" si="1"/>
        <v>Jun 2026</v>
      </c>
      <c r="C882" s="84">
        <f t="shared" si="2"/>
        <v>26</v>
      </c>
      <c r="D882" s="85" t="s">
        <v>159</v>
      </c>
      <c r="E882" s="85" t="s">
        <v>167</v>
      </c>
      <c r="F882" s="86" t="s">
        <v>265</v>
      </c>
      <c r="G882" s="86" t="s">
        <v>201</v>
      </c>
      <c r="H882" s="88">
        <f t="shared" si="3"/>
        <v>0.11</v>
      </c>
      <c r="I882" s="89">
        <v>0.1</v>
      </c>
      <c r="J882" s="130"/>
      <c r="K882" s="89">
        <f t="shared" si="4"/>
        <v>0.01</v>
      </c>
      <c r="L882" s="84">
        <f t="shared" si="5"/>
        <v>881</v>
      </c>
      <c r="M882" s="85" t="s">
        <v>133</v>
      </c>
    </row>
    <row r="883" ht="22.5" customHeight="1">
      <c r="A883" s="83">
        <v>46197.0</v>
      </c>
      <c r="B883" s="84" t="str">
        <f t="shared" si="1"/>
        <v>Jun 2026</v>
      </c>
      <c r="C883" s="84">
        <f t="shared" si="2"/>
        <v>26</v>
      </c>
      <c r="D883" s="85" t="s">
        <v>159</v>
      </c>
      <c r="E883" s="85" t="s">
        <v>167</v>
      </c>
      <c r="F883" s="86" t="s">
        <v>266</v>
      </c>
      <c r="G883" s="86" t="s">
        <v>198</v>
      </c>
      <c r="H883" s="88">
        <f t="shared" si="3"/>
        <v>0.11</v>
      </c>
      <c r="I883" s="89">
        <v>0.1</v>
      </c>
      <c r="J883" s="130"/>
      <c r="K883" s="89">
        <f t="shared" si="4"/>
        <v>0.01</v>
      </c>
      <c r="L883" s="84">
        <f t="shared" si="5"/>
        <v>882</v>
      </c>
      <c r="M883" s="85" t="s">
        <v>181</v>
      </c>
    </row>
    <row r="884" ht="22.5" customHeight="1">
      <c r="A884" s="83">
        <v>46197.0</v>
      </c>
      <c r="B884" s="84" t="str">
        <f t="shared" si="1"/>
        <v>Jun 2026</v>
      </c>
      <c r="C884" s="84">
        <f t="shared" si="2"/>
        <v>26</v>
      </c>
      <c r="D884" s="85" t="s">
        <v>159</v>
      </c>
      <c r="E884" s="85" t="s">
        <v>167</v>
      </c>
      <c r="F884" s="86" t="s">
        <v>233</v>
      </c>
      <c r="G884" s="86" t="s">
        <v>199</v>
      </c>
      <c r="H884" s="88">
        <f t="shared" si="3"/>
        <v>0.11</v>
      </c>
      <c r="I884" s="89">
        <v>0.1</v>
      </c>
      <c r="J884" s="130"/>
      <c r="K884" s="89">
        <f t="shared" si="4"/>
        <v>0.01</v>
      </c>
      <c r="L884" s="84">
        <f t="shared" si="5"/>
        <v>883</v>
      </c>
      <c r="M884" s="85" t="s">
        <v>181</v>
      </c>
    </row>
    <row r="885" ht="22.5" customHeight="1">
      <c r="A885" s="83">
        <v>46197.0</v>
      </c>
      <c r="B885" s="84" t="str">
        <f t="shared" si="1"/>
        <v>Jun 2026</v>
      </c>
      <c r="C885" s="84">
        <f t="shared" si="2"/>
        <v>26</v>
      </c>
      <c r="D885" s="85" t="s">
        <v>161</v>
      </c>
      <c r="E885" s="85" t="s">
        <v>130</v>
      </c>
      <c r="F885" s="86" t="s">
        <v>232</v>
      </c>
      <c r="G885" s="87" t="s">
        <v>75</v>
      </c>
      <c r="H885" s="88">
        <f t="shared" si="3"/>
        <v>0.11</v>
      </c>
      <c r="I885" s="89">
        <v>0.1</v>
      </c>
      <c r="J885" s="130"/>
      <c r="K885" s="89">
        <f t="shared" si="4"/>
        <v>0.01</v>
      </c>
      <c r="L885" s="84">
        <f t="shared" si="5"/>
        <v>884</v>
      </c>
      <c r="M885" s="85" t="s">
        <v>181</v>
      </c>
    </row>
    <row r="886" ht="22.5" customHeight="1">
      <c r="A886" s="83">
        <v>46197.0</v>
      </c>
      <c r="B886" s="84" t="str">
        <f t="shared" si="1"/>
        <v>Jun 2026</v>
      </c>
      <c r="C886" s="84">
        <f t="shared" si="2"/>
        <v>26</v>
      </c>
      <c r="D886" s="85" t="s">
        <v>161</v>
      </c>
      <c r="E886" s="85" t="s">
        <v>130</v>
      </c>
      <c r="F886" s="86" t="s">
        <v>232</v>
      </c>
      <c r="G886" s="87" t="s">
        <v>75</v>
      </c>
      <c r="H886" s="88">
        <f t="shared" si="3"/>
        <v>0.11</v>
      </c>
      <c r="I886" s="89">
        <v>0.1</v>
      </c>
      <c r="J886" s="130"/>
      <c r="K886" s="89">
        <f t="shared" si="4"/>
        <v>0.01</v>
      </c>
      <c r="L886" s="84">
        <f t="shared" si="5"/>
        <v>885</v>
      </c>
      <c r="M886" s="85" t="s">
        <v>181</v>
      </c>
    </row>
    <row r="887" ht="22.5" customHeight="1">
      <c r="A887" s="83">
        <v>46197.0</v>
      </c>
      <c r="B887" s="84" t="str">
        <f t="shared" si="1"/>
        <v>Jun 2026</v>
      </c>
      <c r="C887" s="84">
        <f t="shared" si="2"/>
        <v>26</v>
      </c>
      <c r="D887" s="85" t="s">
        <v>159</v>
      </c>
      <c r="E887" s="85" t="s">
        <v>130</v>
      </c>
      <c r="F887" s="86" t="s">
        <v>247</v>
      </c>
      <c r="G887" s="87" t="s">
        <v>183</v>
      </c>
      <c r="H887" s="88">
        <f t="shared" si="3"/>
        <v>0.11</v>
      </c>
      <c r="I887" s="89">
        <v>0.1</v>
      </c>
      <c r="J887" s="130"/>
      <c r="K887" s="89">
        <f t="shared" si="4"/>
        <v>0.01</v>
      </c>
      <c r="L887" s="84">
        <f t="shared" si="5"/>
        <v>886</v>
      </c>
      <c r="M887" s="85" t="s">
        <v>181</v>
      </c>
    </row>
    <row r="888" ht="22.5" customHeight="1">
      <c r="A888" s="83">
        <v>46197.0</v>
      </c>
      <c r="B888" s="84" t="str">
        <f t="shared" si="1"/>
        <v>Jun 2026</v>
      </c>
      <c r="C888" s="84">
        <f t="shared" si="2"/>
        <v>26</v>
      </c>
      <c r="D888" s="85" t="s">
        <v>129</v>
      </c>
      <c r="E888" s="85" t="s">
        <v>130</v>
      </c>
      <c r="F888" s="86" t="s">
        <v>131</v>
      </c>
      <c r="G888" s="87" t="s">
        <v>132</v>
      </c>
      <c r="H888" s="88">
        <f t="shared" si="3"/>
        <v>0.7337</v>
      </c>
      <c r="I888" s="89">
        <v>0.667</v>
      </c>
      <c r="J888" s="130"/>
      <c r="K888" s="89">
        <f t="shared" si="4"/>
        <v>0.0667</v>
      </c>
      <c r="L888" s="84">
        <f t="shared" si="5"/>
        <v>887</v>
      </c>
      <c r="M888" s="85" t="s">
        <v>133</v>
      </c>
    </row>
    <row r="889" ht="22.5" customHeight="1">
      <c r="A889" s="83">
        <v>46197.0</v>
      </c>
      <c r="B889" s="84" t="str">
        <f t="shared" si="1"/>
        <v>Jun 2026</v>
      </c>
      <c r="C889" s="84">
        <f t="shared" si="2"/>
        <v>26</v>
      </c>
      <c r="D889" s="85" t="s">
        <v>159</v>
      </c>
      <c r="E889" s="85" t="s">
        <v>130</v>
      </c>
      <c r="F889" s="86" t="s">
        <v>258</v>
      </c>
      <c r="G889" s="86" t="s">
        <v>169</v>
      </c>
      <c r="H889" s="88">
        <f t="shared" si="3"/>
        <v>0.11</v>
      </c>
      <c r="I889" s="89">
        <v>0.1</v>
      </c>
      <c r="J889" s="130"/>
      <c r="K889" s="89">
        <f t="shared" si="4"/>
        <v>0.01</v>
      </c>
      <c r="L889" s="84">
        <f t="shared" si="5"/>
        <v>888</v>
      </c>
      <c r="M889" s="85" t="s">
        <v>181</v>
      </c>
    </row>
    <row r="890" ht="22.5" customHeight="1">
      <c r="A890" s="83">
        <v>46197.0</v>
      </c>
      <c r="B890" s="84" t="str">
        <f t="shared" si="1"/>
        <v>Jun 2026</v>
      </c>
      <c r="C890" s="84">
        <f t="shared" si="2"/>
        <v>26</v>
      </c>
      <c r="D890" s="85" t="s">
        <v>129</v>
      </c>
      <c r="E890" s="85" t="s">
        <v>130</v>
      </c>
      <c r="F890" s="86" t="s">
        <v>262</v>
      </c>
      <c r="G890" s="86" t="s">
        <v>221</v>
      </c>
      <c r="H890" s="88">
        <f t="shared" si="3"/>
        <v>0.7337</v>
      </c>
      <c r="I890" s="89">
        <v>0.667</v>
      </c>
      <c r="J890" s="130"/>
      <c r="K890" s="89">
        <f t="shared" si="4"/>
        <v>0.0667</v>
      </c>
      <c r="L890" s="84">
        <f t="shared" si="5"/>
        <v>889</v>
      </c>
      <c r="M890" s="85" t="s">
        <v>133</v>
      </c>
    </row>
    <row r="891" ht="22.5" customHeight="1">
      <c r="A891" s="83">
        <v>46197.0</v>
      </c>
      <c r="B891" s="84" t="str">
        <f t="shared" si="1"/>
        <v>Jun 2026</v>
      </c>
      <c r="C891" s="84">
        <f t="shared" si="2"/>
        <v>26</v>
      </c>
      <c r="D891" s="85" t="s">
        <v>129</v>
      </c>
      <c r="E891" s="85" t="s">
        <v>130</v>
      </c>
      <c r="F891" s="86" t="s">
        <v>262</v>
      </c>
      <c r="G891" s="86" t="s">
        <v>221</v>
      </c>
      <c r="H891" s="88">
        <f t="shared" si="3"/>
        <v>0.7337</v>
      </c>
      <c r="I891" s="89">
        <v>0.667</v>
      </c>
      <c r="J891" s="130"/>
      <c r="K891" s="89">
        <f t="shared" si="4"/>
        <v>0.0667</v>
      </c>
      <c r="L891" s="84">
        <f t="shared" si="5"/>
        <v>890</v>
      </c>
      <c r="M891" s="85" t="s">
        <v>133</v>
      </c>
    </row>
    <row r="892" ht="22.5" customHeight="1">
      <c r="A892" s="83">
        <v>46197.0</v>
      </c>
      <c r="B892" s="84" t="str">
        <f t="shared" si="1"/>
        <v>Jun 2026</v>
      </c>
      <c r="C892" s="84">
        <f t="shared" si="2"/>
        <v>26</v>
      </c>
      <c r="D892" s="85" t="s">
        <v>129</v>
      </c>
      <c r="E892" s="85" t="s">
        <v>130</v>
      </c>
      <c r="F892" s="86" t="s">
        <v>131</v>
      </c>
      <c r="G892" s="87" t="s">
        <v>132</v>
      </c>
      <c r="H892" s="88">
        <f t="shared" si="3"/>
        <v>0.7337</v>
      </c>
      <c r="I892" s="89">
        <v>0.667</v>
      </c>
      <c r="J892" s="130"/>
      <c r="K892" s="89">
        <f t="shared" si="4"/>
        <v>0.0667</v>
      </c>
      <c r="L892" s="84">
        <f t="shared" si="5"/>
        <v>891</v>
      </c>
      <c r="M892" s="85" t="s">
        <v>133</v>
      </c>
    </row>
    <row r="893" ht="22.5" customHeight="1">
      <c r="A893" s="83">
        <v>46197.0</v>
      </c>
      <c r="B893" s="84" t="str">
        <f t="shared" si="1"/>
        <v>Jun 2026</v>
      </c>
      <c r="C893" s="84">
        <f t="shared" si="2"/>
        <v>26</v>
      </c>
      <c r="D893" s="85" t="s">
        <v>129</v>
      </c>
      <c r="E893" s="85" t="s">
        <v>130</v>
      </c>
      <c r="F893" s="86" t="s">
        <v>262</v>
      </c>
      <c r="G893" s="86" t="s">
        <v>221</v>
      </c>
      <c r="H893" s="88">
        <f t="shared" si="3"/>
        <v>0.7337</v>
      </c>
      <c r="I893" s="89">
        <v>0.667</v>
      </c>
      <c r="J893" s="130"/>
      <c r="K893" s="89">
        <f t="shared" si="4"/>
        <v>0.0667</v>
      </c>
      <c r="L893" s="84">
        <f t="shared" si="5"/>
        <v>892</v>
      </c>
      <c r="M893" s="85" t="s">
        <v>133</v>
      </c>
    </row>
    <row r="894" ht="22.5" customHeight="1">
      <c r="A894" s="83">
        <v>46197.0</v>
      </c>
      <c r="B894" s="84" t="str">
        <f t="shared" si="1"/>
        <v>Jun 2026</v>
      </c>
      <c r="C894" s="84">
        <f t="shared" si="2"/>
        <v>26</v>
      </c>
      <c r="D894" s="85" t="s">
        <v>129</v>
      </c>
      <c r="E894" s="85" t="s">
        <v>130</v>
      </c>
      <c r="F894" s="86" t="s">
        <v>131</v>
      </c>
      <c r="G894" s="87" t="s">
        <v>132</v>
      </c>
      <c r="H894" s="88">
        <f t="shared" si="3"/>
        <v>0.7337</v>
      </c>
      <c r="I894" s="89">
        <v>0.667</v>
      </c>
      <c r="J894" s="130"/>
      <c r="K894" s="89">
        <f t="shared" si="4"/>
        <v>0.0667</v>
      </c>
      <c r="L894" s="84">
        <f t="shared" si="5"/>
        <v>893</v>
      </c>
      <c r="M894" s="85" t="s">
        <v>133</v>
      </c>
    </row>
    <row r="895" ht="22.5" customHeight="1">
      <c r="A895" s="83">
        <v>46197.0</v>
      </c>
      <c r="B895" s="84" t="str">
        <f t="shared" si="1"/>
        <v>Jun 2026</v>
      </c>
      <c r="C895" s="84">
        <f t="shared" si="2"/>
        <v>26</v>
      </c>
      <c r="D895" s="85" t="s">
        <v>129</v>
      </c>
      <c r="E895" s="85" t="s">
        <v>130</v>
      </c>
      <c r="F895" s="86" t="s">
        <v>131</v>
      </c>
      <c r="G895" s="87" t="s">
        <v>132</v>
      </c>
      <c r="H895" s="88">
        <f t="shared" si="3"/>
        <v>0.7337</v>
      </c>
      <c r="I895" s="89">
        <v>0.667</v>
      </c>
      <c r="J895" s="130"/>
      <c r="K895" s="89">
        <f t="shared" si="4"/>
        <v>0.0667</v>
      </c>
      <c r="L895" s="84">
        <f t="shared" si="5"/>
        <v>894</v>
      </c>
      <c r="M895" s="85" t="s">
        <v>133</v>
      </c>
    </row>
    <row r="896" ht="22.5" customHeight="1">
      <c r="A896" s="83">
        <v>46197.0</v>
      </c>
      <c r="B896" s="84" t="str">
        <f t="shared" si="1"/>
        <v>Jun 2026</v>
      </c>
      <c r="C896" s="84">
        <f t="shared" si="2"/>
        <v>26</v>
      </c>
      <c r="D896" s="85" t="s">
        <v>129</v>
      </c>
      <c r="E896" s="85" t="s">
        <v>130</v>
      </c>
      <c r="F896" s="86" t="s">
        <v>262</v>
      </c>
      <c r="G896" s="86" t="s">
        <v>221</v>
      </c>
      <c r="H896" s="88">
        <f t="shared" si="3"/>
        <v>0.7337</v>
      </c>
      <c r="I896" s="89">
        <v>0.667</v>
      </c>
      <c r="J896" s="130"/>
      <c r="K896" s="89">
        <f t="shared" si="4"/>
        <v>0.0667</v>
      </c>
      <c r="L896" s="84">
        <f t="shared" si="5"/>
        <v>895</v>
      </c>
      <c r="M896" s="85" t="s">
        <v>133</v>
      </c>
    </row>
    <row r="897" ht="22.5" customHeight="1">
      <c r="A897" s="83">
        <v>46197.0</v>
      </c>
      <c r="B897" s="84" t="str">
        <f t="shared" si="1"/>
        <v>Jun 2026</v>
      </c>
      <c r="C897" s="84">
        <f t="shared" si="2"/>
        <v>26</v>
      </c>
      <c r="D897" s="85" t="s">
        <v>159</v>
      </c>
      <c r="E897" s="85" t="s">
        <v>130</v>
      </c>
      <c r="F897" s="86" t="s">
        <v>172</v>
      </c>
      <c r="G897" s="87" t="s">
        <v>62</v>
      </c>
      <c r="H897" s="88">
        <f t="shared" si="3"/>
        <v>0.11</v>
      </c>
      <c r="I897" s="89">
        <v>0.1</v>
      </c>
      <c r="J897" s="130"/>
      <c r="K897" s="89">
        <f t="shared" si="4"/>
        <v>0.01</v>
      </c>
      <c r="L897" s="84">
        <f t="shared" si="5"/>
        <v>896</v>
      </c>
      <c r="M897" s="85" t="s">
        <v>181</v>
      </c>
    </row>
    <row r="898" ht="22.5" customHeight="1">
      <c r="A898" s="83">
        <v>46197.0</v>
      </c>
      <c r="B898" s="84" t="str">
        <f t="shared" si="1"/>
        <v>Jun 2026</v>
      </c>
      <c r="C898" s="84">
        <f t="shared" si="2"/>
        <v>26</v>
      </c>
      <c r="D898" s="85" t="s">
        <v>159</v>
      </c>
      <c r="E898" s="85" t="s">
        <v>130</v>
      </c>
      <c r="F898" s="86" t="s">
        <v>233</v>
      </c>
      <c r="G898" s="87" t="s">
        <v>199</v>
      </c>
      <c r="H898" s="88">
        <f t="shared" si="3"/>
        <v>0.11</v>
      </c>
      <c r="I898" s="89">
        <v>0.1</v>
      </c>
      <c r="J898" s="130"/>
      <c r="K898" s="89">
        <f t="shared" si="4"/>
        <v>0.01</v>
      </c>
      <c r="L898" s="84">
        <f t="shared" si="5"/>
        <v>897</v>
      </c>
      <c r="M898" s="85" t="s">
        <v>133</v>
      </c>
    </row>
    <row r="899" ht="22.5" customHeight="1">
      <c r="A899" s="83">
        <v>46197.0</v>
      </c>
      <c r="B899" s="84" t="str">
        <f t="shared" si="1"/>
        <v>Jun 2026</v>
      </c>
      <c r="C899" s="84">
        <f t="shared" si="2"/>
        <v>26</v>
      </c>
      <c r="D899" s="85" t="s">
        <v>159</v>
      </c>
      <c r="E899" s="85" t="s">
        <v>130</v>
      </c>
      <c r="F899" s="86" t="s">
        <v>263</v>
      </c>
      <c r="G899" s="86" t="s">
        <v>205</v>
      </c>
      <c r="H899" s="88">
        <f t="shared" si="3"/>
        <v>0.11</v>
      </c>
      <c r="I899" s="89">
        <v>0.1</v>
      </c>
      <c r="J899" s="130"/>
      <c r="K899" s="89">
        <f t="shared" si="4"/>
        <v>0.01</v>
      </c>
      <c r="L899" s="84">
        <f t="shared" si="5"/>
        <v>898</v>
      </c>
      <c r="M899" s="85" t="s">
        <v>133</v>
      </c>
    </row>
    <row r="900" ht="22.5" customHeight="1">
      <c r="A900" s="83">
        <v>46197.0</v>
      </c>
      <c r="B900" s="84" t="str">
        <f t="shared" si="1"/>
        <v>Jun 2026</v>
      </c>
      <c r="C900" s="84">
        <f t="shared" si="2"/>
        <v>26</v>
      </c>
      <c r="D900" s="85" t="s">
        <v>159</v>
      </c>
      <c r="E900" s="85" t="s">
        <v>130</v>
      </c>
      <c r="F900" s="86" t="s">
        <v>258</v>
      </c>
      <c r="G900" s="86" t="s">
        <v>169</v>
      </c>
      <c r="H900" s="88">
        <f t="shared" si="3"/>
        <v>0.11</v>
      </c>
      <c r="I900" s="89">
        <v>0.1</v>
      </c>
      <c r="J900" s="130"/>
      <c r="K900" s="89">
        <f t="shared" si="4"/>
        <v>0.01</v>
      </c>
      <c r="L900" s="84">
        <f t="shared" si="5"/>
        <v>899</v>
      </c>
      <c r="M900" s="85" t="s">
        <v>181</v>
      </c>
    </row>
    <row r="901" ht="22.5" customHeight="1">
      <c r="A901" s="83">
        <v>46197.0</v>
      </c>
      <c r="B901" s="84" t="str">
        <f t="shared" si="1"/>
        <v>Jun 2026</v>
      </c>
      <c r="C901" s="84">
        <f t="shared" si="2"/>
        <v>26</v>
      </c>
      <c r="D901" s="85" t="s">
        <v>159</v>
      </c>
      <c r="E901" s="85" t="s">
        <v>130</v>
      </c>
      <c r="F901" s="86" t="s">
        <v>265</v>
      </c>
      <c r="G901" s="86" t="s">
        <v>201</v>
      </c>
      <c r="H901" s="88">
        <f t="shared" si="3"/>
        <v>0.11</v>
      </c>
      <c r="I901" s="89">
        <v>0.1</v>
      </c>
      <c r="J901" s="130"/>
      <c r="K901" s="89">
        <f t="shared" si="4"/>
        <v>0.01</v>
      </c>
      <c r="L901" s="84">
        <f t="shared" si="5"/>
        <v>900</v>
      </c>
      <c r="M901" s="85" t="s">
        <v>181</v>
      </c>
    </row>
    <row r="902" ht="22.5" customHeight="1">
      <c r="A902" s="83">
        <v>46197.0</v>
      </c>
      <c r="B902" s="84" t="str">
        <f t="shared" si="1"/>
        <v>Jun 2026</v>
      </c>
      <c r="C902" s="84">
        <f t="shared" si="2"/>
        <v>26</v>
      </c>
      <c r="D902" s="85" t="s">
        <v>159</v>
      </c>
      <c r="E902" s="85" t="s">
        <v>130</v>
      </c>
      <c r="F902" s="86" t="s">
        <v>253</v>
      </c>
      <c r="G902" s="87" t="s">
        <v>168</v>
      </c>
      <c r="H902" s="88">
        <f t="shared" si="3"/>
        <v>0.11</v>
      </c>
      <c r="I902" s="89">
        <v>0.1</v>
      </c>
      <c r="J902" s="130"/>
      <c r="K902" s="89">
        <f t="shared" si="4"/>
        <v>0.01</v>
      </c>
      <c r="L902" s="84">
        <f t="shared" si="5"/>
        <v>901</v>
      </c>
      <c r="M902" s="85" t="s">
        <v>181</v>
      </c>
    </row>
    <row r="903" ht="22.5" customHeight="1">
      <c r="A903" s="83">
        <v>46197.0</v>
      </c>
      <c r="B903" s="84" t="str">
        <f t="shared" si="1"/>
        <v>Jun 2026</v>
      </c>
      <c r="C903" s="84">
        <f t="shared" si="2"/>
        <v>26</v>
      </c>
      <c r="D903" s="85" t="s">
        <v>159</v>
      </c>
      <c r="E903" s="85" t="s">
        <v>130</v>
      </c>
      <c r="F903" s="86" t="s">
        <v>264</v>
      </c>
      <c r="G903" s="86" t="s">
        <v>186</v>
      </c>
      <c r="H903" s="88">
        <f t="shared" si="3"/>
        <v>0.11</v>
      </c>
      <c r="I903" s="89">
        <v>0.1</v>
      </c>
      <c r="J903" s="130"/>
      <c r="K903" s="89">
        <f t="shared" si="4"/>
        <v>0.01</v>
      </c>
      <c r="L903" s="84">
        <f t="shared" si="5"/>
        <v>902</v>
      </c>
      <c r="M903" s="85" t="s">
        <v>133</v>
      </c>
    </row>
    <row r="904" ht="22.5" customHeight="1">
      <c r="A904" s="83">
        <v>46197.0</v>
      </c>
      <c r="B904" s="84" t="str">
        <f t="shared" si="1"/>
        <v>Jun 2026</v>
      </c>
      <c r="C904" s="84">
        <f t="shared" si="2"/>
        <v>26</v>
      </c>
      <c r="D904" s="85" t="s">
        <v>159</v>
      </c>
      <c r="E904" s="85" t="s">
        <v>130</v>
      </c>
      <c r="F904" s="86" t="s">
        <v>266</v>
      </c>
      <c r="G904" s="86" t="s">
        <v>198</v>
      </c>
      <c r="H904" s="88">
        <f t="shared" si="3"/>
        <v>0.11</v>
      </c>
      <c r="I904" s="89">
        <v>0.1</v>
      </c>
      <c r="J904" s="130"/>
      <c r="K904" s="89">
        <f t="shared" si="4"/>
        <v>0.01</v>
      </c>
      <c r="L904" s="84">
        <f t="shared" si="5"/>
        <v>903</v>
      </c>
      <c r="M904" s="85" t="s">
        <v>133</v>
      </c>
    </row>
    <row r="905" ht="22.5" customHeight="1">
      <c r="A905" s="83">
        <v>46197.0</v>
      </c>
      <c r="B905" s="84" t="str">
        <f t="shared" si="1"/>
        <v>Jun 2026</v>
      </c>
      <c r="C905" s="84">
        <f t="shared" si="2"/>
        <v>26</v>
      </c>
      <c r="D905" s="85" t="s">
        <v>129</v>
      </c>
      <c r="E905" s="85" t="s">
        <v>130</v>
      </c>
      <c r="F905" s="86" t="s">
        <v>267</v>
      </c>
      <c r="G905" s="86" t="s">
        <v>225</v>
      </c>
      <c r="H905" s="88">
        <f t="shared" si="3"/>
        <v>0.7337</v>
      </c>
      <c r="I905" s="89">
        <v>0.667</v>
      </c>
      <c r="J905" s="130"/>
      <c r="K905" s="89">
        <f t="shared" si="4"/>
        <v>0.0667</v>
      </c>
      <c r="L905" s="84">
        <f t="shared" si="5"/>
        <v>904</v>
      </c>
      <c r="M905" s="85" t="s">
        <v>133</v>
      </c>
    </row>
    <row r="906" ht="22.5" customHeight="1">
      <c r="A906" s="83">
        <v>46198.0</v>
      </c>
      <c r="B906" s="84" t="str">
        <f t="shared" si="1"/>
        <v>Jun 2026</v>
      </c>
      <c r="C906" s="84">
        <f t="shared" si="2"/>
        <v>26</v>
      </c>
      <c r="D906" s="85" t="s">
        <v>159</v>
      </c>
      <c r="E906" s="85" t="s">
        <v>164</v>
      </c>
      <c r="F906" s="86" t="s">
        <v>263</v>
      </c>
      <c r="G906" s="86" t="s">
        <v>205</v>
      </c>
      <c r="H906" s="88">
        <f t="shared" si="3"/>
        <v>0.11</v>
      </c>
      <c r="I906" s="89">
        <v>0.1</v>
      </c>
      <c r="J906" s="130"/>
      <c r="K906" s="89">
        <f t="shared" si="4"/>
        <v>0.01</v>
      </c>
      <c r="L906" s="84">
        <f t="shared" si="5"/>
        <v>905</v>
      </c>
      <c r="M906" s="85" t="s">
        <v>181</v>
      </c>
    </row>
    <row r="907" ht="22.5" customHeight="1">
      <c r="A907" s="83">
        <v>46198.0</v>
      </c>
      <c r="B907" s="84" t="str">
        <f t="shared" si="1"/>
        <v>Jun 2026</v>
      </c>
      <c r="C907" s="84">
        <f t="shared" si="2"/>
        <v>26</v>
      </c>
      <c r="D907" s="85" t="s">
        <v>159</v>
      </c>
      <c r="E907" s="85" t="s">
        <v>164</v>
      </c>
      <c r="F907" s="86" t="s">
        <v>173</v>
      </c>
      <c r="G907" s="87" t="s">
        <v>174</v>
      </c>
      <c r="H907" s="88">
        <f t="shared" si="3"/>
        <v>0.11</v>
      </c>
      <c r="I907" s="89">
        <v>0.1</v>
      </c>
      <c r="J907" s="130"/>
      <c r="K907" s="89">
        <f t="shared" si="4"/>
        <v>0.01</v>
      </c>
      <c r="L907" s="84">
        <f t="shared" si="5"/>
        <v>906</v>
      </c>
      <c r="M907" s="85" t="s">
        <v>133</v>
      </c>
    </row>
    <row r="908" ht="22.5" customHeight="1">
      <c r="A908" s="83">
        <v>46198.0</v>
      </c>
      <c r="B908" s="84" t="str">
        <f t="shared" si="1"/>
        <v>Jun 2026</v>
      </c>
      <c r="C908" s="84">
        <f t="shared" si="2"/>
        <v>26</v>
      </c>
      <c r="D908" s="85" t="s">
        <v>159</v>
      </c>
      <c r="E908" s="85" t="s">
        <v>164</v>
      </c>
      <c r="F908" s="86" t="s">
        <v>233</v>
      </c>
      <c r="G908" s="86" t="s">
        <v>199</v>
      </c>
      <c r="H908" s="88">
        <f t="shared" si="3"/>
        <v>0.11</v>
      </c>
      <c r="I908" s="89">
        <v>0.1</v>
      </c>
      <c r="J908" s="130"/>
      <c r="K908" s="89">
        <f t="shared" si="4"/>
        <v>0.01</v>
      </c>
      <c r="L908" s="84">
        <f t="shared" si="5"/>
        <v>907</v>
      </c>
      <c r="M908" s="85" t="s">
        <v>133</v>
      </c>
    </row>
    <row r="909" ht="22.5" customHeight="1">
      <c r="A909" s="83">
        <v>46198.0</v>
      </c>
      <c r="B909" s="84" t="str">
        <f t="shared" si="1"/>
        <v>Jun 2026</v>
      </c>
      <c r="C909" s="84">
        <f t="shared" si="2"/>
        <v>26</v>
      </c>
      <c r="D909" s="85" t="s">
        <v>129</v>
      </c>
      <c r="E909" s="85" t="s">
        <v>164</v>
      </c>
      <c r="F909" s="86" t="s">
        <v>267</v>
      </c>
      <c r="G909" s="86" t="s">
        <v>225</v>
      </c>
      <c r="H909" s="88">
        <f t="shared" si="3"/>
        <v>0.7337</v>
      </c>
      <c r="I909" s="89">
        <v>0.667</v>
      </c>
      <c r="J909" s="130"/>
      <c r="K909" s="89">
        <f t="shared" si="4"/>
        <v>0.0667</v>
      </c>
      <c r="L909" s="84">
        <f t="shared" si="5"/>
        <v>908</v>
      </c>
      <c r="M909" s="85" t="s">
        <v>133</v>
      </c>
    </row>
    <row r="910" ht="22.5" customHeight="1">
      <c r="A910" s="83">
        <v>46198.0</v>
      </c>
      <c r="B910" s="84" t="str">
        <f t="shared" si="1"/>
        <v>Jun 2026</v>
      </c>
      <c r="C910" s="84">
        <f t="shared" si="2"/>
        <v>26</v>
      </c>
      <c r="D910" s="85" t="s">
        <v>159</v>
      </c>
      <c r="E910" s="85" t="s">
        <v>164</v>
      </c>
      <c r="F910" s="86" t="s">
        <v>266</v>
      </c>
      <c r="G910" s="86" t="s">
        <v>198</v>
      </c>
      <c r="H910" s="88">
        <f t="shared" si="3"/>
        <v>0.11</v>
      </c>
      <c r="I910" s="89">
        <v>0.1</v>
      </c>
      <c r="J910" s="130"/>
      <c r="K910" s="89">
        <f t="shared" si="4"/>
        <v>0.01</v>
      </c>
      <c r="L910" s="84">
        <f t="shared" si="5"/>
        <v>909</v>
      </c>
      <c r="M910" s="85" t="s">
        <v>181</v>
      </c>
    </row>
    <row r="911" ht="22.5" customHeight="1">
      <c r="A911" s="83">
        <v>46198.0</v>
      </c>
      <c r="B911" s="84" t="str">
        <f t="shared" si="1"/>
        <v>Jun 2026</v>
      </c>
      <c r="C911" s="84">
        <f t="shared" si="2"/>
        <v>26</v>
      </c>
      <c r="D911" s="85" t="s">
        <v>159</v>
      </c>
      <c r="E911" s="85" t="s">
        <v>164</v>
      </c>
      <c r="F911" s="86" t="s">
        <v>236</v>
      </c>
      <c r="G911" s="87" t="s">
        <v>170</v>
      </c>
      <c r="H911" s="88">
        <f t="shared" si="3"/>
        <v>0.11</v>
      </c>
      <c r="I911" s="89">
        <v>0.1</v>
      </c>
      <c r="J911" s="130"/>
      <c r="K911" s="89">
        <f t="shared" si="4"/>
        <v>0.01</v>
      </c>
      <c r="L911" s="84">
        <f t="shared" si="5"/>
        <v>910</v>
      </c>
      <c r="M911" s="85" t="s">
        <v>181</v>
      </c>
    </row>
    <row r="912" ht="22.5" customHeight="1">
      <c r="A912" s="83">
        <v>46198.0</v>
      </c>
      <c r="B912" s="84" t="str">
        <f t="shared" si="1"/>
        <v>Jun 2026</v>
      </c>
      <c r="C912" s="84">
        <f t="shared" si="2"/>
        <v>26</v>
      </c>
      <c r="D912" s="85" t="s">
        <v>159</v>
      </c>
      <c r="E912" s="85" t="s">
        <v>164</v>
      </c>
      <c r="F912" s="86" t="s">
        <v>236</v>
      </c>
      <c r="G912" s="87" t="s">
        <v>170</v>
      </c>
      <c r="H912" s="88">
        <f t="shared" si="3"/>
        <v>0.11</v>
      </c>
      <c r="I912" s="89">
        <v>0.1</v>
      </c>
      <c r="J912" s="130"/>
      <c r="K912" s="89">
        <f t="shared" si="4"/>
        <v>0.01</v>
      </c>
      <c r="L912" s="84">
        <f t="shared" si="5"/>
        <v>911</v>
      </c>
      <c r="M912" s="85" t="s">
        <v>133</v>
      </c>
    </row>
    <row r="913" ht="22.5" customHeight="1">
      <c r="A913" s="83">
        <v>46198.0</v>
      </c>
      <c r="B913" s="84" t="str">
        <f t="shared" si="1"/>
        <v>Jun 2026</v>
      </c>
      <c r="C913" s="84">
        <f t="shared" si="2"/>
        <v>26</v>
      </c>
      <c r="D913" s="85" t="s">
        <v>159</v>
      </c>
      <c r="E913" s="85" t="s">
        <v>164</v>
      </c>
      <c r="F913" s="86" t="s">
        <v>254</v>
      </c>
      <c r="G913" s="87" t="s">
        <v>179</v>
      </c>
      <c r="H913" s="88">
        <f t="shared" si="3"/>
        <v>0.11</v>
      </c>
      <c r="I913" s="89">
        <v>0.1</v>
      </c>
      <c r="J913" s="130"/>
      <c r="K913" s="89">
        <f t="shared" si="4"/>
        <v>0.01</v>
      </c>
      <c r="L913" s="84">
        <f t="shared" si="5"/>
        <v>912</v>
      </c>
      <c r="M913" s="85" t="s">
        <v>133</v>
      </c>
    </row>
    <row r="914" ht="22.5" customHeight="1">
      <c r="A914" s="83">
        <v>46198.0</v>
      </c>
      <c r="B914" s="84" t="str">
        <f t="shared" si="1"/>
        <v>Jun 2026</v>
      </c>
      <c r="C914" s="84">
        <f t="shared" si="2"/>
        <v>26</v>
      </c>
      <c r="D914" s="85" t="s">
        <v>159</v>
      </c>
      <c r="E914" s="85" t="s">
        <v>164</v>
      </c>
      <c r="F914" s="86" t="s">
        <v>254</v>
      </c>
      <c r="G914" s="87" t="s">
        <v>179</v>
      </c>
      <c r="H914" s="88">
        <f t="shared" si="3"/>
        <v>0.11</v>
      </c>
      <c r="I914" s="89">
        <v>0.1</v>
      </c>
      <c r="J914" s="130"/>
      <c r="K914" s="89">
        <f t="shared" si="4"/>
        <v>0.01</v>
      </c>
      <c r="L914" s="84">
        <f t="shared" si="5"/>
        <v>913</v>
      </c>
      <c r="M914" s="85" t="s">
        <v>181</v>
      </c>
    </row>
    <row r="915" ht="22.5" customHeight="1">
      <c r="A915" s="83">
        <v>46198.0</v>
      </c>
      <c r="B915" s="84" t="str">
        <f t="shared" si="1"/>
        <v>Jun 2026</v>
      </c>
      <c r="C915" s="84">
        <f t="shared" si="2"/>
        <v>26</v>
      </c>
      <c r="D915" s="85" t="s">
        <v>159</v>
      </c>
      <c r="E915" s="85" t="s">
        <v>164</v>
      </c>
      <c r="F915" s="86" t="s">
        <v>254</v>
      </c>
      <c r="G915" s="87" t="s">
        <v>179</v>
      </c>
      <c r="H915" s="88">
        <f t="shared" si="3"/>
        <v>0.11</v>
      </c>
      <c r="I915" s="89">
        <v>0.1</v>
      </c>
      <c r="J915" s="130"/>
      <c r="K915" s="89">
        <f t="shared" si="4"/>
        <v>0.01</v>
      </c>
      <c r="L915" s="84">
        <f t="shared" si="5"/>
        <v>914</v>
      </c>
      <c r="M915" s="85" t="s">
        <v>181</v>
      </c>
    </row>
    <row r="916" ht="22.5" customHeight="1">
      <c r="A916" s="83">
        <v>46198.0</v>
      </c>
      <c r="B916" s="84" t="str">
        <f t="shared" si="1"/>
        <v>Jun 2026</v>
      </c>
      <c r="C916" s="84">
        <f t="shared" si="2"/>
        <v>26</v>
      </c>
      <c r="D916" s="85" t="s">
        <v>159</v>
      </c>
      <c r="E916" s="85" t="s">
        <v>164</v>
      </c>
      <c r="F916" s="86" t="s">
        <v>254</v>
      </c>
      <c r="G916" s="87" t="s">
        <v>179</v>
      </c>
      <c r="H916" s="88">
        <f t="shared" si="3"/>
        <v>0.11</v>
      </c>
      <c r="I916" s="89">
        <v>0.1</v>
      </c>
      <c r="J916" s="130"/>
      <c r="K916" s="89">
        <f t="shared" si="4"/>
        <v>0.01</v>
      </c>
      <c r="L916" s="84">
        <f t="shared" si="5"/>
        <v>915</v>
      </c>
      <c r="M916" s="85" t="s">
        <v>133</v>
      </c>
    </row>
    <row r="917" ht="22.5" customHeight="1">
      <c r="A917" s="83">
        <v>46198.0</v>
      </c>
      <c r="B917" s="84" t="str">
        <f t="shared" si="1"/>
        <v>Jun 2026</v>
      </c>
      <c r="C917" s="84">
        <f t="shared" si="2"/>
        <v>26</v>
      </c>
      <c r="D917" s="85" t="s">
        <v>159</v>
      </c>
      <c r="E917" s="85" t="s">
        <v>164</v>
      </c>
      <c r="F917" s="86" t="s">
        <v>265</v>
      </c>
      <c r="G917" s="86" t="s">
        <v>201</v>
      </c>
      <c r="H917" s="88">
        <f t="shared" si="3"/>
        <v>0.11</v>
      </c>
      <c r="I917" s="89">
        <v>0.1</v>
      </c>
      <c r="J917" s="130"/>
      <c r="K917" s="89">
        <f t="shared" si="4"/>
        <v>0.01</v>
      </c>
      <c r="L917" s="84">
        <f t="shared" si="5"/>
        <v>916</v>
      </c>
      <c r="M917" s="85" t="s">
        <v>133</v>
      </c>
    </row>
    <row r="918" ht="22.5" customHeight="1">
      <c r="A918" s="83">
        <v>46198.0</v>
      </c>
      <c r="B918" s="84" t="str">
        <f t="shared" si="1"/>
        <v>Jun 2026</v>
      </c>
      <c r="C918" s="84">
        <f t="shared" si="2"/>
        <v>26</v>
      </c>
      <c r="D918" s="85" t="s">
        <v>159</v>
      </c>
      <c r="E918" s="85" t="s">
        <v>164</v>
      </c>
      <c r="F918" s="86" t="s">
        <v>253</v>
      </c>
      <c r="G918" s="87" t="s">
        <v>168</v>
      </c>
      <c r="H918" s="88">
        <f t="shared" si="3"/>
        <v>0.11</v>
      </c>
      <c r="I918" s="89">
        <v>0.1</v>
      </c>
      <c r="J918" s="130"/>
      <c r="K918" s="89">
        <f t="shared" si="4"/>
        <v>0.01</v>
      </c>
      <c r="L918" s="84">
        <f t="shared" si="5"/>
        <v>917</v>
      </c>
      <c r="M918" s="85" t="s">
        <v>181</v>
      </c>
    </row>
    <row r="919" ht="22.5" customHeight="1">
      <c r="A919" s="83">
        <v>46198.0</v>
      </c>
      <c r="B919" s="84" t="str">
        <f t="shared" si="1"/>
        <v>Jun 2026</v>
      </c>
      <c r="C919" s="84">
        <f t="shared" si="2"/>
        <v>26</v>
      </c>
      <c r="D919" s="85" t="s">
        <v>159</v>
      </c>
      <c r="E919" s="85" t="s">
        <v>164</v>
      </c>
      <c r="F919" s="86" t="s">
        <v>264</v>
      </c>
      <c r="G919" s="86" t="s">
        <v>186</v>
      </c>
      <c r="H919" s="88">
        <f t="shared" si="3"/>
        <v>0.11</v>
      </c>
      <c r="I919" s="89">
        <v>0.1</v>
      </c>
      <c r="J919" s="130"/>
      <c r="K919" s="89">
        <f t="shared" si="4"/>
        <v>0.01</v>
      </c>
      <c r="L919" s="84">
        <f t="shared" si="5"/>
        <v>918</v>
      </c>
      <c r="M919" s="85" t="s">
        <v>181</v>
      </c>
    </row>
    <row r="920" ht="22.5" customHeight="1">
      <c r="A920" s="83">
        <v>46198.0</v>
      </c>
      <c r="B920" s="84" t="str">
        <f t="shared" si="1"/>
        <v>Jun 2026</v>
      </c>
      <c r="C920" s="84">
        <f t="shared" si="2"/>
        <v>26</v>
      </c>
      <c r="D920" s="85" t="s">
        <v>159</v>
      </c>
      <c r="E920" s="85" t="s">
        <v>164</v>
      </c>
      <c r="F920" s="86" t="s">
        <v>258</v>
      </c>
      <c r="G920" s="86" t="s">
        <v>169</v>
      </c>
      <c r="H920" s="88">
        <f t="shared" si="3"/>
        <v>0.11</v>
      </c>
      <c r="I920" s="89">
        <v>0.1</v>
      </c>
      <c r="J920" s="130"/>
      <c r="K920" s="89">
        <f t="shared" si="4"/>
        <v>0.01</v>
      </c>
      <c r="L920" s="84">
        <f t="shared" si="5"/>
        <v>919</v>
      </c>
      <c r="M920" s="85" t="s">
        <v>133</v>
      </c>
    </row>
    <row r="921" ht="22.5" customHeight="1">
      <c r="A921" s="83">
        <v>46198.0</v>
      </c>
      <c r="B921" s="84" t="str">
        <f t="shared" si="1"/>
        <v>Jun 2026</v>
      </c>
      <c r="C921" s="84">
        <f t="shared" si="2"/>
        <v>26</v>
      </c>
      <c r="D921" s="85" t="s">
        <v>129</v>
      </c>
      <c r="E921" s="85" t="s">
        <v>164</v>
      </c>
      <c r="F921" s="86" t="s">
        <v>267</v>
      </c>
      <c r="G921" s="86" t="s">
        <v>225</v>
      </c>
      <c r="H921" s="88">
        <f t="shared" si="3"/>
        <v>0.7337</v>
      </c>
      <c r="I921" s="89">
        <v>0.667</v>
      </c>
      <c r="J921" s="130"/>
      <c r="K921" s="89">
        <f t="shared" si="4"/>
        <v>0.0667</v>
      </c>
      <c r="L921" s="84">
        <f t="shared" si="5"/>
        <v>920</v>
      </c>
      <c r="M921" s="85" t="s">
        <v>133</v>
      </c>
    </row>
    <row r="922" ht="22.5" customHeight="1">
      <c r="A922" s="83">
        <v>46198.0</v>
      </c>
      <c r="B922" s="84" t="str">
        <f t="shared" si="1"/>
        <v>Jun 2026</v>
      </c>
      <c r="C922" s="84">
        <f t="shared" si="2"/>
        <v>26</v>
      </c>
      <c r="D922" s="85" t="s">
        <v>129</v>
      </c>
      <c r="E922" s="85" t="s">
        <v>164</v>
      </c>
      <c r="F922" s="86" t="s">
        <v>262</v>
      </c>
      <c r="G922" s="86" t="s">
        <v>221</v>
      </c>
      <c r="H922" s="88">
        <f t="shared" si="3"/>
        <v>0.7337</v>
      </c>
      <c r="I922" s="89">
        <v>0.667</v>
      </c>
      <c r="J922" s="130"/>
      <c r="K922" s="89">
        <f t="shared" si="4"/>
        <v>0.0667</v>
      </c>
      <c r="L922" s="84">
        <f t="shared" si="5"/>
        <v>921</v>
      </c>
      <c r="M922" s="85" t="s">
        <v>133</v>
      </c>
    </row>
    <row r="923" ht="22.5" customHeight="1">
      <c r="A923" s="83">
        <v>46198.0</v>
      </c>
      <c r="B923" s="84" t="str">
        <f t="shared" si="1"/>
        <v>Jun 2026</v>
      </c>
      <c r="C923" s="84">
        <f t="shared" si="2"/>
        <v>26</v>
      </c>
      <c r="D923" s="85" t="s">
        <v>129</v>
      </c>
      <c r="E923" s="85" t="s">
        <v>164</v>
      </c>
      <c r="F923" s="86" t="s">
        <v>267</v>
      </c>
      <c r="G923" s="86" t="s">
        <v>225</v>
      </c>
      <c r="H923" s="88">
        <f t="shared" si="3"/>
        <v>0.7337</v>
      </c>
      <c r="I923" s="89">
        <v>0.667</v>
      </c>
      <c r="J923" s="130"/>
      <c r="K923" s="89">
        <f t="shared" si="4"/>
        <v>0.0667</v>
      </c>
      <c r="L923" s="84">
        <f t="shared" si="5"/>
        <v>922</v>
      </c>
      <c r="M923" s="85" t="s">
        <v>133</v>
      </c>
    </row>
    <row r="924" ht="22.5" customHeight="1">
      <c r="A924" s="83">
        <v>46198.0</v>
      </c>
      <c r="B924" s="84" t="str">
        <f t="shared" si="1"/>
        <v>Jun 2026</v>
      </c>
      <c r="C924" s="84">
        <f t="shared" si="2"/>
        <v>26</v>
      </c>
      <c r="D924" s="85" t="s">
        <v>129</v>
      </c>
      <c r="E924" s="85" t="s">
        <v>164</v>
      </c>
      <c r="F924" s="86" t="s">
        <v>131</v>
      </c>
      <c r="G924" s="87" t="s">
        <v>132</v>
      </c>
      <c r="H924" s="88">
        <f t="shared" si="3"/>
        <v>0.7337</v>
      </c>
      <c r="I924" s="89">
        <v>0.667</v>
      </c>
      <c r="J924" s="130"/>
      <c r="K924" s="89">
        <f t="shared" si="4"/>
        <v>0.0667</v>
      </c>
      <c r="L924" s="84">
        <f t="shared" si="5"/>
        <v>923</v>
      </c>
      <c r="M924" s="85" t="s">
        <v>133</v>
      </c>
    </row>
    <row r="925" ht="22.5" customHeight="1">
      <c r="A925" s="83">
        <v>46198.0</v>
      </c>
      <c r="B925" s="84" t="str">
        <f t="shared" si="1"/>
        <v>Jun 2026</v>
      </c>
      <c r="C925" s="84">
        <f t="shared" si="2"/>
        <v>26</v>
      </c>
      <c r="D925" s="85" t="s">
        <v>159</v>
      </c>
      <c r="E925" s="85" t="s">
        <v>165</v>
      </c>
      <c r="F925" s="86" t="s">
        <v>233</v>
      </c>
      <c r="G925" s="87" t="s">
        <v>210</v>
      </c>
      <c r="H925" s="88">
        <f t="shared" si="3"/>
        <v>0.11</v>
      </c>
      <c r="I925" s="89">
        <v>0.1</v>
      </c>
      <c r="J925" s="130"/>
      <c r="K925" s="89">
        <f t="shared" si="4"/>
        <v>0.01</v>
      </c>
      <c r="L925" s="84">
        <f t="shared" si="5"/>
        <v>924</v>
      </c>
      <c r="M925" s="85" t="s">
        <v>133</v>
      </c>
    </row>
    <row r="926" ht="22.5" customHeight="1">
      <c r="A926" s="83">
        <v>46198.0</v>
      </c>
      <c r="B926" s="84" t="str">
        <f t="shared" si="1"/>
        <v>Jun 2026</v>
      </c>
      <c r="C926" s="84">
        <f t="shared" si="2"/>
        <v>26</v>
      </c>
      <c r="D926" s="85" t="s">
        <v>129</v>
      </c>
      <c r="E926" s="85" t="s">
        <v>165</v>
      </c>
      <c r="F926" s="86" t="s">
        <v>131</v>
      </c>
      <c r="G926" s="87" t="s">
        <v>132</v>
      </c>
      <c r="H926" s="88">
        <f t="shared" si="3"/>
        <v>0.7337</v>
      </c>
      <c r="I926" s="89">
        <v>0.667</v>
      </c>
      <c r="J926" s="130"/>
      <c r="K926" s="89">
        <f t="shared" si="4"/>
        <v>0.0667</v>
      </c>
      <c r="L926" s="84">
        <f t="shared" si="5"/>
        <v>925</v>
      </c>
      <c r="M926" s="85" t="s">
        <v>133</v>
      </c>
    </row>
    <row r="927" ht="22.5" customHeight="1">
      <c r="A927" s="83">
        <v>46198.0</v>
      </c>
      <c r="B927" s="84" t="str">
        <f t="shared" si="1"/>
        <v>Jun 2026</v>
      </c>
      <c r="C927" s="84">
        <f t="shared" si="2"/>
        <v>26</v>
      </c>
      <c r="D927" s="85" t="s">
        <v>159</v>
      </c>
      <c r="E927" s="85" t="s">
        <v>165</v>
      </c>
      <c r="F927" s="86" t="s">
        <v>253</v>
      </c>
      <c r="G927" s="87" t="s">
        <v>168</v>
      </c>
      <c r="H927" s="88">
        <f t="shared" si="3"/>
        <v>0.11</v>
      </c>
      <c r="I927" s="89">
        <v>0.1</v>
      </c>
      <c r="J927" s="130"/>
      <c r="K927" s="89">
        <f t="shared" si="4"/>
        <v>0.01</v>
      </c>
      <c r="L927" s="84">
        <f t="shared" si="5"/>
        <v>926</v>
      </c>
      <c r="M927" s="85" t="s">
        <v>181</v>
      </c>
    </row>
    <row r="928" ht="22.5" customHeight="1">
      <c r="A928" s="83">
        <v>46198.0</v>
      </c>
      <c r="B928" s="84" t="str">
        <f t="shared" si="1"/>
        <v>Jun 2026</v>
      </c>
      <c r="C928" s="84">
        <f t="shared" si="2"/>
        <v>26</v>
      </c>
      <c r="D928" s="85" t="s">
        <v>159</v>
      </c>
      <c r="E928" s="85" t="s">
        <v>165</v>
      </c>
      <c r="F928" s="86" t="s">
        <v>173</v>
      </c>
      <c r="G928" s="87" t="s">
        <v>174</v>
      </c>
      <c r="H928" s="88">
        <f t="shared" si="3"/>
        <v>0.11</v>
      </c>
      <c r="I928" s="89">
        <v>0.1</v>
      </c>
      <c r="J928" s="130"/>
      <c r="K928" s="89">
        <f t="shared" si="4"/>
        <v>0.01</v>
      </c>
      <c r="L928" s="84">
        <f t="shared" si="5"/>
        <v>927</v>
      </c>
      <c r="M928" s="85" t="s">
        <v>181</v>
      </c>
    </row>
    <row r="929" ht="22.5" customHeight="1">
      <c r="A929" s="83">
        <v>46198.0</v>
      </c>
      <c r="B929" s="84" t="str">
        <f t="shared" si="1"/>
        <v>Jun 2026</v>
      </c>
      <c r="C929" s="84">
        <f t="shared" si="2"/>
        <v>26</v>
      </c>
      <c r="D929" s="85" t="s">
        <v>159</v>
      </c>
      <c r="E929" s="85" t="s">
        <v>165</v>
      </c>
      <c r="F929" s="86" t="s">
        <v>266</v>
      </c>
      <c r="G929" s="86" t="s">
        <v>198</v>
      </c>
      <c r="H929" s="88">
        <f t="shared" si="3"/>
        <v>0.11</v>
      </c>
      <c r="I929" s="89">
        <v>0.1</v>
      </c>
      <c r="J929" s="130"/>
      <c r="K929" s="89">
        <f t="shared" si="4"/>
        <v>0.01</v>
      </c>
      <c r="L929" s="84">
        <f t="shared" si="5"/>
        <v>928</v>
      </c>
      <c r="M929" s="85" t="s">
        <v>133</v>
      </c>
    </row>
    <row r="930" ht="22.5" customHeight="1">
      <c r="A930" s="83">
        <v>46198.0</v>
      </c>
      <c r="B930" s="84" t="str">
        <f t="shared" si="1"/>
        <v>Jun 2026</v>
      </c>
      <c r="C930" s="84">
        <f t="shared" si="2"/>
        <v>26</v>
      </c>
      <c r="D930" s="85" t="s">
        <v>159</v>
      </c>
      <c r="E930" s="85" t="s">
        <v>165</v>
      </c>
      <c r="F930" s="86" t="s">
        <v>173</v>
      </c>
      <c r="G930" s="87" t="s">
        <v>174</v>
      </c>
      <c r="H930" s="88">
        <f t="shared" si="3"/>
        <v>0.11</v>
      </c>
      <c r="I930" s="89">
        <v>0.1</v>
      </c>
      <c r="J930" s="130"/>
      <c r="K930" s="89">
        <f t="shared" si="4"/>
        <v>0.01</v>
      </c>
      <c r="L930" s="84">
        <f t="shared" si="5"/>
        <v>929</v>
      </c>
      <c r="M930" s="85" t="s">
        <v>133</v>
      </c>
    </row>
    <row r="931" ht="22.5" customHeight="1">
      <c r="A931" s="83">
        <v>46198.0</v>
      </c>
      <c r="B931" s="84" t="str">
        <f t="shared" si="1"/>
        <v>Jun 2026</v>
      </c>
      <c r="C931" s="84">
        <f t="shared" si="2"/>
        <v>26</v>
      </c>
      <c r="D931" s="85" t="s">
        <v>159</v>
      </c>
      <c r="E931" s="85" t="s">
        <v>165</v>
      </c>
      <c r="F931" s="86" t="s">
        <v>236</v>
      </c>
      <c r="G931" s="87" t="s">
        <v>170</v>
      </c>
      <c r="H931" s="88">
        <f t="shared" si="3"/>
        <v>0.11</v>
      </c>
      <c r="I931" s="89">
        <v>0.1</v>
      </c>
      <c r="J931" s="130"/>
      <c r="K931" s="89">
        <f t="shared" si="4"/>
        <v>0.01</v>
      </c>
      <c r="L931" s="84">
        <f t="shared" si="5"/>
        <v>930</v>
      </c>
      <c r="M931" s="85" t="s">
        <v>133</v>
      </c>
    </row>
    <row r="932" ht="22.5" customHeight="1">
      <c r="A932" s="83">
        <v>46198.0</v>
      </c>
      <c r="B932" s="84" t="str">
        <f t="shared" si="1"/>
        <v>Jun 2026</v>
      </c>
      <c r="C932" s="84">
        <f t="shared" si="2"/>
        <v>26</v>
      </c>
      <c r="D932" s="85" t="s">
        <v>159</v>
      </c>
      <c r="E932" s="85" t="s">
        <v>165</v>
      </c>
      <c r="F932" s="86" t="s">
        <v>236</v>
      </c>
      <c r="G932" s="87" t="s">
        <v>170</v>
      </c>
      <c r="H932" s="88">
        <f t="shared" si="3"/>
        <v>0.11</v>
      </c>
      <c r="I932" s="89">
        <v>0.1</v>
      </c>
      <c r="J932" s="130"/>
      <c r="K932" s="89">
        <f t="shared" si="4"/>
        <v>0.01</v>
      </c>
      <c r="L932" s="84">
        <f t="shared" si="5"/>
        <v>931</v>
      </c>
      <c r="M932" s="85" t="s">
        <v>181</v>
      </c>
    </row>
    <row r="933" ht="22.5" customHeight="1">
      <c r="A933" s="83">
        <v>46198.0</v>
      </c>
      <c r="B933" s="84" t="str">
        <f t="shared" si="1"/>
        <v>Jun 2026</v>
      </c>
      <c r="C933" s="84">
        <f t="shared" si="2"/>
        <v>26</v>
      </c>
      <c r="D933" s="85" t="s">
        <v>159</v>
      </c>
      <c r="E933" s="85" t="s">
        <v>165</v>
      </c>
      <c r="F933" s="86" t="s">
        <v>236</v>
      </c>
      <c r="G933" s="87" t="s">
        <v>170</v>
      </c>
      <c r="H933" s="88">
        <f t="shared" si="3"/>
        <v>0.11</v>
      </c>
      <c r="I933" s="89">
        <v>0.1</v>
      </c>
      <c r="J933" s="130"/>
      <c r="K933" s="89">
        <f t="shared" si="4"/>
        <v>0.01</v>
      </c>
      <c r="L933" s="84">
        <f t="shared" si="5"/>
        <v>932</v>
      </c>
      <c r="M933" s="85" t="s">
        <v>181</v>
      </c>
    </row>
    <row r="934" ht="22.5" customHeight="1">
      <c r="A934" s="83">
        <v>46198.0</v>
      </c>
      <c r="B934" s="84" t="str">
        <f t="shared" si="1"/>
        <v>Jun 2026</v>
      </c>
      <c r="C934" s="84">
        <f t="shared" si="2"/>
        <v>26</v>
      </c>
      <c r="D934" s="85" t="s">
        <v>159</v>
      </c>
      <c r="E934" s="85" t="s">
        <v>165</v>
      </c>
      <c r="F934" s="86" t="s">
        <v>254</v>
      </c>
      <c r="G934" s="87" t="s">
        <v>179</v>
      </c>
      <c r="H934" s="88">
        <f t="shared" si="3"/>
        <v>0.11</v>
      </c>
      <c r="I934" s="89">
        <v>0.1</v>
      </c>
      <c r="J934" s="130"/>
      <c r="K934" s="89">
        <f t="shared" si="4"/>
        <v>0.01</v>
      </c>
      <c r="L934" s="84">
        <f t="shared" si="5"/>
        <v>933</v>
      </c>
      <c r="M934" s="85" t="s">
        <v>181</v>
      </c>
    </row>
    <row r="935" ht="22.5" customHeight="1">
      <c r="A935" s="83">
        <v>46198.0</v>
      </c>
      <c r="B935" s="84" t="str">
        <f t="shared" si="1"/>
        <v>Jun 2026</v>
      </c>
      <c r="C935" s="84">
        <f t="shared" si="2"/>
        <v>26</v>
      </c>
      <c r="D935" s="85" t="s">
        <v>159</v>
      </c>
      <c r="E935" s="85" t="s">
        <v>165</v>
      </c>
      <c r="F935" s="86" t="s">
        <v>254</v>
      </c>
      <c r="G935" s="87" t="s">
        <v>179</v>
      </c>
      <c r="H935" s="88">
        <f t="shared" si="3"/>
        <v>0.11</v>
      </c>
      <c r="I935" s="89">
        <v>0.1</v>
      </c>
      <c r="J935" s="130"/>
      <c r="K935" s="89">
        <f t="shared" si="4"/>
        <v>0.01</v>
      </c>
      <c r="L935" s="84">
        <f t="shared" si="5"/>
        <v>934</v>
      </c>
      <c r="M935" s="85" t="s">
        <v>133</v>
      </c>
    </row>
    <row r="936" ht="22.5" customHeight="1">
      <c r="A936" s="83">
        <v>46198.0</v>
      </c>
      <c r="B936" s="84" t="str">
        <f t="shared" si="1"/>
        <v>Jun 2026</v>
      </c>
      <c r="C936" s="84">
        <f t="shared" si="2"/>
        <v>26</v>
      </c>
      <c r="D936" s="85" t="s">
        <v>159</v>
      </c>
      <c r="E936" s="85" t="s">
        <v>165</v>
      </c>
      <c r="F936" s="86" t="s">
        <v>254</v>
      </c>
      <c r="G936" s="87" t="s">
        <v>179</v>
      </c>
      <c r="H936" s="88">
        <f t="shared" si="3"/>
        <v>0.11</v>
      </c>
      <c r="I936" s="89">
        <v>0.1</v>
      </c>
      <c r="J936" s="130"/>
      <c r="K936" s="89">
        <f t="shared" si="4"/>
        <v>0.01</v>
      </c>
      <c r="L936" s="84">
        <f t="shared" si="5"/>
        <v>935</v>
      </c>
      <c r="M936" s="85" t="s">
        <v>133</v>
      </c>
    </row>
    <row r="937" ht="22.5" customHeight="1">
      <c r="A937" s="83">
        <v>46198.0</v>
      </c>
      <c r="B937" s="84" t="str">
        <f t="shared" si="1"/>
        <v>Jun 2026</v>
      </c>
      <c r="C937" s="84">
        <f t="shared" si="2"/>
        <v>26</v>
      </c>
      <c r="D937" s="85" t="s">
        <v>159</v>
      </c>
      <c r="E937" s="85" t="s">
        <v>165</v>
      </c>
      <c r="F937" s="86" t="s">
        <v>265</v>
      </c>
      <c r="G937" s="86" t="s">
        <v>201</v>
      </c>
      <c r="H937" s="88">
        <f t="shared" si="3"/>
        <v>0.11</v>
      </c>
      <c r="I937" s="89">
        <v>0.1</v>
      </c>
      <c r="J937" s="130"/>
      <c r="K937" s="89">
        <f t="shared" si="4"/>
        <v>0.01</v>
      </c>
      <c r="L937" s="84">
        <f t="shared" si="5"/>
        <v>936</v>
      </c>
      <c r="M937" s="85" t="s">
        <v>181</v>
      </c>
    </row>
    <row r="938" ht="22.5" customHeight="1">
      <c r="A938" s="83">
        <v>46198.0</v>
      </c>
      <c r="B938" s="84" t="str">
        <f t="shared" si="1"/>
        <v>Jun 2026</v>
      </c>
      <c r="C938" s="84">
        <f t="shared" si="2"/>
        <v>26</v>
      </c>
      <c r="D938" s="85" t="s">
        <v>159</v>
      </c>
      <c r="E938" s="85" t="s">
        <v>165</v>
      </c>
      <c r="F938" s="86" t="s">
        <v>258</v>
      </c>
      <c r="G938" s="86" t="s">
        <v>169</v>
      </c>
      <c r="H938" s="88">
        <f t="shared" si="3"/>
        <v>0.11</v>
      </c>
      <c r="I938" s="89">
        <v>0.1</v>
      </c>
      <c r="J938" s="130"/>
      <c r="K938" s="89">
        <f t="shared" si="4"/>
        <v>0.01</v>
      </c>
      <c r="L938" s="84">
        <f t="shared" si="5"/>
        <v>937</v>
      </c>
      <c r="M938" s="85" t="s">
        <v>133</v>
      </c>
    </row>
    <row r="939" ht="22.5" customHeight="1">
      <c r="A939" s="83">
        <v>46198.0</v>
      </c>
      <c r="B939" s="84" t="str">
        <f t="shared" si="1"/>
        <v>Jun 2026</v>
      </c>
      <c r="C939" s="84">
        <f t="shared" si="2"/>
        <v>26</v>
      </c>
      <c r="D939" s="85" t="s">
        <v>159</v>
      </c>
      <c r="E939" s="85" t="s">
        <v>165</v>
      </c>
      <c r="F939" s="86" t="s">
        <v>264</v>
      </c>
      <c r="G939" s="86" t="s">
        <v>186</v>
      </c>
      <c r="H939" s="88">
        <f t="shared" si="3"/>
        <v>0.11</v>
      </c>
      <c r="I939" s="89">
        <v>0.1</v>
      </c>
      <c r="J939" s="130"/>
      <c r="K939" s="89">
        <f t="shared" si="4"/>
        <v>0.01</v>
      </c>
      <c r="L939" s="84">
        <f t="shared" si="5"/>
        <v>938</v>
      </c>
      <c r="M939" s="85" t="s">
        <v>133</v>
      </c>
    </row>
    <row r="940" ht="22.5" customHeight="1">
      <c r="A940" s="83">
        <v>46198.0</v>
      </c>
      <c r="B940" s="84" t="str">
        <f t="shared" si="1"/>
        <v>Jun 2026</v>
      </c>
      <c r="C940" s="84">
        <f t="shared" si="2"/>
        <v>26</v>
      </c>
      <c r="D940" s="85" t="s">
        <v>159</v>
      </c>
      <c r="E940" s="85" t="s">
        <v>165</v>
      </c>
      <c r="F940" s="86" t="s">
        <v>263</v>
      </c>
      <c r="G940" s="86" t="s">
        <v>205</v>
      </c>
      <c r="H940" s="88">
        <f t="shared" si="3"/>
        <v>0.11</v>
      </c>
      <c r="I940" s="89">
        <v>0.1</v>
      </c>
      <c r="J940" s="130"/>
      <c r="K940" s="89">
        <f t="shared" si="4"/>
        <v>0.01</v>
      </c>
      <c r="L940" s="84">
        <f t="shared" si="5"/>
        <v>939</v>
      </c>
      <c r="M940" s="85" t="s">
        <v>133</v>
      </c>
    </row>
    <row r="941" ht="22.5" customHeight="1">
      <c r="A941" s="83">
        <v>46198.0</v>
      </c>
      <c r="B941" s="84" t="str">
        <f t="shared" si="1"/>
        <v>Jun 2026</v>
      </c>
      <c r="C941" s="84">
        <f t="shared" si="2"/>
        <v>26</v>
      </c>
      <c r="D941" s="85" t="s">
        <v>159</v>
      </c>
      <c r="E941" s="85" t="s">
        <v>165</v>
      </c>
      <c r="F941" s="86" t="s">
        <v>233</v>
      </c>
      <c r="G941" s="87" t="s">
        <v>210</v>
      </c>
      <c r="H941" s="88">
        <f t="shared" si="3"/>
        <v>0.11</v>
      </c>
      <c r="I941" s="89">
        <v>0.1</v>
      </c>
      <c r="J941" s="130"/>
      <c r="K941" s="89">
        <f t="shared" si="4"/>
        <v>0.01</v>
      </c>
      <c r="L941" s="84">
        <f t="shared" si="5"/>
        <v>940</v>
      </c>
      <c r="M941" s="85" t="s">
        <v>181</v>
      </c>
    </row>
    <row r="942" ht="22.5" customHeight="1">
      <c r="A942" s="83">
        <v>46198.0</v>
      </c>
      <c r="B942" s="84" t="str">
        <f t="shared" si="1"/>
        <v>Jun 2026</v>
      </c>
      <c r="C942" s="84">
        <f t="shared" si="2"/>
        <v>26</v>
      </c>
      <c r="D942" s="85" t="s">
        <v>159</v>
      </c>
      <c r="E942" s="85" t="s">
        <v>165</v>
      </c>
      <c r="F942" s="86" t="s">
        <v>258</v>
      </c>
      <c r="G942" s="86" t="s">
        <v>169</v>
      </c>
      <c r="H942" s="88">
        <f t="shared" si="3"/>
        <v>0.11</v>
      </c>
      <c r="I942" s="89">
        <v>0.1</v>
      </c>
      <c r="J942" s="130"/>
      <c r="K942" s="89">
        <f t="shared" si="4"/>
        <v>0.01</v>
      </c>
      <c r="L942" s="84">
        <f t="shared" si="5"/>
        <v>941</v>
      </c>
      <c r="M942" s="85" t="s">
        <v>181</v>
      </c>
    </row>
    <row r="943" ht="22.5" customHeight="1">
      <c r="A943" s="83">
        <v>46198.0</v>
      </c>
      <c r="B943" s="84" t="str">
        <f t="shared" si="1"/>
        <v>Jun 2026</v>
      </c>
      <c r="C943" s="84">
        <f t="shared" si="2"/>
        <v>26</v>
      </c>
      <c r="D943" s="85" t="s">
        <v>159</v>
      </c>
      <c r="E943" s="85" t="s">
        <v>165</v>
      </c>
      <c r="F943" s="86" t="s">
        <v>258</v>
      </c>
      <c r="G943" s="86" t="s">
        <v>169</v>
      </c>
      <c r="H943" s="88">
        <f t="shared" si="3"/>
        <v>0.11</v>
      </c>
      <c r="I943" s="89">
        <v>0.1</v>
      </c>
      <c r="J943" s="130"/>
      <c r="K943" s="89">
        <f t="shared" si="4"/>
        <v>0.01</v>
      </c>
      <c r="L943" s="84">
        <f t="shared" si="5"/>
        <v>942</v>
      </c>
      <c r="M943" s="85" t="s">
        <v>133</v>
      </c>
    </row>
    <row r="944" ht="22.5" customHeight="1">
      <c r="A944" s="83">
        <v>46198.0</v>
      </c>
      <c r="B944" s="84" t="str">
        <f t="shared" si="1"/>
        <v>Jun 2026</v>
      </c>
      <c r="C944" s="84">
        <f t="shared" si="2"/>
        <v>26</v>
      </c>
      <c r="D944" s="85" t="s">
        <v>129</v>
      </c>
      <c r="E944" s="85" t="s">
        <v>165</v>
      </c>
      <c r="F944" s="86" t="s">
        <v>267</v>
      </c>
      <c r="G944" s="86" t="s">
        <v>225</v>
      </c>
      <c r="H944" s="88">
        <f t="shared" si="3"/>
        <v>0.7337</v>
      </c>
      <c r="I944" s="89">
        <v>0.667</v>
      </c>
      <c r="J944" s="130"/>
      <c r="K944" s="89">
        <f t="shared" si="4"/>
        <v>0.0667</v>
      </c>
      <c r="L944" s="84">
        <f t="shared" si="5"/>
        <v>943</v>
      </c>
      <c r="M944" s="85" t="s">
        <v>133</v>
      </c>
    </row>
    <row r="945" ht="22.5" customHeight="1">
      <c r="A945" s="83">
        <v>46198.0</v>
      </c>
      <c r="B945" s="84" t="str">
        <f t="shared" si="1"/>
        <v>Jun 2026</v>
      </c>
      <c r="C945" s="84">
        <f t="shared" si="2"/>
        <v>26</v>
      </c>
      <c r="D945" s="85" t="s">
        <v>129</v>
      </c>
      <c r="E945" s="85" t="s">
        <v>165</v>
      </c>
      <c r="F945" s="86" t="s">
        <v>262</v>
      </c>
      <c r="G945" s="86" t="s">
        <v>221</v>
      </c>
      <c r="H945" s="88">
        <f t="shared" si="3"/>
        <v>0.7337</v>
      </c>
      <c r="I945" s="89">
        <v>0.667</v>
      </c>
      <c r="J945" s="130"/>
      <c r="K945" s="89">
        <f t="shared" si="4"/>
        <v>0.0667</v>
      </c>
      <c r="L945" s="84">
        <f t="shared" si="5"/>
        <v>944</v>
      </c>
      <c r="M945" s="85" t="s">
        <v>133</v>
      </c>
    </row>
    <row r="946" ht="22.5" customHeight="1">
      <c r="A946" s="83">
        <v>46198.0</v>
      </c>
      <c r="B946" s="84" t="str">
        <f t="shared" si="1"/>
        <v>Jun 2026</v>
      </c>
      <c r="C946" s="84">
        <f t="shared" si="2"/>
        <v>26</v>
      </c>
      <c r="D946" s="85" t="s">
        <v>129</v>
      </c>
      <c r="E946" s="85" t="s">
        <v>165</v>
      </c>
      <c r="F946" s="86" t="s">
        <v>267</v>
      </c>
      <c r="G946" s="86" t="s">
        <v>225</v>
      </c>
      <c r="H946" s="88">
        <f t="shared" si="3"/>
        <v>0.7337</v>
      </c>
      <c r="I946" s="89">
        <v>0.667</v>
      </c>
      <c r="J946" s="130"/>
      <c r="K946" s="89">
        <f t="shared" si="4"/>
        <v>0.0667</v>
      </c>
      <c r="L946" s="84">
        <f t="shared" si="5"/>
        <v>945</v>
      </c>
      <c r="M946" s="85" t="s">
        <v>133</v>
      </c>
    </row>
    <row r="947" ht="22.5" customHeight="1">
      <c r="A947" s="83">
        <v>46198.0</v>
      </c>
      <c r="B947" s="84" t="str">
        <f t="shared" si="1"/>
        <v>Jun 2026</v>
      </c>
      <c r="C947" s="84">
        <f t="shared" si="2"/>
        <v>26</v>
      </c>
      <c r="D947" s="85" t="s">
        <v>129</v>
      </c>
      <c r="E947" s="85" t="s">
        <v>165</v>
      </c>
      <c r="F947" s="86" t="s">
        <v>131</v>
      </c>
      <c r="G947" s="87" t="s">
        <v>132</v>
      </c>
      <c r="H947" s="88">
        <f t="shared" si="3"/>
        <v>0.7337</v>
      </c>
      <c r="I947" s="89">
        <v>0.667</v>
      </c>
      <c r="J947" s="130"/>
      <c r="K947" s="89">
        <f t="shared" si="4"/>
        <v>0.0667</v>
      </c>
      <c r="L947" s="84">
        <f t="shared" si="5"/>
        <v>946</v>
      </c>
      <c r="M947" s="85" t="s">
        <v>133</v>
      </c>
    </row>
    <row r="948" ht="22.5" customHeight="1">
      <c r="A948" s="83">
        <v>46198.0</v>
      </c>
      <c r="B948" s="84" t="str">
        <f t="shared" si="1"/>
        <v>Jun 2026</v>
      </c>
      <c r="C948" s="84">
        <f t="shared" si="2"/>
        <v>26</v>
      </c>
      <c r="D948" s="85" t="s">
        <v>129</v>
      </c>
      <c r="E948" s="85" t="s">
        <v>165</v>
      </c>
      <c r="F948" s="86" t="s">
        <v>267</v>
      </c>
      <c r="G948" s="86" t="s">
        <v>225</v>
      </c>
      <c r="H948" s="88">
        <f t="shared" si="3"/>
        <v>0.7337</v>
      </c>
      <c r="I948" s="89">
        <v>0.667</v>
      </c>
      <c r="J948" s="130"/>
      <c r="K948" s="89">
        <f t="shared" si="4"/>
        <v>0.0667</v>
      </c>
      <c r="L948" s="84">
        <f t="shared" si="5"/>
        <v>947</v>
      </c>
      <c r="M948" s="85" t="s">
        <v>133</v>
      </c>
    </row>
    <row r="949" ht="22.5" customHeight="1">
      <c r="A949" s="83">
        <v>46198.0</v>
      </c>
      <c r="B949" s="84" t="str">
        <f t="shared" si="1"/>
        <v>Jun 2026</v>
      </c>
      <c r="C949" s="84">
        <f t="shared" si="2"/>
        <v>26</v>
      </c>
      <c r="D949" s="85" t="s">
        <v>159</v>
      </c>
      <c r="E949" s="85" t="s">
        <v>167</v>
      </c>
      <c r="F949" s="86" t="s">
        <v>236</v>
      </c>
      <c r="G949" s="87" t="s">
        <v>170</v>
      </c>
      <c r="H949" s="88">
        <f t="shared" si="3"/>
        <v>0.11</v>
      </c>
      <c r="I949" s="89">
        <v>0.1</v>
      </c>
      <c r="J949" s="130"/>
      <c r="K949" s="89">
        <f t="shared" si="4"/>
        <v>0.01</v>
      </c>
      <c r="L949" s="84">
        <f t="shared" si="5"/>
        <v>948</v>
      </c>
      <c r="M949" s="85" t="s">
        <v>133</v>
      </c>
    </row>
    <row r="950" ht="22.5" customHeight="1">
      <c r="A950" s="83">
        <v>46198.0</v>
      </c>
      <c r="B950" s="84" t="str">
        <f t="shared" si="1"/>
        <v>Jun 2026</v>
      </c>
      <c r="C950" s="84">
        <f t="shared" si="2"/>
        <v>26</v>
      </c>
      <c r="D950" s="85" t="s">
        <v>159</v>
      </c>
      <c r="E950" s="85" t="s">
        <v>167</v>
      </c>
      <c r="F950" s="86" t="s">
        <v>254</v>
      </c>
      <c r="G950" s="87" t="s">
        <v>179</v>
      </c>
      <c r="H950" s="88">
        <f t="shared" si="3"/>
        <v>0.11</v>
      </c>
      <c r="I950" s="89">
        <v>0.1</v>
      </c>
      <c r="J950" s="130"/>
      <c r="K950" s="89">
        <f t="shared" si="4"/>
        <v>0.01</v>
      </c>
      <c r="L950" s="84">
        <f t="shared" si="5"/>
        <v>949</v>
      </c>
      <c r="M950" s="85" t="s">
        <v>133</v>
      </c>
    </row>
    <row r="951" ht="22.5" customHeight="1">
      <c r="A951" s="83">
        <v>46198.0</v>
      </c>
      <c r="B951" s="84" t="str">
        <f t="shared" si="1"/>
        <v>Jun 2026</v>
      </c>
      <c r="C951" s="84">
        <f t="shared" si="2"/>
        <v>26</v>
      </c>
      <c r="D951" s="85" t="s">
        <v>129</v>
      </c>
      <c r="E951" s="85" t="s">
        <v>167</v>
      </c>
      <c r="F951" s="86" t="s">
        <v>262</v>
      </c>
      <c r="G951" s="86" t="s">
        <v>221</v>
      </c>
      <c r="H951" s="88">
        <f t="shared" si="3"/>
        <v>0.7337</v>
      </c>
      <c r="I951" s="89">
        <v>0.667</v>
      </c>
      <c r="J951" s="130"/>
      <c r="K951" s="89">
        <f t="shared" si="4"/>
        <v>0.0667</v>
      </c>
      <c r="L951" s="84">
        <f t="shared" si="5"/>
        <v>950</v>
      </c>
      <c r="M951" s="85" t="s">
        <v>133</v>
      </c>
    </row>
    <row r="952" ht="22.5" customHeight="1">
      <c r="A952" s="83">
        <v>46198.0</v>
      </c>
      <c r="B952" s="84" t="str">
        <f t="shared" si="1"/>
        <v>Jun 2026</v>
      </c>
      <c r="C952" s="84">
        <f t="shared" si="2"/>
        <v>26</v>
      </c>
      <c r="D952" s="85" t="s">
        <v>129</v>
      </c>
      <c r="E952" s="85" t="s">
        <v>167</v>
      </c>
      <c r="F952" s="86" t="s">
        <v>131</v>
      </c>
      <c r="G952" s="87" t="s">
        <v>132</v>
      </c>
      <c r="H952" s="88">
        <f t="shared" si="3"/>
        <v>0.7337</v>
      </c>
      <c r="I952" s="89">
        <v>0.667</v>
      </c>
      <c r="J952" s="130"/>
      <c r="K952" s="89">
        <f t="shared" si="4"/>
        <v>0.0667</v>
      </c>
      <c r="L952" s="84">
        <f t="shared" si="5"/>
        <v>951</v>
      </c>
      <c r="M952" s="85" t="s">
        <v>133</v>
      </c>
    </row>
    <row r="953" ht="22.5" customHeight="1">
      <c r="A953" s="83">
        <v>46198.0</v>
      </c>
      <c r="B953" s="84" t="str">
        <f t="shared" si="1"/>
        <v>Jun 2026</v>
      </c>
      <c r="C953" s="84">
        <f t="shared" si="2"/>
        <v>26</v>
      </c>
      <c r="D953" s="85" t="s">
        <v>129</v>
      </c>
      <c r="E953" s="85" t="s">
        <v>167</v>
      </c>
      <c r="F953" s="86" t="s">
        <v>267</v>
      </c>
      <c r="G953" s="86" t="s">
        <v>225</v>
      </c>
      <c r="H953" s="88">
        <f t="shared" si="3"/>
        <v>0.7337</v>
      </c>
      <c r="I953" s="89">
        <v>0.667</v>
      </c>
      <c r="J953" s="130"/>
      <c r="K953" s="89">
        <f t="shared" si="4"/>
        <v>0.0667</v>
      </c>
      <c r="L953" s="84">
        <f t="shared" si="5"/>
        <v>952</v>
      </c>
      <c r="M953" s="85" t="s">
        <v>133</v>
      </c>
    </row>
    <row r="954" ht="22.5" customHeight="1">
      <c r="A954" s="83">
        <v>46198.0</v>
      </c>
      <c r="B954" s="84" t="str">
        <f t="shared" si="1"/>
        <v>Jun 2026</v>
      </c>
      <c r="C954" s="84">
        <f t="shared" si="2"/>
        <v>26</v>
      </c>
      <c r="D954" s="85" t="s">
        <v>159</v>
      </c>
      <c r="E954" s="85" t="s">
        <v>167</v>
      </c>
      <c r="F954" s="86" t="s">
        <v>253</v>
      </c>
      <c r="G954" s="87" t="s">
        <v>168</v>
      </c>
      <c r="H954" s="88">
        <f t="shared" si="3"/>
        <v>0.11</v>
      </c>
      <c r="I954" s="89">
        <v>0.1</v>
      </c>
      <c r="J954" s="130"/>
      <c r="K954" s="89">
        <f t="shared" si="4"/>
        <v>0.01</v>
      </c>
      <c r="L954" s="84">
        <f t="shared" si="5"/>
        <v>953</v>
      </c>
      <c r="M954" s="85" t="s">
        <v>133</v>
      </c>
    </row>
    <row r="955" ht="22.5" customHeight="1">
      <c r="A955" s="83">
        <v>46198.0</v>
      </c>
      <c r="B955" s="84" t="str">
        <f t="shared" si="1"/>
        <v>Jun 2026</v>
      </c>
      <c r="C955" s="84">
        <f t="shared" si="2"/>
        <v>26</v>
      </c>
      <c r="D955" s="85" t="s">
        <v>159</v>
      </c>
      <c r="E955" s="85" t="s">
        <v>167</v>
      </c>
      <c r="F955" s="86" t="s">
        <v>233</v>
      </c>
      <c r="G955" s="87" t="s">
        <v>210</v>
      </c>
      <c r="H955" s="88">
        <f t="shared" si="3"/>
        <v>0.11</v>
      </c>
      <c r="I955" s="89">
        <v>0.1</v>
      </c>
      <c r="J955" s="130"/>
      <c r="K955" s="89">
        <f t="shared" si="4"/>
        <v>0.01</v>
      </c>
      <c r="L955" s="84">
        <f t="shared" si="5"/>
        <v>954</v>
      </c>
      <c r="M955" s="85" t="s">
        <v>181</v>
      </c>
    </row>
    <row r="956" ht="22.5" customHeight="1">
      <c r="A956" s="83">
        <v>46198.0</v>
      </c>
      <c r="B956" s="84" t="str">
        <f t="shared" si="1"/>
        <v>Jun 2026</v>
      </c>
      <c r="C956" s="84">
        <f t="shared" si="2"/>
        <v>26</v>
      </c>
      <c r="D956" s="85" t="s">
        <v>159</v>
      </c>
      <c r="E956" s="85" t="s">
        <v>167</v>
      </c>
      <c r="F956" s="86" t="s">
        <v>254</v>
      </c>
      <c r="G956" s="87" t="s">
        <v>179</v>
      </c>
      <c r="H956" s="88">
        <f t="shared" si="3"/>
        <v>0.11</v>
      </c>
      <c r="I956" s="89">
        <v>0.1</v>
      </c>
      <c r="J956" s="130"/>
      <c r="K956" s="89">
        <f t="shared" si="4"/>
        <v>0.01</v>
      </c>
      <c r="L956" s="84">
        <f t="shared" si="5"/>
        <v>955</v>
      </c>
      <c r="M956" s="85" t="s">
        <v>133</v>
      </c>
    </row>
    <row r="957" ht="22.5" customHeight="1">
      <c r="A957" s="83">
        <v>46198.0</v>
      </c>
      <c r="B957" s="84" t="str">
        <f t="shared" si="1"/>
        <v>Jun 2026</v>
      </c>
      <c r="C957" s="84">
        <f t="shared" si="2"/>
        <v>26</v>
      </c>
      <c r="D957" s="85" t="s">
        <v>159</v>
      </c>
      <c r="E957" s="85" t="s">
        <v>167</v>
      </c>
      <c r="F957" s="86" t="s">
        <v>263</v>
      </c>
      <c r="G957" s="86" t="s">
        <v>205</v>
      </c>
      <c r="H957" s="88">
        <f t="shared" si="3"/>
        <v>0.11</v>
      </c>
      <c r="I957" s="89">
        <v>0.1</v>
      </c>
      <c r="J957" s="130"/>
      <c r="K957" s="89">
        <f t="shared" si="4"/>
        <v>0.01</v>
      </c>
      <c r="L957" s="84">
        <f t="shared" si="5"/>
        <v>956</v>
      </c>
      <c r="M957" s="85" t="s">
        <v>181</v>
      </c>
    </row>
    <row r="958" ht="22.5" customHeight="1">
      <c r="A958" s="83">
        <v>46198.0</v>
      </c>
      <c r="B958" s="84" t="str">
        <f t="shared" si="1"/>
        <v>Jun 2026</v>
      </c>
      <c r="C958" s="84">
        <f t="shared" si="2"/>
        <v>26</v>
      </c>
      <c r="D958" s="85" t="s">
        <v>159</v>
      </c>
      <c r="E958" s="85" t="s">
        <v>167</v>
      </c>
      <c r="F958" s="86" t="s">
        <v>258</v>
      </c>
      <c r="G958" s="86" t="s">
        <v>169</v>
      </c>
      <c r="H958" s="88">
        <f t="shared" si="3"/>
        <v>0.11</v>
      </c>
      <c r="I958" s="89">
        <v>0.1</v>
      </c>
      <c r="J958" s="130"/>
      <c r="K958" s="89">
        <f t="shared" si="4"/>
        <v>0.01</v>
      </c>
      <c r="L958" s="84">
        <f t="shared" si="5"/>
        <v>957</v>
      </c>
      <c r="M958" s="85" t="s">
        <v>181</v>
      </c>
    </row>
    <row r="959" ht="22.5" customHeight="1">
      <c r="A959" s="83">
        <v>46198.0</v>
      </c>
      <c r="B959" s="84" t="str">
        <f t="shared" si="1"/>
        <v>Jun 2026</v>
      </c>
      <c r="C959" s="84">
        <f t="shared" si="2"/>
        <v>26</v>
      </c>
      <c r="D959" s="85" t="s">
        <v>129</v>
      </c>
      <c r="E959" s="85" t="s">
        <v>167</v>
      </c>
      <c r="F959" s="86" t="s">
        <v>267</v>
      </c>
      <c r="G959" s="86" t="s">
        <v>225</v>
      </c>
      <c r="H959" s="88">
        <f t="shared" si="3"/>
        <v>0.7337</v>
      </c>
      <c r="I959" s="89">
        <v>0.667</v>
      </c>
      <c r="J959" s="130"/>
      <c r="K959" s="89">
        <f t="shared" si="4"/>
        <v>0.0667</v>
      </c>
      <c r="L959" s="84">
        <f t="shared" si="5"/>
        <v>958</v>
      </c>
      <c r="M959" s="85" t="s">
        <v>133</v>
      </c>
    </row>
    <row r="960" ht="22.5" customHeight="1">
      <c r="A960" s="83">
        <v>46198.0</v>
      </c>
      <c r="B960" s="84" t="str">
        <f t="shared" si="1"/>
        <v>Jun 2026</v>
      </c>
      <c r="C960" s="84">
        <f t="shared" si="2"/>
        <v>26</v>
      </c>
      <c r="D960" s="85" t="s">
        <v>159</v>
      </c>
      <c r="E960" s="85" t="s">
        <v>167</v>
      </c>
      <c r="F960" s="86" t="s">
        <v>236</v>
      </c>
      <c r="G960" s="87" t="s">
        <v>170</v>
      </c>
      <c r="H960" s="88">
        <f t="shared" si="3"/>
        <v>0.11</v>
      </c>
      <c r="I960" s="89">
        <v>0.1</v>
      </c>
      <c r="J960" s="130"/>
      <c r="K960" s="89">
        <f t="shared" si="4"/>
        <v>0.01</v>
      </c>
      <c r="L960" s="84">
        <f t="shared" si="5"/>
        <v>959</v>
      </c>
      <c r="M960" s="85" t="s">
        <v>181</v>
      </c>
    </row>
    <row r="961" ht="22.5" customHeight="1">
      <c r="A961" s="83">
        <v>46198.0</v>
      </c>
      <c r="B961" s="84" t="str">
        <f t="shared" si="1"/>
        <v>Jun 2026</v>
      </c>
      <c r="C961" s="84">
        <f t="shared" si="2"/>
        <v>26</v>
      </c>
      <c r="D961" s="85" t="s">
        <v>159</v>
      </c>
      <c r="E961" s="85" t="s">
        <v>167</v>
      </c>
      <c r="F961" s="86" t="s">
        <v>236</v>
      </c>
      <c r="G961" s="87" t="s">
        <v>170</v>
      </c>
      <c r="H961" s="88">
        <f t="shared" si="3"/>
        <v>0.11</v>
      </c>
      <c r="I961" s="89">
        <v>0.1</v>
      </c>
      <c r="J961" s="130"/>
      <c r="K961" s="89">
        <f t="shared" si="4"/>
        <v>0.01</v>
      </c>
      <c r="L961" s="84">
        <f t="shared" si="5"/>
        <v>960</v>
      </c>
      <c r="M961" s="85" t="s">
        <v>181</v>
      </c>
    </row>
    <row r="962" ht="22.5" customHeight="1">
      <c r="A962" s="83">
        <v>46198.0</v>
      </c>
      <c r="B962" s="84" t="str">
        <f t="shared" si="1"/>
        <v>Jun 2026</v>
      </c>
      <c r="C962" s="84">
        <f t="shared" si="2"/>
        <v>26</v>
      </c>
      <c r="D962" s="85" t="s">
        <v>159</v>
      </c>
      <c r="E962" s="85" t="s">
        <v>167</v>
      </c>
      <c r="F962" s="86" t="s">
        <v>236</v>
      </c>
      <c r="G962" s="87" t="s">
        <v>170</v>
      </c>
      <c r="H962" s="88">
        <f t="shared" si="3"/>
        <v>0.11</v>
      </c>
      <c r="I962" s="89">
        <v>0.1</v>
      </c>
      <c r="J962" s="130"/>
      <c r="K962" s="89">
        <f t="shared" si="4"/>
        <v>0.01</v>
      </c>
      <c r="L962" s="84">
        <f t="shared" si="5"/>
        <v>961</v>
      </c>
      <c r="M962" s="85" t="s">
        <v>181</v>
      </c>
    </row>
    <row r="963" ht="22.5" customHeight="1">
      <c r="A963" s="83">
        <v>46198.0</v>
      </c>
      <c r="B963" s="84" t="str">
        <f t="shared" si="1"/>
        <v>Jun 2026</v>
      </c>
      <c r="C963" s="84">
        <f t="shared" si="2"/>
        <v>26</v>
      </c>
      <c r="D963" s="85" t="s">
        <v>159</v>
      </c>
      <c r="E963" s="85" t="s">
        <v>167</v>
      </c>
      <c r="F963" s="86" t="s">
        <v>254</v>
      </c>
      <c r="G963" s="87" t="s">
        <v>179</v>
      </c>
      <c r="H963" s="88">
        <f t="shared" si="3"/>
        <v>0.11</v>
      </c>
      <c r="I963" s="89">
        <v>0.1</v>
      </c>
      <c r="J963" s="130"/>
      <c r="K963" s="89">
        <f t="shared" si="4"/>
        <v>0.01</v>
      </c>
      <c r="L963" s="84">
        <f t="shared" si="5"/>
        <v>962</v>
      </c>
      <c r="M963" s="85" t="s">
        <v>181</v>
      </c>
    </row>
    <row r="964" ht="22.5" customHeight="1">
      <c r="A964" s="83">
        <v>46198.0</v>
      </c>
      <c r="B964" s="84" t="str">
        <f t="shared" si="1"/>
        <v>Jun 2026</v>
      </c>
      <c r="C964" s="84">
        <f t="shared" si="2"/>
        <v>26</v>
      </c>
      <c r="D964" s="85" t="s">
        <v>159</v>
      </c>
      <c r="E964" s="85" t="s">
        <v>167</v>
      </c>
      <c r="F964" s="86" t="s">
        <v>254</v>
      </c>
      <c r="G964" s="87" t="s">
        <v>179</v>
      </c>
      <c r="H964" s="88">
        <f t="shared" si="3"/>
        <v>0.11</v>
      </c>
      <c r="I964" s="89">
        <v>0.1</v>
      </c>
      <c r="J964" s="130"/>
      <c r="K964" s="89">
        <f t="shared" si="4"/>
        <v>0.01</v>
      </c>
      <c r="L964" s="84">
        <f t="shared" si="5"/>
        <v>963</v>
      </c>
      <c r="M964" s="85" t="s">
        <v>181</v>
      </c>
    </row>
    <row r="965" ht="22.5" customHeight="1">
      <c r="A965" s="83">
        <v>46198.0</v>
      </c>
      <c r="B965" s="84" t="str">
        <f t="shared" si="1"/>
        <v>Jun 2026</v>
      </c>
      <c r="C965" s="84">
        <f t="shared" si="2"/>
        <v>26</v>
      </c>
      <c r="D965" s="85" t="s">
        <v>159</v>
      </c>
      <c r="E965" s="85" t="s">
        <v>167</v>
      </c>
      <c r="F965" s="86" t="s">
        <v>266</v>
      </c>
      <c r="G965" s="86" t="s">
        <v>198</v>
      </c>
      <c r="H965" s="88">
        <f t="shared" si="3"/>
        <v>0.11</v>
      </c>
      <c r="I965" s="89">
        <v>0.1</v>
      </c>
      <c r="J965" s="130"/>
      <c r="K965" s="89">
        <f t="shared" si="4"/>
        <v>0.01</v>
      </c>
      <c r="L965" s="84">
        <f t="shared" si="5"/>
        <v>964</v>
      </c>
      <c r="M965" s="85" t="s">
        <v>181</v>
      </c>
    </row>
    <row r="966" ht="22.5" customHeight="1">
      <c r="A966" s="83">
        <v>46198.0</v>
      </c>
      <c r="B966" s="84" t="str">
        <f t="shared" si="1"/>
        <v>Jun 2026</v>
      </c>
      <c r="C966" s="84">
        <f t="shared" si="2"/>
        <v>26</v>
      </c>
      <c r="D966" s="85" t="s">
        <v>159</v>
      </c>
      <c r="E966" s="85" t="s">
        <v>167</v>
      </c>
      <c r="F966" s="86" t="s">
        <v>254</v>
      </c>
      <c r="G966" s="87" t="s">
        <v>179</v>
      </c>
      <c r="H966" s="88">
        <f t="shared" si="3"/>
        <v>0.11</v>
      </c>
      <c r="I966" s="89">
        <v>0.1</v>
      </c>
      <c r="J966" s="130"/>
      <c r="K966" s="89">
        <f t="shared" si="4"/>
        <v>0.01</v>
      </c>
      <c r="L966" s="84">
        <f t="shared" si="5"/>
        <v>965</v>
      </c>
      <c r="M966" s="85" t="s">
        <v>133</v>
      </c>
    </row>
    <row r="967" ht="22.5" customHeight="1">
      <c r="A967" s="83">
        <v>46198.0</v>
      </c>
      <c r="B967" s="84" t="str">
        <f t="shared" si="1"/>
        <v>Jun 2026</v>
      </c>
      <c r="C967" s="84">
        <f t="shared" si="2"/>
        <v>26</v>
      </c>
      <c r="D967" s="85" t="s">
        <v>129</v>
      </c>
      <c r="E967" s="85" t="s">
        <v>167</v>
      </c>
      <c r="F967" s="86" t="s">
        <v>267</v>
      </c>
      <c r="G967" s="86" t="s">
        <v>225</v>
      </c>
      <c r="H967" s="88">
        <f t="shared" si="3"/>
        <v>0.7337</v>
      </c>
      <c r="I967" s="89">
        <v>0.667</v>
      </c>
      <c r="J967" s="130"/>
      <c r="K967" s="89">
        <f t="shared" si="4"/>
        <v>0.0667</v>
      </c>
      <c r="L967" s="84">
        <f t="shared" si="5"/>
        <v>966</v>
      </c>
      <c r="M967" s="85" t="s">
        <v>133</v>
      </c>
    </row>
    <row r="968" ht="22.5" customHeight="1">
      <c r="A968" s="83">
        <v>46198.0</v>
      </c>
      <c r="B968" s="84" t="str">
        <f t="shared" si="1"/>
        <v>Jun 2026</v>
      </c>
      <c r="C968" s="84">
        <f t="shared" si="2"/>
        <v>26</v>
      </c>
      <c r="D968" s="85" t="s">
        <v>129</v>
      </c>
      <c r="E968" s="85" t="s">
        <v>167</v>
      </c>
      <c r="F968" s="86" t="s">
        <v>131</v>
      </c>
      <c r="G968" s="87" t="s">
        <v>132</v>
      </c>
      <c r="H968" s="88">
        <f t="shared" si="3"/>
        <v>0.7337</v>
      </c>
      <c r="I968" s="89">
        <v>0.667</v>
      </c>
      <c r="J968" s="130"/>
      <c r="K968" s="89">
        <f t="shared" si="4"/>
        <v>0.0667</v>
      </c>
      <c r="L968" s="84">
        <f t="shared" si="5"/>
        <v>967</v>
      </c>
      <c r="M968" s="85" t="s">
        <v>133</v>
      </c>
    </row>
    <row r="969" ht="22.5" customHeight="1">
      <c r="A969" s="83">
        <v>46198.0</v>
      </c>
      <c r="B969" s="84" t="str">
        <f t="shared" si="1"/>
        <v>Jun 2026</v>
      </c>
      <c r="C969" s="84">
        <f t="shared" si="2"/>
        <v>26</v>
      </c>
      <c r="D969" s="85" t="s">
        <v>129</v>
      </c>
      <c r="E969" s="85" t="s">
        <v>167</v>
      </c>
      <c r="F969" s="86" t="s">
        <v>262</v>
      </c>
      <c r="G969" s="86" t="s">
        <v>221</v>
      </c>
      <c r="H969" s="88">
        <f t="shared" si="3"/>
        <v>0.7337</v>
      </c>
      <c r="I969" s="89">
        <v>0.667</v>
      </c>
      <c r="J969" s="130"/>
      <c r="K969" s="89">
        <f t="shared" si="4"/>
        <v>0.0667</v>
      </c>
      <c r="L969" s="84">
        <f t="shared" si="5"/>
        <v>968</v>
      </c>
      <c r="M969" s="85" t="s">
        <v>133</v>
      </c>
    </row>
    <row r="970" ht="22.5" customHeight="1">
      <c r="A970" s="83">
        <v>46198.0</v>
      </c>
      <c r="B970" s="84" t="str">
        <f t="shared" si="1"/>
        <v>Jun 2026</v>
      </c>
      <c r="C970" s="84">
        <f t="shared" si="2"/>
        <v>26</v>
      </c>
      <c r="D970" s="85" t="s">
        <v>129</v>
      </c>
      <c r="E970" s="85" t="s">
        <v>167</v>
      </c>
      <c r="F970" s="86" t="s">
        <v>262</v>
      </c>
      <c r="G970" s="86" t="s">
        <v>221</v>
      </c>
      <c r="H970" s="88">
        <f t="shared" si="3"/>
        <v>0.7337</v>
      </c>
      <c r="I970" s="89">
        <v>0.667</v>
      </c>
      <c r="J970" s="130"/>
      <c r="K970" s="89">
        <f t="shared" si="4"/>
        <v>0.0667</v>
      </c>
      <c r="L970" s="84">
        <f t="shared" si="5"/>
        <v>969</v>
      </c>
      <c r="M970" s="85" t="s">
        <v>133</v>
      </c>
    </row>
    <row r="971" ht="22.5" customHeight="1">
      <c r="A971" s="83">
        <v>46198.0</v>
      </c>
      <c r="B971" s="84" t="str">
        <f t="shared" si="1"/>
        <v>Jun 2026</v>
      </c>
      <c r="C971" s="84">
        <f t="shared" si="2"/>
        <v>26</v>
      </c>
      <c r="D971" s="85" t="s">
        <v>129</v>
      </c>
      <c r="E971" s="85" t="s">
        <v>167</v>
      </c>
      <c r="F971" s="86" t="s">
        <v>131</v>
      </c>
      <c r="G971" s="87" t="s">
        <v>132</v>
      </c>
      <c r="H971" s="88">
        <f t="shared" si="3"/>
        <v>0.7337</v>
      </c>
      <c r="I971" s="89">
        <v>0.667</v>
      </c>
      <c r="J971" s="130"/>
      <c r="K971" s="89">
        <f t="shared" si="4"/>
        <v>0.0667</v>
      </c>
      <c r="L971" s="84">
        <f t="shared" si="5"/>
        <v>970</v>
      </c>
      <c r="M971" s="85" t="s">
        <v>133</v>
      </c>
    </row>
    <row r="972" ht="22.5" customHeight="1">
      <c r="A972" s="83">
        <v>46198.0</v>
      </c>
      <c r="B972" s="84" t="str">
        <f t="shared" si="1"/>
        <v>Jun 2026</v>
      </c>
      <c r="C972" s="84">
        <f t="shared" si="2"/>
        <v>26</v>
      </c>
      <c r="D972" s="85" t="s">
        <v>159</v>
      </c>
      <c r="E972" s="85" t="s">
        <v>130</v>
      </c>
      <c r="F972" s="86" t="s">
        <v>233</v>
      </c>
      <c r="G972" s="87" t="s">
        <v>210</v>
      </c>
      <c r="H972" s="88">
        <f t="shared" si="3"/>
        <v>0.11</v>
      </c>
      <c r="I972" s="89">
        <v>0.1</v>
      </c>
      <c r="J972" s="130"/>
      <c r="K972" s="89">
        <f t="shared" si="4"/>
        <v>0.01</v>
      </c>
      <c r="L972" s="84">
        <f t="shared" si="5"/>
        <v>971</v>
      </c>
      <c r="M972" s="85" t="s">
        <v>133</v>
      </c>
    </row>
    <row r="973" ht="22.5" customHeight="1">
      <c r="A973" s="83">
        <v>46198.0</v>
      </c>
      <c r="B973" s="84" t="str">
        <f t="shared" si="1"/>
        <v>Jun 2026</v>
      </c>
      <c r="C973" s="84">
        <f t="shared" si="2"/>
        <v>26</v>
      </c>
      <c r="D973" s="85" t="s">
        <v>159</v>
      </c>
      <c r="E973" s="85" t="s">
        <v>130</v>
      </c>
      <c r="F973" s="86" t="s">
        <v>253</v>
      </c>
      <c r="G973" s="87" t="s">
        <v>168</v>
      </c>
      <c r="H973" s="88">
        <f t="shared" si="3"/>
        <v>0.11</v>
      </c>
      <c r="I973" s="89">
        <v>0.1</v>
      </c>
      <c r="J973" s="130"/>
      <c r="K973" s="89">
        <f t="shared" si="4"/>
        <v>0.01</v>
      </c>
      <c r="L973" s="84">
        <f t="shared" si="5"/>
        <v>972</v>
      </c>
      <c r="M973" s="85" t="s">
        <v>133</v>
      </c>
    </row>
    <row r="974" ht="22.5" customHeight="1">
      <c r="A974" s="83">
        <v>46198.0</v>
      </c>
      <c r="B974" s="84" t="str">
        <f t="shared" si="1"/>
        <v>Jun 2026</v>
      </c>
      <c r="C974" s="84">
        <f t="shared" si="2"/>
        <v>26</v>
      </c>
      <c r="D974" s="85" t="s">
        <v>159</v>
      </c>
      <c r="E974" s="85" t="s">
        <v>130</v>
      </c>
      <c r="F974" s="86" t="s">
        <v>233</v>
      </c>
      <c r="G974" s="87" t="s">
        <v>199</v>
      </c>
      <c r="H974" s="88">
        <f t="shared" si="3"/>
        <v>0.11</v>
      </c>
      <c r="I974" s="89">
        <v>0.1</v>
      </c>
      <c r="J974" s="130"/>
      <c r="K974" s="89">
        <f t="shared" si="4"/>
        <v>0.01</v>
      </c>
      <c r="L974" s="84">
        <f t="shared" si="5"/>
        <v>973</v>
      </c>
      <c r="M974" s="85" t="s">
        <v>133</v>
      </c>
    </row>
    <row r="975" ht="22.5" customHeight="1">
      <c r="A975" s="83">
        <v>46198.0</v>
      </c>
      <c r="B975" s="84" t="str">
        <f t="shared" si="1"/>
        <v>Jun 2026</v>
      </c>
      <c r="C975" s="84">
        <f t="shared" si="2"/>
        <v>26</v>
      </c>
      <c r="D975" s="85" t="s">
        <v>159</v>
      </c>
      <c r="E975" s="85" t="s">
        <v>130</v>
      </c>
      <c r="F975" s="86" t="s">
        <v>258</v>
      </c>
      <c r="G975" s="86" t="s">
        <v>169</v>
      </c>
      <c r="H975" s="88">
        <f t="shared" si="3"/>
        <v>0.11</v>
      </c>
      <c r="I975" s="89">
        <v>0.1</v>
      </c>
      <c r="J975" s="130"/>
      <c r="K975" s="89">
        <f t="shared" si="4"/>
        <v>0.01</v>
      </c>
      <c r="L975" s="84">
        <f t="shared" si="5"/>
        <v>974</v>
      </c>
      <c r="M975" s="85" t="s">
        <v>133</v>
      </c>
    </row>
    <row r="976" ht="22.5" customHeight="1">
      <c r="A976" s="83">
        <v>46198.0</v>
      </c>
      <c r="B976" s="84" t="str">
        <f t="shared" si="1"/>
        <v>Jun 2026</v>
      </c>
      <c r="C976" s="84">
        <f t="shared" si="2"/>
        <v>26</v>
      </c>
      <c r="D976" s="85" t="s">
        <v>159</v>
      </c>
      <c r="E976" s="85" t="s">
        <v>130</v>
      </c>
      <c r="F976" s="86" t="s">
        <v>263</v>
      </c>
      <c r="G976" s="86" t="s">
        <v>205</v>
      </c>
      <c r="H976" s="88">
        <f t="shared" si="3"/>
        <v>0.11</v>
      </c>
      <c r="I976" s="89">
        <v>0.1</v>
      </c>
      <c r="J976" s="130"/>
      <c r="K976" s="89">
        <f t="shared" si="4"/>
        <v>0.01</v>
      </c>
      <c r="L976" s="84">
        <f t="shared" si="5"/>
        <v>975</v>
      </c>
      <c r="M976" s="85" t="s">
        <v>181</v>
      </c>
    </row>
    <row r="977" ht="22.5" customHeight="1">
      <c r="A977" s="83">
        <v>46198.0</v>
      </c>
      <c r="B977" s="84" t="str">
        <f t="shared" si="1"/>
        <v>Jun 2026</v>
      </c>
      <c r="C977" s="84">
        <f t="shared" si="2"/>
        <v>26</v>
      </c>
      <c r="D977" s="85" t="s">
        <v>159</v>
      </c>
      <c r="E977" s="85" t="s">
        <v>130</v>
      </c>
      <c r="F977" s="86" t="s">
        <v>265</v>
      </c>
      <c r="G977" s="86" t="s">
        <v>201</v>
      </c>
      <c r="H977" s="88">
        <f t="shared" si="3"/>
        <v>0.11</v>
      </c>
      <c r="I977" s="89">
        <v>0.1</v>
      </c>
      <c r="J977" s="130"/>
      <c r="K977" s="89">
        <f t="shared" si="4"/>
        <v>0.01</v>
      </c>
      <c r="L977" s="84">
        <f t="shared" si="5"/>
        <v>976</v>
      </c>
      <c r="M977" s="85" t="s">
        <v>181</v>
      </c>
    </row>
    <row r="978" ht="22.5" customHeight="1">
      <c r="A978" s="83">
        <v>46198.0</v>
      </c>
      <c r="B978" s="84" t="str">
        <f t="shared" si="1"/>
        <v>Jun 2026</v>
      </c>
      <c r="C978" s="84">
        <f t="shared" si="2"/>
        <v>26</v>
      </c>
      <c r="D978" s="85" t="s">
        <v>159</v>
      </c>
      <c r="E978" s="85" t="s">
        <v>130</v>
      </c>
      <c r="F978" s="86" t="s">
        <v>266</v>
      </c>
      <c r="G978" s="86" t="s">
        <v>198</v>
      </c>
      <c r="H978" s="88">
        <f t="shared" si="3"/>
        <v>0.11</v>
      </c>
      <c r="I978" s="89">
        <v>0.1</v>
      </c>
      <c r="J978" s="130"/>
      <c r="K978" s="89">
        <f t="shared" si="4"/>
        <v>0.01</v>
      </c>
      <c r="L978" s="84">
        <f t="shared" si="5"/>
        <v>977</v>
      </c>
      <c r="M978" s="85" t="s">
        <v>133</v>
      </c>
    </row>
    <row r="979" ht="22.5" customHeight="1">
      <c r="A979" s="83">
        <v>46198.0</v>
      </c>
      <c r="B979" s="84" t="str">
        <f t="shared" si="1"/>
        <v>Jun 2026</v>
      </c>
      <c r="C979" s="84">
        <f t="shared" si="2"/>
        <v>26</v>
      </c>
      <c r="D979" s="85" t="s">
        <v>159</v>
      </c>
      <c r="E979" s="85" t="s">
        <v>130</v>
      </c>
      <c r="F979" s="86" t="s">
        <v>173</v>
      </c>
      <c r="G979" s="87" t="s">
        <v>174</v>
      </c>
      <c r="H979" s="88">
        <f t="shared" si="3"/>
        <v>0.11</v>
      </c>
      <c r="I979" s="89">
        <v>0.1</v>
      </c>
      <c r="J979" s="130"/>
      <c r="K979" s="89">
        <f t="shared" si="4"/>
        <v>0.01</v>
      </c>
      <c r="L979" s="84">
        <f t="shared" si="5"/>
        <v>978</v>
      </c>
      <c r="M979" s="85" t="s">
        <v>181</v>
      </c>
    </row>
    <row r="980" ht="22.5" customHeight="1">
      <c r="A980" s="83">
        <v>46198.0</v>
      </c>
      <c r="B980" s="84" t="str">
        <f t="shared" si="1"/>
        <v>Jun 2026</v>
      </c>
      <c r="C980" s="84">
        <f t="shared" si="2"/>
        <v>26</v>
      </c>
      <c r="D980" s="85" t="s">
        <v>159</v>
      </c>
      <c r="E980" s="85" t="s">
        <v>130</v>
      </c>
      <c r="F980" s="86" t="s">
        <v>264</v>
      </c>
      <c r="G980" s="86" t="s">
        <v>186</v>
      </c>
      <c r="H980" s="88">
        <f t="shared" si="3"/>
        <v>0.11</v>
      </c>
      <c r="I980" s="89">
        <v>0.1</v>
      </c>
      <c r="J980" s="130"/>
      <c r="K980" s="89">
        <f t="shared" si="4"/>
        <v>0.01</v>
      </c>
      <c r="L980" s="84">
        <f t="shared" si="5"/>
        <v>979</v>
      </c>
      <c r="M980" s="85" t="s">
        <v>133</v>
      </c>
    </row>
    <row r="981" ht="22.5" customHeight="1">
      <c r="A981" s="83">
        <v>46198.0</v>
      </c>
      <c r="B981" s="84" t="str">
        <f t="shared" si="1"/>
        <v>Jun 2026</v>
      </c>
      <c r="C981" s="84">
        <f t="shared" si="2"/>
        <v>26</v>
      </c>
      <c r="D981" s="85" t="s">
        <v>159</v>
      </c>
      <c r="E981" s="85" t="s">
        <v>130</v>
      </c>
      <c r="F981" s="86" t="s">
        <v>236</v>
      </c>
      <c r="G981" s="87" t="s">
        <v>170</v>
      </c>
      <c r="H981" s="88">
        <f t="shared" si="3"/>
        <v>0.11</v>
      </c>
      <c r="I981" s="89">
        <v>0.1</v>
      </c>
      <c r="J981" s="130"/>
      <c r="K981" s="89">
        <f t="shared" si="4"/>
        <v>0.01</v>
      </c>
      <c r="L981" s="84">
        <f t="shared" si="5"/>
        <v>980</v>
      </c>
      <c r="M981" s="85" t="s">
        <v>181</v>
      </c>
    </row>
    <row r="982" ht="22.5" customHeight="1">
      <c r="A982" s="83">
        <v>46198.0</v>
      </c>
      <c r="B982" s="84" t="str">
        <f t="shared" si="1"/>
        <v>Jun 2026</v>
      </c>
      <c r="C982" s="84">
        <f t="shared" si="2"/>
        <v>26</v>
      </c>
      <c r="D982" s="85" t="s">
        <v>129</v>
      </c>
      <c r="E982" s="85" t="s">
        <v>130</v>
      </c>
      <c r="F982" s="86" t="s">
        <v>267</v>
      </c>
      <c r="G982" s="86" t="s">
        <v>225</v>
      </c>
      <c r="H982" s="88">
        <f t="shared" si="3"/>
        <v>0.7337</v>
      </c>
      <c r="I982" s="89">
        <v>0.667</v>
      </c>
      <c r="J982" s="130"/>
      <c r="K982" s="89">
        <f t="shared" si="4"/>
        <v>0.0667</v>
      </c>
      <c r="L982" s="84">
        <f t="shared" si="5"/>
        <v>981</v>
      </c>
      <c r="M982" s="85" t="s">
        <v>133</v>
      </c>
    </row>
    <row r="983" ht="22.5" customHeight="1">
      <c r="A983" s="83">
        <v>46198.0</v>
      </c>
      <c r="B983" s="84" t="str">
        <f t="shared" si="1"/>
        <v>Jun 2026</v>
      </c>
      <c r="C983" s="84">
        <f t="shared" si="2"/>
        <v>26</v>
      </c>
      <c r="D983" s="85" t="s">
        <v>159</v>
      </c>
      <c r="E983" s="85" t="s">
        <v>130</v>
      </c>
      <c r="F983" s="86" t="s">
        <v>254</v>
      </c>
      <c r="G983" s="87" t="s">
        <v>179</v>
      </c>
      <c r="H983" s="88">
        <f t="shared" si="3"/>
        <v>0.11</v>
      </c>
      <c r="I983" s="89">
        <v>0.1</v>
      </c>
      <c r="J983" s="130"/>
      <c r="K983" s="89">
        <f t="shared" si="4"/>
        <v>0.01</v>
      </c>
      <c r="L983" s="84">
        <f t="shared" si="5"/>
        <v>982</v>
      </c>
      <c r="M983" s="85" t="s">
        <v>181</v>
      </c>
    </row>
    <row r="984" ht="22.5" customHeight="1">
      <c r="A984" s="83">
        <v>46198.0</v>
      </c>
      <c r="B984" s="84" t="str">
        <f t="shared" si="1"/>
        <v>Jun 2026</v>
      </c>
      <c r="C984" s="84">
        <f t="shared" si="2"/>
        <v>26</v>
      </c>
      <c r="D984" s="85" t="s">
        <v>129</v>
      </c>
      <c r="E984" s="85" t="s">
        <v>130</v>
      </c>
      <c r="F984" s="86" t="s">
        <v>131</v>
      </c>
      <c r="G984" s="87" t="s">
        <v>132</v>
      </c>
      <c r="H984" s="88">
        <f t="shared" si="3"/>
        <v>0.7337</v>
      </c>
      <c r="I984" s="89">
        <v>0.667</v>
      </c>
      <c r="J984" s="130"/>
      <c r="K984" s="89">
        <f t="shared" si="4"/>
        <v>0.0667</v>
      </c>
      <c r="L984" s="84">
        <f t="shared" si="5"/>
        <v>983</v>
      </c>
      <c r="M984" s="85" t="s">
        <v>133</v>
      </c>
    </row>
    <row r="985" ht="22.5" customHeight="1">
      <c r="A985" s="83">
        <v>46198.0</v>
      </c>
      <c r="B985" s="84" t="str">
        <f t="shared" si="1"/>
        <v>Jun 2026</v>
      </c>
      <c r="C985" s="84">
        <f t="shared" si="2"/>
        <v>26</v>
      </c>
      <c r="D985" s="85" t="s">
        <v>129</v>
      </c>
      <c r="E985" s="85" t="s">
        <v>130</v>
      </c>
      <c r="F985" s="86" t="s">
        <v>262</v>
      </c>
      <c r="G985" s="86" t="s">
        <v>221</v>
      </c>
      <c r="H985" s="88">
        <f t="shared" si="3"/>
        <v>0.7337</v>
      </c>
      <c r="I985" s="89">
        <v>0.667</v>
      </c>
      <c r="J985" s="130"/>
      <c r="K985" s="89">
        <f t="shared" si="4"/>
        <v>0.0667</v>
      </c>
      <c r="L985" s="84">
        <f t="shared" si="5"/>
        <v>984</v>
      </c>
      <c r="M985" s="85" t="s">
        <v>133</v>
      </c>
    </row>
    <row r="986" ht="22.5" customHeight="1">
      <c r="A986" s="83">
        <v>46198.0</v>
      </c>
      <c r="B986" s="84" t="str">
        <f t="shared" si="1"/>
        <v>Jun 2026</v>
      </c>
      <c r="C986" s="84">
        <f t="shared" si="2"/>
        <v>26</v>
      </c>
      <c r="D986" s="85" t="s">
        <v>159</v>
      </c>
      <c r="E986" s="85" t="s">
        <v>130</v>
      </c>
      <c r="F986" s="86" t="s">
        <v>264</v>
      </c>
      <c r="G986" s="86" t="s">
        <v>186</v>
      </c>
      <c r="H986" s="88">
        <f t="shared" si="3"/>
        <v>0.11</v>
      </c>
      <c r="I986" s="89">
        <v>0.1</v>
      </c>
      <c r="J986" s="130"/>
      <c r="K986" s="89">
        <f t="shared" si="4"/>
        <v>0.01</v>
      </c>
      <c r="L986" s="84">
        <f t="shared" si="5"/>
        <v>985</v>
      </c>
      <c r="M986" s="85" t="s">
        <v>181</v>
      </c>
    </row>
    <row r="987" ht="22.5" customHeight="1">
      <c r="A987" s="83">
        <v>46198.0</v>
      </c>
      <c r="B987" s="84" t="str">
        <f t="shared" si="1"/>
        <v>Jun 2026</v>
      </c>
      <c r="C987" s="84">
        <f t="shared" si="2"/>
        <v>26</v>
      </c>
      <c r="D987" s="85" t="s">
        <v>159</v>
      </c>
      <c r="E987" s="85" t="s">
        <v>130</v>
      </c>
      <c r="F987" s="86" t="s">
        <v>258</v>
      </c>
      <c r="G987" s="86" t="s">
        <v>169</v>
      </c>
      <c r="H987" s="88">
        <f t="shared" si="3"/>
        <v>0.11</v>
      </c>
      <c r="I987" s="89">
        <v>0.1</v>
      </c>
      <c r="J987" s="130"/>
      <c r="K987" s="89">
        <f t="shared" si="4"/>
        <v>0.01</v>
      </c>
      <c r="L987" s="84">
        <f t="shared" si="5"/>
        <v>986</v>
      </c>
      <c r="M987" s="85" t="s">
        <v>133</v>
      </c>
    </row>
    <row r="988" ht="22.5" customHeight="1">
      <c r="A988" s="83">
        <v>46198.0</v>
      </c>
      <c r="B988" s="84" t="str">
        <f t="shared" si="1"/>
        <v>Jun 2026</v>
      </c>
      <c r="C988" s="84">
        <f t="shared" si="2"/>
        <v>26</v>
      </c>
      <c r="D988" s="85" t="s">
        <v>129</v>
      </c>
      <c r="E988" s="85" t="s">
        <v>130</v>
      </c>
      <c r="F988" s="86" t="s">
        <v>267</v>
      </c>
      <c r="G988" s="86" t="s">
        <v>225</v>
      </c>
      <c r="H988" s="88">
        <f t="shared" si="3"/>
        <v>0.7337</v>
      </c>
      <c r="I988" s="89">
        <v>0.667</v>
      </c>
      <c r="J988" s="130"/>
      <c r="K988" s="89">
        <f t="shared" si="4"/>
        <v>0.0667</v>
      </c>
      <c r="L988" s="84">
        <f t="shared" si="5"/>
        <v>987</v>
      </c>
      <c r="M988" s="85" t="s">
        <v>133</v>
      </c>
    </row>
    <row r="989" ht="22.5" customHeight="1">
      <c r="A989" s="83">
        <v>46198.0</v>
      </c>
      <c r="B989" s="84" t="str">
        <f t="shared" si="1"/>
        <v>Jun 2026</v>
      </c>
      <c r="C989" s="84">
        <f t="shared" si="2"/>
        <v>26</v>
      </c>
      <c r="D989" s="85" t="s">
        <v>159</v>
      </c>
      <c r="E989" s="85" t="s">
        <v>130</v>
      </c>
      <c r="F989" s="86" t="s">
        <v>263</v>
      </c>
      <c r="G989" s="86" t="s">
        <v>205</v>
      </c>
      <c r="H989" s="88">
        <f t="shared" si="3"/>
        <v>0.11</v>
      </c>
      <c r="I989" s="89">
        <v>0.1</v>
      </c>
      <c r="J989" s="130"/>
      <c r="K989" s="89">
        <f t="shared" si="4"/>
        <v>0.01</v>
      </c>
      <c r="L989" s="84">
        <f t="shared" si="5"/>
        <v>988</v>
      </c>
      <c r="M989" s="85" t="s">
        <v>181</v>
      </c>
    </row>
    <row r="990" ht="22.5" customHeight="1">
      <c r="A990" s="83">
        <v>46198.0</v>
      </c>
      <c r="B990" s="84" t="str">
        <f t="shared" si="1"/>
        <v>Jun 2026</v>
      </c>
      <c r="C990" s="84">
        <f t="shared" si="2"/>
        <v>26</v>
      </c>
      <c r="D990" s="85" t="s">
        <v>159</v>
      </c>
      <c r="E990" s="85" t="s">
        <v>130</v>
      </c>
      <c r="F990" s="86" t="s">
        <v>236</v>
      </c>
      <c r="G990" s="87" t="s">
        <v>170</v>
      </c>
      <c r="H990" s="88">
        <f t="shared" si="3"/>
        <v>0.11</v>
      </c>
      <c r="I990" s="89">
        <v>0.1</v>
      </c>
      <c r="J990" s="130"/>
      <c r="K990" s="89">
        <f t="shared" si="4"/>
        <v>0.01</v>
      </c>
      <c r="L990" s="84">
        <f t="shared" si="5"/>
        <v>989</v>
      </c>
      <c r="M990" s="85" t="s">
        <v>133</v>
      </c>
    </row>
    <row r="991" ht="22.5" customHeight="1">
      <c r="A991" s="83">
        <v>46198.0</v>
      </c>
      <c r="B991" s="84" t="str">
        <f t="shared" si="1"/>
        <v>Jun 2026</v>
      </c>
      <c r="C991" s="84">
        <f t="shared" si="2"/>
        <v>26</v>
      </c>
      <c r="D991" s="85" t="s">
        <v>159</v>
      </c>
      <c r="E991" s="85" t="s">
        <v>130</v>
      </c>
      <c r="F991" s="86" t="s">
        <v>254</v>
      </c>
      <c r="G991" s="87" t="s">
        <v>179</v>
      </c>
      <c r="H991" s="88">
        <f t="shared" si="3"/>
        <v>0.11</v>
      </c>
      <c r="I991" s="89">
        <v>0.1</v>
      </c>
      <c r="J991" s="130"/>
      <c r="K991" s="89">
        <f t="shared" si="4"/>
        <v>0.01</v>
      </c>
      <c r="L991" s="84">
        <f t="shared" si="5"/>
        <v>990</v>
      </c>
      <c r="M991" s="85" t="s">
        <v>133</v>
      </c>
    </row>
    <row r="992" ht="22.5" customHeight="1">
      <c r="A992" s="83">
        <v>46198.0</v>
      </c>
      <c r="B992" s="84" t="str">
        <f t="shared" si="1"/>
        <v>Jun 2026</v>
      </c>
      <c r="C992" s="84">
        <f t="shared" si="2"/>
        <v>26</v>
      </c>
      <c r="D992" s="85" t="s">
        <v>129</v>
      </c>
      <c r="E992" s="85" t="s">
        <v>130</v>
      </c>
      <c r="F992" s="86" t="s">
        <v>262</v>
      </c>
      <c r="G992" s="86" t="s">
        <v>221</v>
      </c>
      <c r="H992" s="88">
        <f t="shared" si="3"/>
        <v>0.7337</v>
      </c>
      <c r="I992" s="89">
        <v>0.667</v>
      </c>
      <c r="J992" s="130"/>
      <c r="K992" s="89">
        <f t="shared" si="4"/>
        <v>0.0667</v>
      </c>
      <c r="L992" s="84">
        <f t="shared" si="5"/>
        <v>991</v>
      </c>
      <c r="M992" s="85" t="s">
        <v>133</v>
      </c>
    </row>
    <row r="993" ht="22.5" customHeight="1">
      <c r="A993" s="83">
        <v>46198.0</v>
      </c>
      <c r="B993" s="84" t="str">
        <f t="shared" si="1"/>
        <v>Jun 2026</v>
      </c>
      <c r="C993" s="84">
        <f t="shared" si="2"/>
        <v>26</v>
      </c>
      <c r="D993" s="85" t="s">
        <v>129</v>
      </c>
      <c r="E993" s="85" t="s">
        <v>130</v>
      </c>
      <c r="F993" s="86" t="s">
        <v>131</v>
      </c>
      <c r="G993" s="87" t="s">
        <v>132</v>
      </c>
      <c r="H993" s="88">
        <f t="shared" si="3"/>
        <v>0.7337</v>
      </c>
      <c r="I993" s="89">
        <v>0.667</v>
      </c>
      <c r="J993" s="130"/>
      <c r="K993" s="89">
        <f t="shared" si="4"/>
        <v>0.0667</v>
      </c>
      <c r="L993" s="84">
        <f t="shared" si="5"/>
        <v>992</v>
      </c>
      <c r="M993" s="85" t="s">
        <v>133</v>
      </c>
    </row>
    <row r="994" ht="22.5" customHeight="1">
      <c r="A994" s="83">
        <v>46199.0</v>
      </c>
      <c r="B994" s="84" t="str">
        <f t="shared" si="1"/>
        <v>Jun 2026</v>
      </c>
      <c r="C994" s="84">
        <f t="shared" si="2"/>
        <v>26</v>
      </c>
      <c r="D994" s="85" t="s">
        <v>159</v>
      </c>
      <c r="E994" s="85" t="s">
        <v>164</v>
      </c>
      <c r="F994" s="86" t="s">
        <v>236</v>
      </c>
      <c r="G994" s="87" t="s">
        <v>170</v>
      </c>
      <c r="H994" s="88">
        <f t="shared" si="3"/>
        <v>0.11</v>
      </c>
      <c r="I994" s="89">
        <v>0.1</v>
      </c>
      <c r="J994" s="130"/>
      <c r="K994" s="89">
        <f t="shared" si="4"/>
        <v>0.01</v>
      </c>
      <c r="L994" s="84">
        <f t="shared" si="5"/>
        <v>993</v>
      </c>
      <c r="M994" s="85" t="s">
        <v>133</v>
      </c>
    </row>
    <row r="995" ht="22.5" customHeight="1">
      <c r="A995" s="83">
        <v>46199.0</v>
      </c>
      <c r="B995" s="84" t="str">
        <f t="shared" si="1"/>
        <v>Jun 2026</v>
      </c>
      <c r="C995" s="84">
        <f t="shared" si="2"/>
        <v>26</v>
      </c>
      <c r="D995" s="85" t="s">
        <v>159</v>
      </c>
      <c r="E995" s="85" t="s">
        <v>164</v>
      </c>
      <c r="F995" s="86" t="s">
        <v>258</v>
      </c>
      <c r="G995" s="86" t="s">
        <v>169</v>
      </c>
      <c r="H995" s="88">
        <f t="shared" si="3"/>
        <v>0.11</v>
      </c>
      <c r="I995" s="89">
        <v>0.1</v>
      </c>
      <c r="J995" s="130"/>
      <c r="K995" s="89">
        <f t="shared" si="4"/>
        <v>0.01</v>
      </c>
      <c r="L995" s="84">
        <f t="shared" si="5"/>
        <v>994</v>
      </c>
      <c r="M995" s="85" t="s">
        <v>133</v>
      </c>
    </row>
    <row r="996" ht="22.5" customHeight="1">
      <c r="A996" s="83">
        <v>46199.0</v>
      </c>
      <c r="B996" s="84" t="str">
        <f t="shared" si="1"/>
        <v>Jun 2026</v>
      </c>
      <c r="C996" s="84">
        <f t="shared" si="2"/>
        <v>26</v>
      </c>
      <c r="D996" s="85" t="s">
        <v>159</v>
      </c>
      <c r="E996" s="85" t="s">
        <v>164</v>
      </c>
      <c r="F996" s="86" t="s">
        <v>263</v>
      </c>
      <c r="G996" s="86" t="s">
        <v>205</v>
      </c>
      <c r="H996" s="88">
        <f t="shared" si="3"/>
        <v>0.11</v>
      </c>
      <c r="I996" s="89">
        <v>0.1</v>
      </c>
      <c r="J996" s="130"/>
      <c r="K996" s="89">
        <f t="shared" si="4"/>
        <v>0.01</v>
      </c>
      <c r="L996" s="84">
        <f t="shared" si="5"/>
        <v>995</v>
      </c>
      <c r="M996" s="85" t="s">
        <v>133</v>
      </c>
    </row>
    <row r="997" ht="22.5" customHeight="1">
      <c r="A997" s="83">
        <v>46199.0</v>
      </c>
      <c r="B997" s="84" t="str">
        <f t="shared" si="1"/>
        <v>Jun 2026</v>
      </c>
      <c r="C997" s="84">
        <f t="shared" si="2"/>
        <v>26</v>
      </c>
      <c r="D997" s="85" t="s">
        <v>159</v>
      </c>
      <c r="E997" s="85" t="s">
        <v>164</v>
      </c>
      <c r="F997" s="86" t="s">
        <v>173</v>
      </c>
      <c r="G997" s="87" t="s">
        <v>174</v>
      </c>
      <c r="H997" s="88">
        <f t="shared" si="3"/>
        <v>0.11</v>
      </c>
      <c r="I997" s="89">
        <v>0.1</v>
      </c>
      <c r="J997" s="130"/>
      <c r="K997" s="89">
        <f t="shared" si="4"/>
        <v>0.01</v>
      </c>
      <c r="L997" s="84">
        <f t="shared" si="5"/>
        <v>996</v>
      </c>
      <c r="M997" s="85" t="s">
        <v>133</v>
      </c>
    </row>
    <row r="998" ht="22.5" customHeight="1">
      <c r="A998" s="83">
        <v>46199.0</v>
      </c>
      <c r="B998" s="84" t="str">
        <f t="shared" si="1"/>
        <v>Jun 2026</v>
      </c>
      <c r="C998" s="84">
        <f t="shared" si="2"/>
        <v>26</v>
      </c>
      <c r="D998" s="85" t="s">
        <v>129</v>
      </c>
      <c r="E998" s="85" t="s">
        <v>164</v>
      </c>
      <c r="F998" s="86" t="s">
        <v>262</v>
      </c>
      <c r="G998" s="86" t="s">
        <v>221</v>
      </c>
      <c r="H998" s="88">
        <f t="shared" si="3"/>
        <v>0.7337</v>
      </c>
      <c r="I998" s="89">
        <v>0.667</v>
      </c>
      <c r="J998" s="130"/>
      <c r="K998" s="89">
        <f t="shared" si="4"/>
        <v>0.0667</v>
      </c>
      <c r="L998" s="84">
        <f t="shared" si="5"/>
        <v>997</v>
      </c>
      <c r="M998" s="85" t="s">
        <v>133</v>
      </c>
    </row>
    <row r="999" ht="22.5" customHeight="1">
      <c r="A999" s="83">
        <v>46199.0</v>
      </c>
      <c r="B999" s="84" t="str">
        <f t="shared" si="1"/>
        <v>Jun 2026</v>
      </c>
      <c r="C999" s="84">
        <f t="shared" si="2"/>
        <v>26</v>
      </c>
      <c r="D999" s="85" t="s">
        <v>159</v>
      </c>
      <c r="E999" s="85" t="s">
        <v>164</v>
      </c>
      <c r="F999" s="86" t="s">
        <v>254</v>
      </c>
      <c r="G999" s="87" t="s">
        <v>179</v>
      </c>
      <c r="H999" s="88">
        <f t="shared" si="3"/>
        <v>0.11</v>
      </c>
      <c r="I999" s="89">
        <v>0.1</v>
      </c>
      <c r="J999" s="130"/>
      <c r="K999" s="89">
        <f t="shared" si="4"/>
        <v>0.01</v>
      </c>
      <c r="L999" s="84">
        <f t="shared" si="5"/>
        <v>998</v>
      </c>
      <c r="M999" s="85" t="s">
        <v>181</v>
      </c>
    </row>
    <row r="1000" ht="22.5" customHeight="1">
      <c r="A1000" s="83">
        <v>46199.0</v>
      </c>
      <c r="B1000" s="84" t="str">
        <f t="shared" si="1"/>
        <v>Jun 2026</v>
      </c>
      <c r="C1000" s="84">
        <f t="shared" si="2"/>
        <v>26</v>
      </c>
      <c r="D1000" s="85" t="s">
        <v>159</v>
      </c>
      <c r="E1000" s="85" t="s">
        <v>164</v>
      </c>
      <c r="F1000" s="86" t="s">
        <v>254</v>
      </c>
      <c r="G1000" s="87" t="s">
        <v>179</v>
      </c>
      <c r="H1000" s="88">
        <f t="shared" si="3"/>
        <v>0.11</v>
      </c>
      <c r="I1000" s="89">
        <v>0.1</v>
      </c>
      <c r="J1000" s="130"/>
      <c r="K1000" s="89">
        <f t="shared" si="4"/>
        <v>0.01</v>
      </c>
      <c r="L1000" s="84">
        <f t="shared" si="5"/>
        <v>999</v>
      </c>
      <c r="M1000" s="85" t="s">
        <v>181</v>
      </c>
    </row>
    <row r="1001" ht="22.5" customHeight="1">
      <c r="A1001" s="83">
        <v>46199.0</v>
      </c>
      <c r="B1001" s="84" t="str">
        <f t="shared" si="1"/>
        <v>Jun 2026</v>
      </c>
      <c r="C1001" s="84">
        <f t="shared" si="2"/>
        <v>26</v>
      </c>
      <c r="D1001" s="85" t="s">
        <v>129</v>
      </c>
      <c r="E1001" s="85" t="s">
        <v>164</v>
      </c>
      <c r="F1001" s="86" t="s">
        <v>131</v>
      </c>
      <c r="G1001" s="87" t="s">
        <v>132</v>
      </c>
      <c r="H1001" s="88">
        <f t="shared" si="3"/>
        <v>0.7337</v>
      </c>
      <c r="I1001" s="89">
        <v>0.667</v>
      </c>
      <c r="J1001" s="130"/>
      <c r="K1001" s="89">
        <f t="shared" si="4"/>
        <v>0.0667</v>
      </c>
      <c r="L1001" s="84">
        <f t="shared" si="5"/>
        <v>1000</v>
      </c>
      <c r="M1001" s="85" t="s">
        <v>133</v>
      </c>
    </row>
    <row r="1002" ht="22.5" customHeight="1">
      <c r="A1002" s="83">
        <v>46199.0</v>
      </c>
      <c r="B1002" s="84" t="str">
        <f t="shared" si="1"/>
        <v>Jun 2026</v>
      </c>
      <c r="C1002" s="84">
        <f t="shared" si="2"/>
        <v>26</v>
      </c>
      <c r="D1002" s="85" t="s">
        <v>159</v>
      </c>
      <c r="E1002" s="85" t="s">
        <v>164</v>
      </c>
      <c r="F1002" s="86" t="s">
        <v>236</v>
      </c>
      <c r="G1002" s="87" t="s">
        <v>170</v>
      </c>
      <c r="H1002" s="88">
        <f t="shared" si="3"/>
        <v>0.11</v>
      </c>
      <c r="I1002" s="89">
        <v>0.1</v>
      </c>
      <c r="J1002" s="130"/>
      <c r="K1002" s="89">
        <f t="shared" si="4"/>
        <v>0.01</v>
      </c>
      <c r="L1002" s="84">
        <f t="shared" si="5"/>
        <v>1001</v>
      </c>
      <c r="M1002" s="85" t="s">
        <v>181</v>
      </c>
    </row>
    <row r="1003" ht="22.5" customHeight="1">
      <c r="A1003" s="83">
        <v>46199.0</v>
      </c>
      <c r="B1003" s="84" t="str">
        <f t="shared" si="1"/>
        <v>Jun 2026</v>
      </c>
      <c r="C1003" s="84">
        <f t="shared" si="2"/>
        <v>26</v>
      </c>
      <c r="D1003" s="85" t="s">
        <v>129</v>
      </c>
      <c r="E1003" s="85" t="s">
        <v>164</v>
      </c>
      <c r="F1003" s="86" t="s">
        <v>267</v>
      </c>
      <c r="G1003" s="86" t="s">
        <v>225</v>
      </c>
      <c r="H1003" s="88">
        <f t="shared" si="3"/>
        <v>0.7337</v>
      </c>
      <c r="I1003" s="89">
        <v>0.667</v>
      </c>
      <c r="J1003" s="130"/>
      <c r="K1003" s="89">
        <f t="shared" si="4"/>
        <v>0.0667</v>
      </c>
      <c r="L1003" s="84">
        <f t="shared" si="5"/>
        <v>1002</v>
      </c>
      <c r="M1003" s="85" t="s">
        <v>133</v>
      </c>
    </row>
    <row r="1004" ht="22.5" customHeight="1">
      <c r="A1004" s="83">
        <v>46199.0</v>
      </c>
      <c r="B1004" s="84" t="str">
        <f t="shared" si="1"/>
        <v>Jun 2026</v>
      </c>
      <c r="C1004" s="84">
        <f t="shared" si="2"/>
        <v>26</v>
      </c>
      <c r="D1004" s="85" t="s">
        <v>159</v>
      </c>
      <c r="E1004" s="85" t="s">
        <v>165</v>
      </c>
      <c r="F1004" s="86" t="s">
        <v>254</v>
      </c>
      <c r="G1004" s="87" t="s">
        <v>179</v>
      </c>
      <c r="H1004" s="88">
        <f t="shared" si="3"/>
        <v>0.11</v>
      </c>
      <c r="I1004" s="89">
        <v>0.1</v>
      </c>
      <c r="J1004" s="130"/>
      <c r="K1004" s="89">
        <f t="shared" si="4"/>
        <v>0.01</v>
      </c>
      <c r="L1004" s="84">
        <f t="shared" si="5"/>
        <v>1003</v>
      </c>
      <c r="M1004" s="85" t="s">
        <v>181</v>
      </c>
    </row>
    <row r="1005" ht="22.5" customHeight="1">
      <c r="A1005" s="83">
        <v>46199.0</v>
      </c>
      <c r="B1005" s="84" t="str">
        <f t="shared" si="1"/>
        <v>Jun 2026</v>
      </c>
      <c r="C1005" s="84">
        <f t="shared" si="2"/>
        <v>26</v>
      </c>
      <c r="D1005" s="85" t="s">
        <v>159</v>
      </c>
      <c r="E1005" s="85" t="s">
        <v>165</v>
      </c>
      <c r="F1005" s="86" t="s">
        <v>233</v>
      </c>
      <c r="G1005" s="87" t="s">
        <v>210</v>
      </c>
      <c r="H1005" s="88">
        <f t="shared" si="3"/>
        <v>0.11</v>
      </c>
      <c r="I1005" s="89">
        <v>0.1</v>
      </c>
      <c r="J1005" s="130"/>
      <c r="K1005" s="89">
        <f t="shared" si="4"/>
        <v>0.01</v>
      </c>
      <c r="L1005" s="84">
        <f t="shared" si="5"/>
        <v>1004</v>
      </c>
      <c r="M1005" s="85" t="s">
        <v>133</v>
      </c>
    </row>
    <row r="1006" ht="22.5" customHeight="1">
      <c r="A1006" s="83">
        <v>46199.0</v>
      </c>
      <c r="B1006" s="84" t="str">
        <f t="shared" si="1"/>
        <v>Jun 2026</v>
      </c>
      <c r="C1006" s="84">
        <f t="shared" si="2"/>
        <v>26</v>
      </c>
      <c r="D1006" s="85" t="s">
        <v>159</v>
      </c>
      <c r="E1006" s="85" t="s">
        <v>165</v>
      </c>
      <c r="F1006" s="86" t="s">
        <v>233</v>
      </c>
      <c r="G1006" s="86" t="s">
        <v>199</v>
      </c>
      <c r="H1006" s="88">
        <f t="shared" si="3"/>
        <v>0.11</v>
      </c>
      <c r="I1006" s="89">
        <v>0.1</v>
      </c>
      <c r="J1006" s="130"/>
      <c r="K1006" s="89">
        <f t="shared" si="4"/>
        <v>0.01</v>
      </c>
      <c r="L1006" s="84">
        <f t="shared" si="5"/>
        <v>1005</v>
      </c>
      <c r="M1006" s="85" t="s">
        <v>181</v>
      </c>
    </row>
    <row r="1007" ht="22.5" customHeight="1">
      <c r="A1007" s="83">
        <v>46199.0</v>
      </c>
      <c r="B1007" s="84" t="str">
        <f t="shared" si="1"/>
        <v>Jun 2026</v>
      </c>
      <c r="C1007" s="84">
        <f t="shared" si="2"/>
        <v>26</v>
      </c>
      <c r="D1007" s="85" t="s">
        <v>159</v>
      </c>
      <c r="E1007" s="85" t="s">
        <v>165</v>
      </c>
      <c r="F1007" s="86" t="s">
        <v>173</v>
      </c>
      <c r="G1007" s="87" t="s">
        <v>174</v>
      </c>
      <c r="H1007" s="88">
        <f t="shared" si="3"/>
        <v>0.11</v>
      </c>
      <c r="I1007" s="89">
        <v>0.1</v>
      </c>
      <c r="J1007" s="130"/>
      <c r="K1007" s="89">
        <f t="shared" si="4"/>
        <v>0.01</v>
      </c>
      <c r="L1007" s="84">
        <f t="shared" si="5"/>
        <v>1006</v>
      </c>
      <c r="M1007" s="85" t="s">
        <v>133</v>
      </c>
    </row>
    <row r="1008" ht="22.5" customHeight="1">
      <c r="A1008" s="83">
        <v>46199.0</v>
      </c>
      <c r="B1008" s="84" t="str">
        <f t="shared" si="1"/>
        <v>Jun 2026</v>
      </c>
      <c r="C1008" s="84">
        <f t="shared" si="2"/>
        <v>26</v>
      </c>
      <c r="D1008" s="85" t="s">
        <v>129</v>
      </c>
      <c r="E1008" s="85" t="s">
        <v>165</v>
      </c>
      <c r="F1008" s="86" t="s">
        <v>267</v>
      </c>
      <c r="G1008" s="86" t="s">
        <v>225</v>
      </c>
      <c r="H1008" s="88">
        <f t="shared" si="3"/>
        <v>0.7337</v>
      </c>
      <c r="I1008" s="89">
        <v>0.667</v>
      </c>
      <c r="J1008" s="130"/>
      <c r="K1008" s="89">
        <f t="shared" si="4"/>
        <v>0.0667</v>
      </c>
      <c r="L1008" s="84">
        <f t="shared" si="5"/>
        <v>1007</v>
      </c>
      <c r="M1008" s="85" t="s">
        <v>133</v>
      </c>
    </row>
    <row r="1009" ht="22.5" customHeight="1">
      <c r="A1009" s="83">
        <v>46199.0</v>
      </c>
      <c r="B1009" s="84" t="str">
        <f t="shared" si="1"/>
        <v>Jun 2026</v>
      </c>
      <c r="C1009" s="84">
        <f t="shared" si="2"/>
        <v>26</v>
      </c>
      <c r="D1009" s="85" t="s">
        <v>159</v>
      </c>
      <c r="E1009" s="85" t="s">
        <v>165</v>
      </c>
      <c r="F1009" s="86" t="s">
        <v>254</v>
      </c>
      <c r="G1009" s="87" t="s">
        <v>179</v>
      </c>
      <c r="H1009" s="88">
        <f t="shared" si="3"/>
        <v>0.11</v>
      </c>
      <c r="I1009" s="89">
        <v>0.1</v>
      </c>
      <c r="J1009" s="130"/>
      <c r="K1009" s="89">
        <f t="shared" si="4"/>
        <v>0.01</v>
      </c>
      <c r="L1009" s="84">
        <f t="shared" si="5"/>
        <v>1008</v>
      </c>
      <c r="M1009" s="85" t="s">
        <v>181</v>
      </c>
    </row>
    <row r="1010" ht="22.5" customHeight="1">
      <c r="A1010" s="83">
        <v>46199.0</v>
      </c>
      <c r="B1010" s="84" t="str">
        <f t="shared" si="1"/>
        <v>Jun 2026</v>
      </c>
      <c r="C1010" s="84">
        <f t="shared" si="2"/>
        <v>26</v>
      </c>
      <c r="D1010" s="85" t="s">
        <v>129</v>
      </c>
      <c r="E1010" s="85" t="s">
        <v>165</v>
      </c>
      <c r="F1010" s="86" t="s">
        <v>262</v>
      </c>
      <c r="G1010" s="86" t="s">
        <v>221</v>
      </c>
      <c r="H1010" s="88">
        <f t="shared" si="3"/>
        <v>0.7337</v>
      </c>
      <c r="I1010" s="89">
        <v>0.667</v>
      </c>
      <c r="J1010" s="130"/>
      <c r="K1010" s="89">
        <f t="shared" si="4"/>
        <v>0.0667</v>
      </c>
      <c r="L1010" s="84">
        <f t="shared" si="5"/>
        <v>1009</v>
      </c>
      <c r="M1010" s="85" t="s">
        <v>133</v>
      </c>
    </row>
    <row r="1011" ht="22.5" customHeight="1">
      <c r="A1011" s="83">
        <v>46199.0</v>
      </c>
      <c r="B1011" s="84" t="str">
        <f t="shared" si="1"/>
        <v>Jun 2026</v>
      </c>
      <c r="C1011" s="84">
        <f t="shared" si="2"/>
        <v>26</v>
      </c>
      <c r="D1011" s="85" t="s">
        <v>129</v>
      </c>
      <c r="E1011" s="85" t="s">
        <v>165</v>
      </c>
      <c r="F1011" s="86" t="s">
        <v>131</v>
      </c>
      <c r="G1011" s="87" t="s">
        <v>132</v>
      </c>
      <c r="H1011" s="88">
        <f t="shared" si="3"/>
        <v>0.7337</v>
      </c>
      <c r="I1011" s="89">
        <v>0.667</v>
      </c>
      <c r="J1011" s="130"/>
      <c r="K1011" s="89">
        <f t="shared" si="4"/>
        <v>0.0667</v>
      </c>
      <c r="L1011" s="84">
        <f t="shared" si="5"/>
        <v>1010</v>
      </c>
      <c r="M1011" s="85" t="s">
        <v>133</v>
      </c>
    </row>
    <row r="1012" ht="22.5" customHeight="1">
      <c r="A1012" s="83">
        <v>46199.0</v>
      </c>
      <c r="B1012" s="84" t="str">
        <f t="shared" si="1"/>
        <v>Jun 2026</v>
      </c>
      <c r="C1012" s="84">
        <f t="shared" si="2"/>
        <v>26</v>
      </c>
      <c r="D1012" s="85" t="s">
        <v>159</v>
      </c>
      <c r="E1012" s="85" t="s">
        <v>165</v>
      </c>
      <c r="F1012" s="86" t="s">
        <v>236</v>
      </c>
      <c r="G1012" s="87" t="s">
        <v>170</v>
      </c>
      <c r="H1012" s="88">
        <f t="shared" si="3"/>
        <v>0.11</v>
      </c>
      <c r="I1012" s="89">
        <v>0.1</v>
      </c>
      <c r="J1012" s="130"/>
      <c r="K1012" s="89">
        <f t="shared" si="4"/>
        <v>0.01</v>
      </c>
      <c r="L1012" s="84">
        <f t="shared" si="5"/>
        <v>1011</v>
      </c>
      <c r="M1012" s="85" t="s">
        <v>181</v>
      </c>
    </row>
    <row r="1013" ht="22.5" customHeight="1">
      <c r="A1013" s="83">
        <v>46199.0</v>
      </c>
      <c r="B1013" s="84" t="str">
        <f t="shared" si="1"/>
        <v>Jun 2026</v>
      </c>
      <c r="C1013" s="84">
        <f t="shared" si="2"/>
        <v>26</v>
      </c>
      <c r="D1013" s="85" t="s">
        <v>159</v>
      </c>
      <c r="E1013" s="85" t="s">
        <v>165</v>
      </c>
      <c r="F1013" s="86" t="s">
        <v>236</v>
      </c>
      <c r="G1013" s="87" t="s">
        <v>170</v>
      </c>
      <c r="H1013" s="88">
        <f t="shared" si="3"/>
        <v>0.11</v>
      </c>
      <c r="I1013" s="89">
        <v>0.1</v>
      </c>
      <c r="J1013" s="130"/>
      <c r="K1013" s="89">
        <f t="shared" si="4"/>
        <v>0.01</v>
      </c>
      <c r="L1013" s="84">
        <f t="shared" si="5"/>
        <v>1012</v>
      </c>
      <c r="M1013" s="85" t="s">
        <v>133</v>
      </c>
    </row>
    <row r="1014" ht="22.5" customHeight="1">
      <c r="A1014" s="83">
        <v>46199.0</v>
      </c>
      <c r="B1014" s="84" t="str">
        <f t="shared" si="1"/>
        <v>Jun 2026</v>
      </c>
      <c r="C1014" s="84">
        <f t="shared" si="2"/>
        <v>26</v>
      </c>
      <c r="D1014" s="85" t="s">
        <v>159</v>
      </c>
      <c r="E1014" s="85" t="s">
        <v>167</v>
      </c>
      <c r="F1014" s="86" t="s">
        <v>254</v>
      </c>
      <c r="G1014" s="87" t="s">
        <v>179</v>
      </c>
      <c r="H1014" s="88">
        <f t="shared" si="3"/>
        <v>0.11</v>
      </c>
      <c r="I1014" s="89">
        <v>0.1</v>
      </c>
      <c r="J1014" s="130"/>
      <c r="K1014" s="89">
        <f t="shared" si="4"/>
        <v>0.01</v>
      </c>
      <c r="L1014" s="84">
        <f t="shared" si="5"/>
        <v>1013</v>
      </c>
      <c r="M1014" s="85" t="s">
        <v>181</v>
      </c>
    </row>
    <row r="1015" ht="22.5" customHeight="1">
      <c r="A1015" s="83">
        <v>46199.0</v>
      </c>
      <c r="B1015" s="84" t="str">
        <f t="shared" si="1"/>
        <v>Jun 2026</v>
      </c>
      <c r="C1015" s="84">
        <f t="shared" si="2"/>
        <v>26</v>
      </c>
      <c r="D1015" s="85" t="s">
        <v>159</v>
      </c>
      <c r="E1015" s="85" t="s">
        <v>167</v>
      </c>
      <c r="F1015" s="86" t="s">
        <v>254</v>
      </c>
      <c r="G1015" s="87" t="s">
        <v>179</v>
      </c>
      <c r="H1015" s="88">
        <f t="shared" si="3"/>
        <v>0.11</v>
      </c>
      <c r="I1015" s="89">
        <v>0.1</v>
      </c>
      <c r="J1015" s="130"/>
      <c r="K1015" s="89">
        <f t="shared" si="4"/>
        <v>0.01</v>
      </c>
      <c r="L1015" s="84">
        <f t="shared" si="5"/>
        <v>1014</v>
      </c>
      <c r="M1015" s="85" t="s">
        <v>133</v>
      </c>
    </row>
    <row r="1016" ht="22.5" customHeight="1">
      <c r="A1016" s="83">
        <v>46199.0</v>
      </c>
      <c r="B1016" s="84" t="str">
        <f t="shared" si="1"/>
        <v>Jun 2026</v>
      </c>
      <c r="C1016" s="84">
        <f t="shared" si="2"/>
        <v>26</v>
      </c>
      <c r="D1016" s="85" t="s">
        <v>159</v>
      </c>
      <c r="E1016" s="85" t="s">
        <v>167</v>
      </c>
      <c r="F1016" s="86" t="s">
        <v>258</v>
      </c>
      <c r="G1016" s="86" t="s">
        <v>169</v>
      </c>
      <c r="H1016" s="88">
        <f t="shared" si="3"/>
        <v>0.11</v>
      </c>
      <c r="I1016" s="89">
        <v>0.1</v>
      </c>
      <c r="J1016" s="130"/>
      <c r="K1016" s="89">
        <f t="shared" si="4"/>
        <v>0.01</v>
      </c>
      <c r="L1016" s="84">
        <f t="shared" si="5"/>
        <v>1015</v>
      </c>
      <c r="M1016" s="85" t="s">
        <v>181</v>
      </c>
    </row>
    <row r="1017" ht="22.5" customHeight="1">
      <c r="A1017" s="83">
        <v>46199.0</v>
      </c>
      <c r="B1017" s="84" t="str">
        <f t="shared" si="1"/>
        <v>Jun 2026</v>
      </c>
      <c r="C1017" s="84">
        <f t="shared" si="2"/>
        <v>26</v>
      </c>
      <c r="D1017" s="85" t="s">
        <v>159</v>
      </c>
      <c r="E1017" s="85" t="s">
        <v>167</v>
      </c>
      <c r="F1017" s="86" t="s">
        <v>253</v>
      </c>
      <c r="G1017" s="87" t="s">
        <v>168</v>
      </c>
      <c r="H1017" s="88">
        <f t="shared" si="3"/>
        <v>0.11</v>
      </c>
      <c r="I1017" s="89">
        <v>0.1</v>
      </c>
      <c r="J1017" s="130"/>
      <c r="K1017" s="89">
        <f t="shared" si="4"/>
        <v>0.01</v>
      </c>
      <c r="L1017" s="84">
        <f t="shared" si="5"/>
        <v>1016</v>
      </c>
      <c r="M1017" s="85" t="s">
        <v>133</v>
      </c>
    </row>
    <row r="1018" ht="22.5" customHeight="1">
      <c r="A1018" s="83">
        <v>46199.0</v>
      </c>
      <c r="B1018" s="84" t="str">
        <f t="shared" si="1"/>
        <v>Jun 2026</v>
      </c>
      <c r="C1018" s="84">
        <f t="shared" si="2"/>
        <v>26</v>
      </c>
      <c r="D1018" s="85" t="s">
        <v>129</v>
      </c>
      <c r="E1018" s="85" t="s">
        <v>167</v>
      </c>
      <c r="F1018" s="86" t="s">
        <v>131</v>
      </c>
      <c r="G1018" s="87" t="s">
        <v>132</v>
      </c>
      <c r="H1018" s="88">
        <f t="shared" si="3"/>
        <v>0.7337</v>
      </c>
      <c r="I1018" s="89">
        <v>0.667</v>
      </c>
      <c r="J1018" s="130"/>
      <c r="K1018" s="89">
        <f t="shared" si="4"/>
        <v>0.0667</v>
      </c>
      <c r="L1018" s="84">
        <f t="shared" si="5"/>
        <v>1017</v>
      </c>
      <c r="M1018" s="85" t="s">
        <v>133</v>
      </c>
    </row>
    <row r="1019" ht="22.5" customHeight="1">
      <c r="A1019" s="83">
        <v>46199.0</v>
      </c>
      <c r="B1019" s="84" t="str">
        <f t="shared" si="1"/>
        <v>Jun 2026</v>
      </c>
      <c r="C1019" s="84">
        <f t="shared" si="2"/>
        <v>26</v>
      </c>
      <c r="D1019" s="85" t="s">
        <v>159</v>
      </c>
      <c r="E1019" s="85" t="s">
        <v>167</v>
      </c>
      <c r="F1019" s="86" t="s">
        <v>254</v>
      </c>
      <c r="G1019" s="87" t="s">
        <v>179</v>
      </c>
      <c r="H1019" s="88">
        <f t="shared" si="3"/>
        <v>0.11</v>
      </c>
      <c r="I1019" s="89">
        <v>0.1</v>
      </c>
      <c r="J1019" s="130"/>
      <c r="K1019" s="89">
        <f t="shared" si="4"/>
        <v>0.01</v>
      </c>
      <c r="L1019" s="84">
        <f t="shared" si="5"/>
        <v>1018</v>
      </c>
      <c r="M1019" s="85" t="s">
        <v>133</v>
      </c>
    </row>
    <row r="1020" ht="22.5" customHeight="1">
      <c r="A1020" s="83">
        <v>46199.0</v>
      </c>
      <c r="B1020" s="84" t="str">
        <f t="shared" si="1"/>
        <v>Jun 2026</v>
      </c>
      <c r="C1020" s="84">
        <f t="shared" si="2"/>
        <v>26</v>
      </c>
      <c r="D1020" s="85" t="s">
        <v>159</v>
      </c>
      <c r="E1020" s="85" t="s">
        <v>167</v>
      </c>
      <c r="F1020" s="86" t="s">
        <v>173</v>
      </c>
      <c r="G1020" s="87" t="s">
        <v>174</v>
      </c>
      <c r="H1020" s="88">
        <f t="shared" si="3"/>
        <v>0.11</v>
      </c>
      <c r="I1020" s="89">
        <v>0.1</v>
      </c>
      <c r="J1020" s="130"/>
      <c r="K1020" s="89">
        <f t="shared" si="4"/>
        <v>0.01</v>
      </c>
      <c r="L1020" s="84">
        <f t="shared" si="5"/>
        <v>1019</v>
      </c>
      <c r="M1020" s="85" t="s">
        <v>181</v>
      </c>
    </row>
    <row r="1021" ht="22.5" customHeight="1">
      <c r="A1021" s="83">
        <v>46199.0</v>
      </c>
      <c r="B1021" s="84" t="str">
        <f t="shared" si="1"/>
        <v>Jun 2026</v>
      </c>
      <c r="C1021" s="84">
        <f t="shared" si="2"/>
        <v>26</v>
      </c>
      <c r="D1021" s="85" t="s">
        <v>129</v>
      </c>
      <c r="E1021" s="85" t="s">
        <v>167</v>
      </c>
      <c r="F1021" s="86" t="s">
        <v>262</v>
      </c>
      <c r="G1021" s="86" t="s">
        <v>221</v>
      </c>
      <c r="H1021" s="88">
        <f t="shared" si="3"/>
        <v>0.7337</v>
      </c>
      <c r="I1021" s="89">
        <v>0.667</v>
      </c>
      <c r="J1021" s="130"/>
      <c r="K1021" s="89">
        <f t="shared" si="4"/>
        <v>0.0667</v>
      </c>
      <c r="L1021" s="84">
        <f t="shared" si="5"/>
        <v>1020</v>
      </c>
      <c r="M1021" s="85" t="s">
        <v>133</v>
      </c>
    </row>
    <row r="1022" ht="22.5" customHeight="1">
      <c r="A1022" s="83">
        <v>46199.0</v>
      </c>
      <c r="B1022" s="84" t="str">
        <f t="shared" si="1"/>
        <v>Jun 2026</v>
      </c>
      <c r="C1022" s="84">
        <f t="shared" si="2"/>
        <v>26</v>
      </c>
      <c r="D1022" s="85" t="s">
        <v>159</v>
      </c>
      <c r="E1022" s="85" t="s">
        <v>167</v>
      </c>
      <c r="F1022" s="86" t="s">
        <v>236</v>
      </c>
      <c r="G1022" s="87" t="s">
        <v>170</v>
      </c>
      <c r="H1022" s="88">
        <f t="shared" si="3"/>
        <v>0.11</v>
      </c>
      <c r="I1022" s="89">
        <v>0.1</v>
      </c>
      <c r="J1022" s="130"/>
      <c r="K1022" s="89">
        <f t="shared" si="4"/>
        <v>0.01</v>
      </c>
      <c r="L1022" s="84">
        <f t="shared" si="5"/>
        <v>1021</v>
      </c>
      <c r="M1022" s="85" t="s">
        <v>133</v>
      </c>
    </row>
    <row r="1023" ht="22.5" customHeight="1">
      <c r="A1023" s="83">
        <v>46199.0</v>
      </c>
      <c r="B1023" s="84" t="str">
        <f t="shared" si="1"/>
        <v>Jun 2026</v>
      </c>
      <c r="C1023" s="84">
        <f t="shared" si="2"/>
        <v>26</v>
      </c>
      <c r="D1023" s="85" t="s">
        <v>129</v>
      </c>
      <c r="E1023" s="85" t="s">
        <v>167</v>
      </c>
      <c r="F1023" s="86" t="s">
        <v>267</v>
      </c>
      <c r="G1023" s="86" t="s">
        <v>225</v>
      </c>
      <c r="H1023" s="88">
        <f t="shared" si="3"/>
        <v>0.7337</v>
      </c>
      <c r="I1023" s="89">
        <v>0.667</v>
      </c>
      <c r="J1023" s="130"/>
      <c r="K1023" s="89">
        <f t="shared" si="4"/>
        <v>0.0667</v>
      </c>
      <c r="L1023" s="84">
        <f t="shared" si="5"/>
        <v>1022</v>
      </c>
      <c r="M1023" s="85" t="s">
        <v>133</v>
      </c>
    </row>
    <row r="1024" ht="22.5" customHeight="1">
      <c r="A1024" s="83">
        <v>46199.0</v>
      </c>
      <c r="B1024" s="84" t="str">
        <f t="shared" si="1"/>
        <v>Jun 2026</v>
      </c>
      <c r="C1024" s="84">
        <f t="shared" si="2"/>
        <v>26</v>
      </c>
      <c r="D1024" s="85" t="s">
        <v>159</v>
      </c>
      <c r="E1024" s="85" t="s">
        <v>130</v>
      </c>
      <c r="F1024" s="86" t="s">
        <v>253</v>
      </c>
      <c r="G1024" s="87" t="s">
        <v>168</v>
      </c>
      <c r="H1024" s="88">
        <f t="shared" si="3"/>
        <v>0.11</v>
      </c>
      <c r="I1024" s="89">
        <v>0.1</v>
      </c>
      <c r="J1024" s="130"/>
      <c r="K1024" s="89">
        <f t="shared" si="4"/>
        <v>0.01</v>
      </c>
      <c r="L1024" s="84">
        <f t="shared" si="5"/>
        <v>1023</v>
      </c>
      <c r="M1024" s="85" t="s">
        <v>181</v>
      </c>
    </row>
    <row r="1025" ht="22.5" customHeight="1">
      <c r="A1025" s="83">
        <v>46199.0</v>
      </c>
      <c r="B1025" s="84" t="str">
        <f t="shared" si="1"/>
        <v>Jun 2026</v>
      </c>
      <c r="C1025" s="84">
        <f t="shared" si="2"/>
        <v>26</v>
      </c>
      <c r="D1025" s="85" t="s">
        <v>159</v>
      </c>
      <c r="E1025" s="85" t="s">
        <v>130</v>
      </c>
      <c r="F1025" s="86" t="s">
        <v>254</v>
      </c>
      <c r="G1025" s="87" t="s">
        <v>179</v>
      </c>
      <c r="H1025" s="88">
        <f t="shared" si="3"/>
        <v>0.11</v>
      </c>
      <c r="I1025" s="89">
        <v>0.1</v>
      </c>
      <c r="J1025" s="130"/>
      <c r="K1025" s="89">
        <f t="shared" si="4"/>
        <v>0.01</v>
      </c>
      <c r="L1025" s="84">
        <f t="shared" si="5"/>
        <v>1024</v>
      </c>
      <c r="M1025" s="85" t="s">
        <v>181</v>
      </c>
    </row>
    <row r="1026" ht="22.5" customHeight="1">
      <c r="A1026" s="83">
        <v>46199.0</v>
      </c>
      <c r="B1026" s="84" t="str">
        <f t="shared" si="1"/>
        <v>Jun 2026</v>
      </c>
      <c r="C1026" s="84">
        <f t="shared" si="2"/>
        <v>26</v>
      </c>
      <c r="D1026" s="85" t="s">
        <v>159</v>
      </c>
      <c r="E1026" s="85" t="s">
        <v>130</v>
      </c>
      <c r="F1026" s="86" t="s">
        <v>233</v>
      </c>
      <c r="G1026" s="87" t="s">
        <v>210</v>
      </c>
      <c r="H1026" s="88">
        <f t="shared" si="3"/>
        <v>0.11</v>
      </c>
      <c r="I1026" s="89">
        <v>0.1</v>
      </c>
      <c r="J1026" s="130"/>
      <c r="K1026" s="89">
        <f t="shared" si="4"/>
        <v>0.01</v>
      </c>
      <c r="L1026" s="84">
        <f t="shared" si="5"/>
        <v>1025</v>
      </c>
      <c r="M1026" s="85" t="s">
        <v>133</v>
      </c>
    </row>
    <row r="1027" ht="22.5" customHeight="1">
      <c r="A1027" s="83">
        <v>46199.0</v>
      </c>
      <c r="B1027" s="84" t="str">
        <f t="shared" si="1"/>
        <v>Jun 2026</v>
      </c>
      <c r="C1027" s="84">
        <f t="shared" si="2"/>
        <v>26</v>
      </c>
      <c r="D1027" s="85" t="s">
        <v>159</v>
      </c>
      <c r="E1027" s="85" t="s">
        <v>130</v>
      </c>
      <c r="F1027" s="86" t="s">
        <v>265</v>
      </c>
      <c r="G1027" s="86" t="s">
        <v>201</v>
      </c>
      <c r="H1027" s="88">
        <f t="shared" si="3"/>
        <v>0.11</v>
      </c>
      <c r="I1027" s="89">
        <v>0.1</v>
      </c>
      <c r="J1027" s="130"/>
      <c r="K1027" s="89">
        <f t="shared" si="4"/>
        <v>0.01</v>
      </c>
      <c r="L1027" s="84">
        <f t="shared" si="5"/>
        <v>1026</v>
      </c>
      <c r="M1027" s="85" t="s">
        <v>133</v>
      </c>
    </row>
    <row r="1028" ht="22.5" customHeight="1">
      <c r="A1028" s="83">
        <v>46199.0</v>
      </c>
      <c r="B1028" s="84" t="str">
        <f t="shared" si="1"/>
        <v>Jun 2026</v>
      </c>
      <c r="C1028" s="84">
        <f t="shared" si="2"/>
        <v>26</v>
      </c>
      <c r="D1028" s="85" t="s">
        <v>159</v>
      </c>
      <c r="E1028" s="85" t="s">
        <v>130</v>
      </c>
      <c r="F1028" s="86" t="s">
        <v>254</v>
      </c>
      <c r="G1028" s="87" t="s">
        <v>179</v>
      </c>
      <c r="H1028" s="88">
        <f t="shared" si="3"/>
        <v>0.11</v>
      </c>
      <c r="I1028" s="89">
        <v>0.1</v>
      </c>
      <c r="J1028" s="130"/>
      <c r="K1028" s="89">
        <f t="shared" si="4"/>
        <v>0.01</v>
      </c>
      <c r="L1028" s="84">
        <f t="shared" si="5"/>
        <v>1027</v>
      </c>
      <c r="M1028" s="85" t="s">
        <v>133</v>
      </c>
    </row>
    <row r="1029" ht="22.5" customHeight="1">
      <c r="A1029" s="83">
        <v>46199.0</v>
      </c>
      <c r="B1029" s="84" t="str">
        <f t="shared" si="1"/>
        <v>Jun 2026</v>
      </c>
      <c r="C1029" s="84">
        <f t="shared" si="2"/>
        <v>26</v>
      </c>
      <c r="D1029" s="85" t="s">
        <v>159</v>
      </c>
      <c r="E1029" s="85" t="s">
        <v>130</v>
      </c>
      <c r="F1029" s="86" t="s">
        <v>236</v>
      </c>
      <c r="G1029" s="87" t="s">
        <v>170</v>
      </c>
      <c r="H1029" s="88">
        <f t="shared" si="3"/>
        <v>0.11</v>
      </c>
      <c r="I1029" s="89">
        <v>0.1</v>
      </c>
      <c r="J1029" s="130"/>
      <c r="K1029" s="89">
        <f t="shared" si="4"/>
        <v>0.01</v>
      </c>
      <c r="L1029" s="84">
        <f t="shared" si="5"/>
        <v>1028</v>
      </c>
      <c r="M1029" s="85" t="s">
        <v>181</v>
      </c>
    </row>
    <row r="1030" ht="22.5" customHeight="1">
      <c r="A1030" s="83">
        <v>46199.0</v>
      </c>
      <c r="B1030" s="84" t="str">
        <f t="shared" si="1"/>
        <v>Jun 2026</v>
      </c>
      <c r="C1030" s="84">
        <f t="shared" si="2"/>
        <v>26</v>
      </c>
      <c r="D1030" s="85" t="s">
        <v>129</v>
      </c>
      <c r="E1030" s="85" t="s">
        <v>130</v>
      </c>
      <c r="F1030" s="86" t="s">
        <v>262</v>
      </c>
      <c r="G1030" s="86" t="s">
        <v>221</v>
      </c>
      <c r="H1030" s="88">
        <f t="shared" si="3"/>
        <v>0.7337</v>
      </c>
      <c r="I1030" s="89">
        <v>0.667</v>
      </c>
      <c r="J1030" s="130"/>
      <c r="K1030" s="89">
        <f t="shared" si="4"/>
        <v>0.0667</v>
      </c>
      <c r="L1030" s="84">
        <f t="shared" si="5"/>
        <v>1029</v>
      </c>
      <c r="M1030" s="85" t="s">
        <v>133</v>
      </c>
    </row>
    <row r="1031" ht="22.5" customHeight="1">
      <c r="A1031" s="83">
        <v>46199.0</v>
      </c>
      <c r="B1031" s="84" t="str">
        <f t="shared" si="1"/>
        <v>Jun 2026</v>
      </c>
      <c r="C1031" s="84">
        <f t="shared" si="2"/>
        <v>26</v>
      </c>
      <c r="D1031" s="85" t="s">
        <v>159</v>
      </c>
      <c r="E1031" s="85" t="s">
        <v>130</v>
      </c>
      <c r="F1031" s="86" t="s">
        <v>236</v>
      </c>
      <c r="G1031" s="87" t="s">
        <v>170</v>
      </c>
      <c r="H1031" s="88">
        <f t="shared" si="3"/>
        <v>0.11</v>
      </c>
      <c r="I1031" s="89">
        <v>0.1</v>
      </c>
      <c r="J1031" s="130"/>
      <c r="K1031" s="89">
        <f t="shared" si="4"/>
        <v>0.01</v>
      </c>
      <c r="L1031" s="84">
        <f t="shared" si="5"/>
        <v>1030</v>
      </c>
      <c r="M1031" s="85" t="s">
        <v>133</v>
      </c>
    </row>
    <row r="1032" ht="22.5" customHeight="1">
      <c r="A1032" s="83">
        <v>46199.0</v>
      </c>
      <c r="B1032" s="84" t="str">
        <f t="shared" si="1"/>
        <v>Jun 2026</v>
      </c>
      <c r="C1032" s="84">
        <f t="shared" si="2"/>
        <v>26</v>
      </c>
      <c r="D1032" s="85" t="s">
        <v>129</v>
      </c>
      <c r="E1032" s="85" t="s">
        <v>130</v>
      </c>
      <c r="F1032" s="86" t="s">
        <v>267</v>
      </c>
      <c r="G1032" s="86" t="s">
        <v>225</v>
      </c>
      <c r="H1032" s="88">
        <f t="shared" si="3"/>
        <v>0.7337</v>
      </c>
      <c r="I1032" s="89">
        <v>0.667</v>
      </c>
      <c r="J1032" s="130"/>
      <c r="K1032" s="89">
        <f t="shared" si="4"/>
        <v>0.0667</v>
      </c>
      <c r="L1032" s="84">
        <f t="shared" si="5"/>
        <v>1031</v>
      </c>
      <c r="M1032" s="85" t="s">
        <v>133</v>
      </c>
    </row>
    <row r="1033" ht="22.5" customHeight="1">
      <c r="A1033" s="83">
        <v>46199.0</v>
      </c>
      <c r="B1033" s="84" t="str">
        <f t="shared" si="1"/>
        <v>Jun 2026</v>
      </c>
      <c r="C1033" s="84">
        <f t="shared" si="2"/>
        <v>26</v>
      </c>
      <c r="D1033" s="85" t="s">
        <v>129</v>
      </c>
      <c r="E1033" s="85" t="s">
        <v>130</v>
      </c>
      <c r="F1033" s="86" t="s">
        <v>131</v>
      </c>
      <c r="G1033" s="87" t="s">
        <v>132</v>
      </c>
      <c r="H1033" s="88">
        <f t="shared" si="3"/>
        <v>0.7337</v>
      </c>
      <c r="I1033" s="89">
        <v>0.667</v>
      </c>
      <c r="J1033" s="130"/>
      <c r="K1033" s="89">
        <f t="shared" si="4"/>
        <v>0.0667</v>
      </c>
      <c r="L1033" s="84">
        <f t="shared" si="5"/>
        <v>1032</v>
      </c>
      <c r="M1033" s="85" t="s">
        <v>133</v>
      </c>
    </row>
    <row r="1034" ht="22.5" customHeight="1">
      <c r="A1034" s="131">
        <v>46200.0</v>
      </c>
      <c r="B1034" s="84" t="str">
        <f t="shared" si="1"/>
        <v>Jun 2026</v>
      </c>
      <c r="C1034" s="84">
        <f t="shared" si="2"/>
        <v>26</v>
      </c>
      <c r="D1034" s="85" t="s">
        <v>159</v>
      </c>
      <c r="E1034" s="85" t="s">
        <v>164</v>
      </c>
      <c r="F1034" s="86" t="s">
        <v>233</v>
      </c>
      <c r="G1034" s="86" t="s">
        <v>199</v>
      </c>
      <c r="H1034" s="88">
        <f t="shared" si="3"/>
        <v>0.11</v>
      </c>
      <c r="I1034" s="132">
        <v>0.1</v>
      </c>
      <c r="J1034" s="133"/>
      <c r="K1034" s="132">
        <f t="shared" si="4"/>
        <v>0.01</v>
      </c>
      <c r="L1034" s="84">
        <f t="shared" si="5"/>
        <v>1033</v>
      </c>
      <c r="M1034" s="85" t="s">
        <v>181</v>
      </c>
    </row>
    <row r="1035" ht="22.5" customHeight="1">
      <c r="A1035" s="131">
        <v>46200.0</v>
      </c>
      <c r="B1035" s="84" t="str">
        <f t="shared" si="1"/>
        <v>Jun 2026</v>
      </c>
      <c r="C1035" s="84">
        <f t="shared" si="2"/>
        <v>26</v>
      </c>
      <c r="D1035" s="85" t="s">
        <v>159</v>
      </c>
      <c r="E1035" s="85" t="s">
        <v>164</v>
      </c>
      <c r="F1035" s="86" t="s">
        <v>233</v>
      </c>
      <c r="G1035" s="87" t="s">
        <v>210</v>
      </c>
      <c r="H1035" s="88">
        <f t="shared" si="3"/>
        <v>0.11</v>
      </c>
      <c r="I1035" s="132">
        <v>0.1</v>
      </c>
      <c r="J1035" s="133"/>
      <c r="K1035" s="132">
        <f t="shared" si="4"/>
        <v>0.01</v>
      </c>
      <c r="L1035" s="84">
        <f t="shared" si="5"/>
        <v>1034</v>
      </c>
      <c r="M1035" s="85" t="s">
        <v>181</v>
      </c>
    </row>
    <row r="1036" ht="22.5" customHeight="1">
      <c r="A1036" s="131">
        <v>46200.0</v>
      </c>
      <c r="B1036" s="84" t="str">
        <f t="shared" si="1"/>
        <v>Jun 2026</v>
      </c>
      <c r="C1036" s="84">
        <f t="shared" si="2"/>
        <v>26</v>
      </c>
      <c r="D1036" s="85" t="s">
        <v>129</v>
      </c>
      <c r="E1036" s="85" t="s">
        <v>164</v>
      </c>
      <c r="F1036" s="86" t="s">
        <v>262</v>
      </c>
      <c r="G1036" s="86" t="s">
        <v>221</v>
      </c>
      <c r="H1036" s="88">
        <f t="shared" si="3"/>
        <v>0.7337</v>
      </c>
      <c r="I1036" s="89">
        <v>0.667</v>
      </c>
      <c r="J1036" s="133"/>
      <c r="K1036" s="132">
        <f t="shared" si="4"/>
        <v>0.0667</v>
      </c>
      <c r="L1036" s="84">
        <f t="shared" si="5"/>
        <v>1035</v>
      </c>
      <c r="M1036" s="85" t="s">
        <v>133</v>
      </c>
    </row>
    <row r="1037" ht="22.5" customHeight="1">
      <c r="A1037" s="131">
        <v>46200.0</v>
      </c>
      <c r="B1037" s="84" t="str">
        <f t="shared" si="1"/>
        <v>Jun 2026</v>
      </c>
      <c r="C1037" s="84">
        <f t="shared" si="2"/>
        <v>26</v>
      </c>
      <c r="D1037" s="85" t="s">
        <v>159</v>
      </c>
      <c r="E1037" s="85" t="s">
        <v>164</v>
      </c>
      <c r="F1037" s="86" t="s">
        <v>254</v>
      </c>
      <c r="G1037" s="87" t="s">
        <v>179</v>
      </c>
      <c r="H1037" s="88">
        <f t="shared" si="3"/>
        <v>0.11</v>
      </c>
      <c r="I1037" s="132">
        <v>0.1</v>
      </c>
      <c r="J1037" s="133"/>
      <c r="K1037" s="132">
        <f t="shared" si="4"/>
        <v>0.01</v>
      </c>
      <c r="L1037" s="84">
        <f t="shared" si="5"/>
        <v>1036</v>
      </c>
      <c r="M1037" s="85" t="s">
        <v>133</v>
      </c>
    </row>
    <row r="1038" ht="22.5" customHeight="1">
      <c r="A1038" s="131">
        <v>46200.0</v>
      </c>
      <c r="B1038" s="84" t="str">
        <f t="shared" si="1"/>
        <v>Jun 2026</v>
      </c>
      <c r="C1038" s="84">
        <f t="shared" si="2"/>
        <v>26</v>
      </c>
      <c r="D1038" s="85" t="s">
        <v>129</v>
      </c>
      <c r="E1038" s="85" t="s">
        <v>164</v>
      </c>
      <c r="F1038" s="86" t="s">
        <v>267</v>
      </c>
      <c r="G1038" s="86" t="s">
        <v>225</v>
      </c>
      <c r="H1038" s="88">
        <f t="shared" si="3"/>
        <v>0.7337</v>
      </c>
      <c r="I1038" s="89">
        <v>0.667</v>
      </c>
      <c r="J1038" s="133"/>
      <c r="K1038" s="132">
        <f t="shared" si="4"/>
        <v>0.0667</v>
      </c>
      <c r="L1038" s="84">
        <f t="shared" si="5"/>
        <v>1037</v>
      </c>
      <c r="M1038" s="85" t="s">
        <v>133</v>
      </c>
    </row>
    <row r="1039" ht="22.5" customHeight="1">
      <c r="A1039" s="131">
        <v>46200.0</v>
      </c>
      <c r="B1039" s="84" t="str">
        <f t="shared" si="1"/>
        <v>Jun 2026</v>
      </c>
      <c r="C1039" s="84">
        <f t="shared" si="2"/>
        <v>26</v>
      </c>
      <c r="D1039" s="85" t="s">
        <v>159</v>
      </c>
      <c r="E1039" s="85" t="s">
        <v>164</v>
      </c>
      <c r="F1039" s="86" t="s">
        <v>236</v>
      </c>
      <c r="G1039" s="87" t="s">
        <v>170</v>
      </c>
      <c r="H1039" s="88">
        <f t="shared" si="3"/>
        <v>0.11</v>
      </c>
      <c r="I1039" s="132">
        <v>0.1</v>
      </c>
      <c r="J1039" s="133"/>
      <c r="K1039" s="132">
        <f t="shared" si="4"/>
        <v>0.01</v>
      </c>
      <c r="L1039" s="84">
        <f t="shared" si="5"/>
        <v>1038</v>
      </c>
      <c r="M1039" s="85" t="s">
        <v>181</v>
      </c>
    </row>
    <row r="1040" ht="22.5" customHeight="1">
      <c r="A1040" s="131">
        <v>46200.0</v>
      </c>
      <c r="B1040" s="84" t="str">
        <f t="shared" si="1"/>
        <v>Jun 2026</v>
      </c>
      <c r="C1040" s="84">
        <f t="shared" si="2"/>
        <v>26</v>
      </c>
      <c r="D1040" s="85" t="s">
        <v>129</v>
      </c>
      <c r="E1040" s="85" t="s">
        <v>164</v>
      </c>
      <c r="F1040" s="86" t="s">
        <v>267</v>
      </c>
      <c r="G1040" s="86" t="s">
        <v>225</v>
      </c>
      <c r="H1040" s="88">
        <f t="shared" si="3"/>
        <v>0.7337</v>
      </c>
      <c r="I1040" s="89">
        <v>0.667</v>
      </c>
      <c r="J1040" s="133"/>
      <c r="K1040" s="132">
        <f t="shared" si="4"/>
        <v>0.0667</v>
      </c>
      <c r="L1040" s="84">
        <f t="shared" si="5"/>
        <v>1039</v>
      </c>
      <c r="M1040" s="85" t="s">
        <v>133</v>
      </c>
    </row>
    <row r="1041" ht="22.5" customHeight="1">
      <c r="A1041" s="131">
        <v>46200.0</v>
      </c>
      <c r="B1041" s="84" t="str">
        <f t="shared" si="1"/>
        <v>Jun 2026</v>
      </c>
      <c r="C1041" s="84">
        <f t="shared" si="2"/>
        <v>26</v>
      </c>
      <c r="D1041" s="85" t="s">
        <v>129</v>
      </c>
      <c r="E1041" s="85" t="s">
        <v>164</v>
      </c>
      <c r="F1041" s="86" t="s">
        <v>131</v>
      </c>
      <c r="G1041" s="87" t="s">
        <v>132</v>
      </c>
      <c r="H1041" s="88">
        <f t="shared" si="3"/>
        <v>0.7337</v>
      </c>
      <c r="I1041" s="89">
        <v>0.667</v>
      </c>
      <c r="J1041" s="133"/>
      <c r="K1041" s="132">
        <f t="shared" si="4"/>
        <v>0.0667</v>
      </c>
      <c r="L1041" s="84">
        <f t="shared" si="5"/>
        <v>1040</v>
      </c>
      <c r="M1041" s="85" t="s">
        <v>133</v>
      </c>
    </row>
    <row r="1042" ht="22.5" customHeight="1">
      <c r="A1042" s="131">
        <v>46200.0</v>
      </c>
      <c r="B1042" s="84" t="str">
        <f t="shared" si="1"/>
        <v>Jun 2026</v>
      </c>
      <c r="C1042" s="84">
        <f t="shared" si="2"/>
        <v>26</v>
      </c>
      <c r="D1042" s="85" t="s">
        <v>129</v>
      </c>
      <c r="E1042" s="85" t="s">
        <v>164</v>
      </c>
      <c r="F1042" s="86" t="s">
        <v>267</v>
      </c>
      <c r="G1042" s="86" t="s">
        <v>225</v>
      </c>
      <c r="H1042" s="88">
        <f t="shared" si="3"/>
        <v>0.7337</v>
      </c>
      <c r="I1042" s="89">
        <v>0.667</v>
      </c>
      <c r="J1042" s="133"/>
      <c r="K1042" s="132">
        <f t="shared" si="4"/>
        <v>0.0667</v>
      </c>
      <c r="L1042" s="84">
        <f t="shared" si="5"/>
        <v>1041</v>
      </c>
      <c r="M1042" s="85" t="s">
        <v>133</v>
      </c>
    </row>
    <row r="1043" ht="22.5" customHeight="1">
      <c r="A1043" s="131">
        <v>46200.0</v>
      </c>
      <c r="B1043" s="84" t="str">
        <f t="shared" si="1"/>
        <v>Jun 2026</v>
      </c>
      <c r="C1043" s="84">
        <f t="shared" si="2"/>
        <v>26</v>
      </c>
      <c r="D1043" s="85" t="s">
        <v>159</v>
      </c>
      <c r="E1043" s="85" t="s">
        <v>164</v>
      </c>
      <c r="F1043" s="86" t="s">
        <v>258</v>
      </c>
      <c r="G1043" s="86" t="s">
        <v>169</v>
      </c>
      <c r="H1043" s="88">
        <f t="shared" si="3"/>
        <v>0.11</v>
      </c>
      <c r="I1043" s="132">
        <v>0.1</v>
      </c>
      <c r="J1043" s="133"/>
      <c r="K1043" s="132">
        <f t="shared" si="4"/>
        <v>0.01</v>
      </c>
      <c r="L1043" s="84">
        <f t="shared" si="5"/>
        <v>1042</v>
      </c>
      <c r="M1043" s="85" t="s">
        <v>181</v>
      </c>
    </row>
    <row r="1044" ht="22.5" customHeight="1">
      <c r="A1044" s="131">
        <v>46200.0</v>
      </c>
      <c r="B1044" s="84" t="str">
        <f t="shared" si="1"/>
        <v>Jun 2026</v>
      </c>
      <c r="C1044" s="84">
        <f t="shared" si="2"/>
        <v>26</v>
      </c>
      <c r="D1044" s="85" t="s">
        <v>159</v>
      </c>
      <c r="E1044" s="85" t="s">
        <v>165</v>
      </c>
      <c r="F1044" s="86" t="s">
        <v>173</v>
      </c>
      <c r="G1044" s="87" t="s">
        <v>174</v>
      </c>
      <c r="H1044" s="88">
        <f t="shared" si="3"/>
        <v>0.11</v>
      </c>
      <c r="I1044" s="132">
        <v>0.1</v>
      </c>
      <c r="J1044" s="133"/>
      <c r="K1044" s="132">
        <f t="shared" si="4"/>
        <v>0.01</v>
      </c>
      <c r="L1044" s="84">
        <f t="shared" si="5"/>
        <v>1043</v>
      </c>
      <c r="M1044" s="85" t="s">
        <v>181</v>
      </c>
    </row>
    <row r="1045" ht="22.5" customHeight="1">
      <c r="A1045" s="131">
        <v>46200.0</v>
      </c>
      <c r="B1045" s="84" t="str">
        <f t="shared" si="1"/>
        <v>Jun 2026</v>
      </c>
      <c r="C1045" s="84">
        <f t="shared" si="2"/>
        <v>26</v>
      </c>
      <c r="D1045" s="85" t="s">
        <v>159</v>
      </c>
      <c r="E1045" s="85" t="s">
        <v>165</v>
      </c>
      <c r="F1045" s="86" t="s">
        <v>254</v>
      </c>
      <c r="G1045" s="87" t="s">
        <v>179</v>
      </c>
      <c r="H1045" s="88">
        <f t="shared" si="3"/>
        <v>0.11</v>
      </c>
      <c r="I1045" s="132">
        <v>0.1</v>
      </c>
      <c r="J1045" s="133"/>
      <c r="K1045" s="132">
        <f t="shared" si="4"/>
        <v>0.01</v>
      </c>
      <c r="L1045" s="84">
        <f t="shared" si="5"/>
        <v>1044</v>
      </c>
      <c r="M1045" s="85" t="s">
        <v>181</v>
      </c>
    </row>
    <row r="1046" ht="22.5" customHeight="1">
      <c r="A1046" s="131">
        <v>46200.0</v>
      </c>
      <c r="B1046" s="84" t="str">
        <f t="shared" si="1"/>
        <v>Jun 2026</v>
      </c>
      <c r="C1046" s="84">
        <f t="shared" si="2"/>
        <v>26</v>
      </c>
      <c r="D1046" s="85" t="s">
        <v>159</v>
      </c>
      <c r="E1046" s="85" t="s">
        <v>165</v>
      </c>
      <c r="F1046" s="86" t="s">
        <v>258</v>
      </c>
      <c r="G1046" s="86" t="s">
        <v>169</v>
      </c>
      <c r="H1046" s="88">
        <f t="shared" si="3"/>
        <v>0.11</v>
      </c>
      <c r="I1046" s="132">
        <v>0.1</v>
      </c>
      <c r="J1046" s="133"/>
      <c r="K1046" s="132">
        <f t="shared" si="4"/>
        <v>0.01</v>
      </c>
      <c r="L1046" s="84">
        <f t="shared" si="5"/>
        <v>1045</v>
      </c>
      <c r="M1046" s="85" t="s">
        <v>133</v>
      </c>
    </row>
    <row r="1047" ht="22.5" customHeight="1">
      <c r="A1047" s="131">
        <v>46200.0</v>
      </c>
      <c r="B1047" s="84" t="str">
        <f t="shared" si="1"/>
        <v>Jun 2026</v>
      </c>
      <c r="C1047" s="84">
        <f t="shared" si="2"/>
        <v>26</v>
      </c>
      <c r="D1047" s="85" t="s">
        <v>129</v>
      </c>
      <c r="E1047" s="85" t="s">
        <v>165</v>
      </c>
      <c r="F1047" s="86" t="s">
        <v>267</v>
      </c>
      <c r="G1047" s="86" t="s">
        <v>225</v>
      </c>
      <c r="H1047" s="88">
        <f t="shared" si="3"/>
        <v>0.7337</v>
      </c>
      <c r="I1047" s="89">
        <v>0.667</v>
      </c>
      <c r="J1047" s="133"/>
      <c r="K1047" s="132">
        <f t="shared" si="4"/>
        <v>0.0667</v>
      </c>
      <c r="L1047" s="84">
        <f t="shared" si="5"/>
        <v>1046</v>
      </c>
      <c r="M1047" s="85" t="s">
        <v>133</v>
      </c>
    </row>
    <row r="1048" ht="22.5" customHeight="1">
      <c r="A1048" s="131">
        <v>46200.0</v>
      </c>
      <c r="B1048" s="84" t="str">
        <f t="shared" si="1"/>
        <v>Jun 2026</v>
      </c>
      <c r="C1048" s="84">
        <f t="shared" si="2"/>
        <v>26</v>
      </c>
      <c r="D1048" s="85" t="s">
        <v>129</v>
      </c>
      <c r="E1048" s="85" t="s">
        <v>165</v>
      </c>
      <c r="F1048" s="86" t="s">
        <v>267</v>
      </c>
      <c r="G1048" s="86" t="s">
        <v>225</v>
      </c>
      <c r="H1048" s="88">
        <f t="shared" si="3"/>
        <v>0.7337</v>
      </c>
      <c r="I1048" s="89">
        <v>0.667</v>
      </c>
      <c r="J1048" s="133"/>
      <c r="K1048" s="132">
        <f t="shared" si="4"/>
        <v>0.0667</v>
      </c>
      <c r="L1048" s="84">
        <f t="shared" si="5"/>
        <v>1047</v>
      </c>
      <c r="M1048" s="85" t="s">
        <v>133</v>
      </c>
    </row>
    <row r="1049" ht="22.5" customHeight="1">
      <c r="A1049" s="131">
        <v>46200.0</v>
      </c>
      <c r="B1049" s="84" t="str">
        <f t="shared" si="1"/>
        <v>Jun 2026</v>
      </c>
      <c r="C1049" s="84">
        <f t="shared" si="2"/>
        <v>26</v>
      </c>
      <c r="D1049" s="85" t="s">
        <v>159</v>
      </c>
      <c r="E1049" s="85" t="s">
        <v>165</v>
      </c>
      <c r="F1049" s="86" t="s">
        <v>254</v>
      </c>
      <c r="G1049" s="87" t="s">
        <v>179</v>
      </c>
      <c r="H1049" s="88">
        <f t="shared" si="3"/>
        <v>0.11</v>
      </c>
      <c r="I1049" s="132">
        <v>0.1</v>
      </c>
      <c r="J1049" s="133"/>
      <c r="K1049" s="132">
        <f t="shared" si="4"/>
        <v>0.01</v>
      </c>
      <c r="L1049" s="84">
        <f t="shared" si="5"/>
        <v>1048</v>
      </c>
      <c r="M1049" s="85" t="s">
        <v>181</v>
      </c>
    </row>
    <row r="1050" ht="22.5" customHeight="1">
      <c r="A1050" s="131">
        <v>46200.0</v>
      </c>
      <c r="B1050" s="84" t="str">
        <f t="shared" si="1"/>
        <v>Jun 2026</v>
      </c>
      <c r="C1050" s="84">
        <f t="shared" si="2"/>
        <v>26</v>
      </c>
      <c r="D1050" s="85" t="s">
        <v>129</v>
      </c>
      <c r="E1050" s="85" t="s">
        <v>165</v>
      </c>
      <c r="F1050" s="86" t="s">
        <v>262</v>
      </c>
      <c r="G1050" s="86" t="s">
        <v>221</v>
      </c>
      <c r="H1050" s="88">
        <f t="shared" si="3"/>
        <v>0.11</v>
      </c>
      <c r="I1050" s="132">
        <v>0.1</v>
      </c>
      <c r="J1050" s="133"/>
      <c r="K1050" s="132">
        <f t="shared" si="4"/>
        <v>0.01</v>
      </c>
      <c r="L1050" s="84">
        <f t="shared" si="5"/>
        <v>1049</v>
      </c>
      <c r="M1050" s="85" t="s">
        <v>133</v>
      </c>
    </row>
    <row r="1051" ht="22.5" customHeight="1">
      <c r="A1051" s="131">
        <v>46200.0</v>
      </c>
      <c r="B1051" s="84" t="str">
        <f t="shared" si="1"/>
        <v>Jun 2026</v>
      </c>
      <c r="C1051" s="84">
        <f t="shared" si="2"/>
        <v>26</v>
      </c>
      <c r="D1051" s="85" t="s">
        <v>159</v>
      </c>
      <c r="E1051" s="85" t="s">
        <v>165</v>
      </c>
      <c r="F1051" s="86" t="s">
        <v>233</v>
      </c>
      <c r="G1051" s="87" t="s">
        <v>210</v>
      </c>
      <c r="H1051" s="88">
        <f t="shared" si="3"/>
        <v>0.11</v>
      </c>
      <c r="I1051" s="132">
        <v>0.1</v>
      </c>
      <c r="J1051" s="133"/>
      <c r="K1051" s="132">
        <f t="shared" si="4"/>
        <v>0.01</v>
      </c>
      <c r="L1051" s="84">
        <f t="shared" si="5"/>
        <v>1050</v>
      </c>
      <c r="M1051" s="85" t="s">
        <v>181</v>
      </c>
    </row>
    <row r="1052" ht="22.5" customHeight="1">
      <c r="A1052" s="131">
        <v>46200.0</v>
      </c>
      <c r="B1052" s="84" t="str">
        <f t="shared" si="1"/>
        <v>Jun 2026</v>
      </c>
      <c r="C1052" s="84">
        <f t="shared" si="2"/>
        <v>26</v>
      </c>
      <c r="D1052" s="85" t="s">
        <v>159</v>
      </c>
      <c r="E1052" s="85" t="s">
        <v>165</v>
      </c>
      <c r="F1052" s="86" t="s">
        <v>254</v>
      </c>
      <c r="G1052" s="87" t="s">
        <v>179</v>
      </c>
      <c r="H1052" s="88">
        <f t="shared" si="3"/>
        <v>0.11</v>
      </c>
      <c r="I1052" s="132">
        <v>0.1</v>
      </c>
      <c r="J1052" s="133"/>
      <c r="K1052" s="132">
        <f t="shared" si="4"/>
        <v>0.01</v>
      </c>
      <c r="L1052" s="84">
        <f t="shared" si="5"/>
        <v>1051</v>
      </c>
      <c r="M1052" s="85" t="s">
        <v>181</v>
      </c>
    </row>
    <row r="1053" ht="22.5" customHeight="1">
      <c r="A1053" s="131">
        <v>46200.0</v>
      </c>
      <c r="B1053" s="84" t="str">
        <f t="shared" si="1"/>
        <v>Jun 2026</v>
      </c>
      <c r="C1053" s="84">
        <f t="shared" si="2"/>
        <v>26</v>
      </c>
      <c r="D1053" s="85" t="s">
        <v>129</v>
      </c>
      <c r="E1053" s="85" t="s">
        <v>165</v>
      </c>
      <c r="F1053" s="86" t="s">
        <v>267</v>
      </c>
      <c r="G1053" s="86" t="s">
        <v>225</v>
      </c>
      <c r="H1053" s="88">
        <f t="shared" si="3"/>
        <v>0.7337</v>
      </c>
      <c r="I1053" s="89">
        <v>0.667</v>
      </c>
      <c r="J1053" s="133"/>
      <c r="K1053" s="132">
        <f t="shared" si="4"/>
        <v>0.0667</v>
      </c>
      <c r="L1053" s="84">
        <f t="shared" si="5"/>
        <v>1052</v>
      </c>
      <c r="M1053" s="85" t="s">
        <v>133</v>
      </c>
    </row>
    <row r="1054" ht="22.5" customHeight="1">
      <c r="A1054" s="131">
        <v>46200.0</v>
      </c>
      <c r="B1054" s="84" t="str">
        <f t="shared" si="1"/>
        <v>Jun 2026</v>
      </c>
      <c r="C1054" s="84">
        <f t="shared" si="2"/>
        <v>26</v>
      </c>
      <c r="D1054" s="85" t="s">
        <v>159</v>
      </c>
      <c r="E1054" s="85" t="s">
        <v>167</v>
      </c>
      <c r="F1054" s="86" t="s">
        <v>258</v>
      </c>
      <c r="G1054" s="86" t="s">
        <v>169</v>
      </c>
      <c r="H1054" s="88">
        <f t="shared" si="3"/>
        <v>0.11</v>
      </c>
      <c r="I1054" s="132">
        <v>0.1</v>
      </c>
      <c r="J1054" s="133"/>
      <c r="K1054" s="132">
        <f t="shared" si="4"/>
        <v>0.01</v>
      </c>
      <c r="L1054" s="84">
        <f t="shared" si="5"/>
        <v>1053</v>
      </c>
      <c r="M1054" s="85" t="s">
        <v>133</v>
      </c>
    </row>
    <row r="1055" ht="22.5" customHeight="1">
      <c r="A1055" s="131">
        <v>46200.0</v>
      </c>
      <c r="B1055" s="84" t="str">
        <f t="shared" si="1"/>
        <v>Jun 2026</v>
      </c>
      <c r="C1055" s="84">
        <f t="shared" si="2"/>
        <v>26</v>
      </c>
      <c r="D1055" s="85" t="s">
        <v>159</v>
      </c>
      <c r="E1055" s="85" t="s">
        <v>167</v>
      </c>
      <c r="F1055" s="86" t="s">
        <v>254</v>
      </c>
      <c r="G1055" s="87" t="s">
        <v>179</v>
      </c>
      <c r="H1055" s="88">
        <f t="shared" si="3"/>
        <v>0.11</v>
      </c>
      <c r="I1055" s="132">
        <v>0.1</v>
      </c>
      <c r="J1055" s="133"/>
      <c r="K1055" s="132">
        <f t="shared" si="4"/>
        <v>0.01</v>
      </c>
      <c r="L1055" s="84">
        <f t="shared" si="5"/>
        <v>1054</v>
      </c>
      <c r="M1055" s="85" t="s">
        <v>133</v>
      </c>
    </row>
    <row r="1056" ht="22.5" customHeight="1">
      <c r="A1056" s="131">
        <v>46200.0</v>
      </c>
      <c r="B1056" s="84" t="str">
        <f t="shared" si="1"/>
        <v>Jun 2026</v>
      </c>
      <c r="C1056" s="84">
        <f t="shared" si="2"/>
        <v>26</v>
      </c>
      <c r="D1056" s="85" t="s">
        <v>159</v>
      </c>
      <c r="E1056" s="85" t="s">
        <v>167</v>
      </c>
      <c r="F1056" s="86" t="s">
        <v>254</v>
      </c>
      <c r="G1056" s="87" t="s">
        <v>179</v>
      </c>
      <c r="H1056" s="88">
        <f t="shared" si="3"/>
        <v>0.11</v>
      </c>
      <c r="I1056" s="132">
        <v>0.1</v>
      </c>
      <c r="J1056" s="133"/>
      <c r="K1056" s="132">
        <f t="shared" si="4"/>
        <v>0.01</v>
      </c>
      <c r="L1056" s="84">
        <f t="shared" si="5"/>
        <v>1055</v>
      </c>
      <c r="M1056" s="85" t="s">
        <v>133</v>
      </c>
    </row>
    <row r="1057" ht="22.5" customHeight="1">
      <c r="A1057" s="131">
        <v>46200.0</v>
      </c>
      <c r="B1057" s="84" t="str">
        <f t="shared" si="1"/>
        <v>Jun 2026</v>
      </c>
      <c r="C1057" s="84">
        <f t="shared" si="2"/>
        <v>26</v>
      </c>
      <c r="D1057" s="85" t="s">
        <v>159</v>
      </c>
      <c r="E1057" s="85" t="s">
        <v>167</v>
      </c>
      <c r="F1057" s="86" t="s">
        <v>267</v>
      </c>
      <c r="G1057" s="86" t="s">
        <v>225</v>
      </c>
      <c r="H1057" s="88">
        <f t="shared" si="3"/>
        <v>0.11</v>
      </c>
      <c r="I1057" s="132">
        <v>0.1</v>
      </c>
      <c r="J1057" s="133"/>
      <c r="K1057" s="132">
        <f t="shared" si="4"/>
        <v>0.01</v>
      </c>
      <c r="L1057" s="84">
        <f t="shared" si="5"/>
        <v>1056</v>
      </c>
      <c r="M1057" s="85" t="s">
        <v>133</v>
      </c>
    </row>
    <row r="1058" ht="22.5" customHeight="1">
      <c r="A1058" s="131">
        <v>46200.0</v>
      </c>
      <c r="B1058" s="84" t="str">
        <f t="shared" si="1"/>
        <v>Jun 2026</v>
      </c>
      <c r="C1058" s="84">
        <f t="shared" si="2"/>
        <v>26</v>
      </c>
      <c r="D1058" s="85" t="s">
        <v>129</v>
      </c>
      <c r="E1058" s="85" t="s">
        <v>167</v>
      </c>
      <c r="F1058" s="86" t="s">
        <v>267</v>
      </c>
      <c r="G1058" s="86" t="s">
        <v>225</v>
      </c>
      <c r="H1058" s="88">
        <f t="shared" si="3"/>
        <v>0.7337</v>
      </c>
      <c r="I1058" s="89">
        <v>0.667</v>
      </c>
      <c r="J1058" s="133"/>
      <c r="K1058" s="132">
        <f t="shared" si="4"/>
        <v>0.0667</v>
      </c>
      <c r="L1058" s="84">
        <f t="shared" si="5"/>
        <v>1057</v>
      </c>
      <c r="M1058" s="85" t="s">
        <v>133</v>
      </c>
    </row>
    <row r="1059" ht="22.5" customHeight="1">
      <c r="A1059" s="131">
        <v>46200.0</v>
      </c>
      <c r="B1059" s="84" t="str">
        <f t="shared" si="1"/>
        <v>Jun 2026</v>
      </c>
      <c r="C1059" s="84">
        <f t="shared" si="2"/>
        <v>26</v>
      </c>
      <c r="D1059" s="85" t="s">
        <v>129</v>
      </c>
      <c r="E1059" s="85" t="s">
        <v>167</v>
      </c>
      <c r="F1059" s="86" t="s">
        <v>267</v>
      </c>
      <c r="G1059" s="86" t="s">
        <v>225</v>
      </c>
      <c r="H1059" s="88">
        <f t="shared" si="3"/>
        <v>0.7337</v>
      </c>
      <c r="I1059" s="89">
        <v>0.667</v>
      </c>
      <c r="J1059" s="133"/>
      <c r="K1059" s="132">
        <f t="shared" si="4"/>
        <v>0.0667</v>
      </c>
      <c r="L1059" s="84">
        <f t="shared" si="5"/>
        <v>1058</v>
      </c>
      <c r="M1059" s="85" t="s">
        <v>133</v>
      </c>
    </row>
    <row r="1060" ht="22.5" customHeight="1">
      <c r="A1060" s="131">
        <v>46200.0</v>
      </c>
      <c r="B1060" s="84" t="str">
        <f t="shared" si="1"/>
        <v>Jun 2026</v>
      </c>
      <c r="C1060" s="84">
        <f t="shared" si="2"/>
        <v>26</v>
      </c>
      <c r="D1060" s="85" t="s">
        <v>129</v>
      </c>
      <c r="E1060" s="85" t="s">
        <v>167</v>
      </c>
      <c r="F1060" s="86" t="s">
        <v>267</v>
      </c>
      <c r="G1060" s="86" t="s">
        <v>225</v>
      </c>
      <c r="H1060" s="88">
        <f t="shared" si="3"/>
        <v>0.7337</v>
      </c>
      <c r="I1060" s="89">
        <v>0.667</v>
      </c>
      <c r="J1060" s="133"/>
      <c r="K1060" s="132">
        <f t="shared" si="4"/>
        <v>0.0667</v>
      </c>
      <c r="L1060" s="84">
        <f t="shared" si="5"/>
        <v>1059</v>
      </c>
      <c r="M1060" s="85" t="s">
        <v>133</v>
      </c>
    </row>
    <row r="1061" ht="22.5" customHeight="1">
      <c r="A1061" s="131">
        <v>46200.0</v>
      </c>
      <c r="B1061" s="84" t="str">
        <f t="shared" si="1"/>
        <v>Jun 2026</v>
      </c>
      <c r="C1061" s="84">
        <f t="shared" si="2"/>
        <v>26</v>
      </c>
      <c r="D1061" s="85" t="s">
        <v>129</v>
      </c>
      <c r="E1061" s="85" t="s">
        <v>167</v>
      </c>
      <c r="F1061" s="86" t="s">
        <v>267</v>
      </c>
      <c r="G1061" s="86" t="s">
        <v>225</v>
      </c>
      <c r="H1061" s="88">
        <f t="shared" si="3"/>
        <v>0.7337</v>
      </c>
      <c r="I1061" s="89">
        <v>0.667</v>
      </c>
      <c r="J1061" s="133"/>
      <c r="K1061" s="132">
        <f t="shared" si="4"/>
        <v>0.0667</v>
      </c>
      <c r="L1061" s="84">
        <f t="shared" si="5"/>
        <v>1060</v>
      </c>
      <c r="M1061" s="85" t="s">
        <v>133</v>
      </c>
    </row>
    <row r="1062" ht="22.5" customHeight="1">
      <c r="A1062" s="131">
        <v>46200.0</v>
      </c>
      <c r="B1062" s="84" t="str">
        <f t="shared" si="1"/>
        <v>Jun 2026</v>
      </c>
      <c r="C1062" s="84">
        <f t="shared" si="2"/>
        <v>26</v>
      </c>
      <c r="D1062" s="85" t="s">
        <v>129</v>
      </c>
      <c r="E1062" s="85" t="s">
        <v>167</v>
      </c>
      <c r="F1062" s="86" t="s">
        <v>267</v>
      </c>
      <c r="G1062" s="86" t="s">
        <v>225</v>
      </c>
      <c r="H1062" s="88">
        <f t="shared" si="3"/>
        <v>0.7337</v>
      </c>
      <c r="I1062" s="89">
        <v>0.667</v>
      </c>
      <c r="J1062" s="133"/>
      <c r="K1062" s="132">
        <f t="shared" si="4"/>
        <v>0.0667</v>
      </c>
      <c r="L1062" s="84">
        <f t="shared" si="5"/>
        <v>1061</v>
      </c>
      <c r="M1062" s="85" t="s">
        <v>133</v>
      </c>
    </row>
    <row r="1063" ht="22.5" customHeight="1">
      <c r="A1063" s="131">
        <v>46200.0</v>
      </c>
      <c r="B1063" s="84" t="str">
        <f t="shared" si="1"/>
        <v>Jun 2026</v>
      </c>
      <c r="C1063" s="84">
        <f t="shared" si="2"/>
        <v>26</v>
      </c>
      <c r="D1063" s="85" t="s">
        <v>129</v>
      </c>
      <c r="E1063" s="85" t="s">
        <v>167</v>
      </c>
      <c r="F1063" s="86" t="s">
        <v>262</v>
      </c>
      <c r="G1063" s="86" t="s">
        <v>221</v>
      </c>
      <c r="H1063" s="88">
        <f t="shared" si="3"/>
        <v>0.7337</v>
      </c>
      <c r="I1063" s="89">
        <v>0.667</v>
      </c>
      <c r="J1063" s="133"/>
      <c r="K1063" s="132">
        <f t="shared" si="4"/>
        <v>0.0667</v>
      </c>
      <c r="L1063" s="84">
        <f t="shared" si="5"/>
        <v>1062</v>
      </c>
      <c r="M1063" s="85" t="s">
        <v>133</v>
      </c>
    </row>
    <row r="1064" ht="22.5" customHeight="1">
      <c r="A1064" s="131">
        <v>46200.0</v>
      </c>
      <c r="B1064" s="84" t="str">
        <f t="shared" si="1"/>
        <v>Jun 2026</v>
      </c>
      <c r="C1064" s="84">
        <f t="shared" si="2"/>
        <v>26</v>
      </c>
      <c r="D1064" s="85" t="s">
        <v>159</v>
      </c>
      <c r="E1064" s="85" t="s">
        <v>130</v>
      </c>
      <c r="F1064" s="86" t="s">
        <v>267</v>
      </c>
      <c r="G1064" s="86" t="s">
        <v>225</v>
      </c>
      <c r="H1064" s="88">
        <f t="shared" si="3"/>
        <v>0.11</v>
      </c>
      <c r="I1064" s="132">
        <v>0.1</v>
      </c>
      <c r="J1064" s="133"/>
      <c r="K1064" s="132">
        <f t="shared" si="4"/>
        <v>0.01</v>
      </c>
      <c r="L1064" s="84">
        <f t="shared" si="5"/>
        <v>1063</v>
      </c>
      <c r="M1064" s="85" t="s">
        <v>133</v>
      </c>
    </row>
    <row r="1065" ht="22.5" customHeight="1">
      <c r="A1065" s="131">
        <v>46200.0</v>
      </c>
      <c r="B1065" s="84" t="str">
        <f t="shared" si="1"/>
        <v>Jun 2026</v>
      </c>
      <c r="C1065" s="84">
        <f t="shared" si="2"/>
        <v>26</v>
      </c>
      <c r="D1065" s="85" t="s">
        <v>159</v>
      </c>
      <c r="E1065" s="85" t="s">
        <v>130</v>
      </c>
      <c r="F1065" s="86" t="s">
        <v>254</v>
      </c>
      <c r="G1065" s="87" t="s">
        <v>179</v>
      </c>
      <c r="H1065" s="88">
        <f t="shared" si="3"/>
        <v>0.11</v>
      </c>
      <c r="I1065" s="132">
        <v>0.1</v>
      </c>
      <c r="J1065" s="133"/>
      <c r="K1065" s="132">
        <f t="shared" si="4"/>
        <v>0.01</v>
      </c>
      <c r="L1065" s="84">
        <f t="shared" si="5"/>
        <v>1064</v>
      </c>
      <c r="M1065" s="85" t="s">
        <v>133</v>
      </c>
    </row>
    <row r="1066" ht="22.5" customHeight="1">
      <c r="A1066" s="131">
        <v>46200.0</v>
      </c>
      <c r="B1066" s="84" t="str">
        <f t="shared" si="1"/>
        <v>Jun 2026</v>
      </c>
      <c r="C1066" s="84">
        <f t="shared" si="2"/>
        <v>26</v>
      </c>
      <c r="D1066" s="85" t="s">
        <v>159</v>
      </c>
      <c r="E1066" s="85" t="s">
        <v>130</v>
      </c>
      <c r="F1066" s="86" t="s">
        <v>258</v>
      </c>
      <c r="G1066" s="86" t="s">
        <v>169</v>
      </c>
      <c r="H1066" s="88">
        <f t="shared" si="3"/>
        <v>0.11</v>
      </c>
      <c r="I1066" s="132">
        <v>0.1</v>
      </c>
      <c r="J1066" s="133"/>
      <c r="K1066" s="132">
        <f t="shared" si="4"/>
        <v>0.01</v>
      </c>
      <c r="L1066" s="84">
        <f t="shared" si="5"/>
        <v>1065</v>
      </c>
      <c r="M1066" s="85" t="s">
        <v>181</v>
      </c>
    </row>
    <row r="1067" ht="22.5" customHeight="1">
      <c r="A1067" s="131">
        <v>46200.0</v>
      </c>
      <c r="B1067" s="84" t="str">
        <f t="shared" si="1"/>
        <v>Jun 2026</v>
      </c>
      <c r="C1067" s="84">
        <f t="shared" si="2"/>
        <v>26</v>
      </c>
      <c r="D1067" s="85" t="s">
        <v>159</v>
      </c>
      <c r="E1067" s="85" t="s">
        <v>130</v>
      </c>
      <c r="F1067" s="86" t="s">
        <v>254</v>
      </c>
      <c r="G1067" s="87" t="s">
        <v>179</v>
      </c>
      <c r="H1067" s="88">
        <f t="shared" si="3"/>
        <v>0.11</v>
      </c>
      <c r="I1067" s="132">
        <v>0.1</v>
      </c>
      <c r="J1067" s="133"/>
      <c r="K1067" s="132">
        <f t="shared" si="4"/>
        <v>0.01</v>
      </c>
      <c r="L1067" s="84">
        <f t="shared" si="5"/>
        <v>1066</v>
      </c>
      <c r="M1067" s="85" t="s">
        <v>133</v>
      </c>
    </row>
    <row r="1068" ht="22.5" customHeight="1">
      <c r="A1068" s="131">
        <v>46200.0</v>
      </c>
      <c r="B1068" s="84" t="str">
        <f t="shared" si="1"/>
        <v>Jun 2026</v>
      </c>
      <c r="C1068" s="84">
        <f t="shared" si="2"/>
        <v>26</v>
      </c>
      <c r="D1068" s="85" t="s">
        <v>129</v>
      </c>
      <c r="E1068" s="85" t="s">
        <v>130</v>
      </c>
      <c r="F1068" s="86" t="s">
        <v>267</v>
      </c>
      <c r="G1068" s="86" t="s">
        <v>225</v>
      </c>
      <c r="H1068" s="88">
        <f t="shared" si="3"/>
        <v>0.7337</v>
      </c>
      <c r="I1068" s="89">
        <v>0.667</v>
      </c>
      <c r="J1068" s="133"/>
      <c r="K1068" s="132">
        <f t="shared" si="4"/>
        <v>0.0667</v>
      </c>
      <c r="L1068" s="84">
        <f t="shared" si="5"/>
        <v>1067</v>
      </c>
      <c r="M1068" s="85" t="s">
        <v>133</v>
      </c>
    </row>
    <row r="1069" ht="22.5" customHeight="1">
      <c r="A1069" s="131">
        <v>46200.0</v>
      </c>
      <c r="B1069" s="84" t="str">
        <f t="shared" si="1"/>
        <v>Jun 2026</v>
      </c>
      <c r="C1069" s="84">
        <f t="shared" si="2"/>
        <v>26</v>
      </c>
      <c r="D1069" s="85" t="s">
        <v>129</v>
      </c>
      <c r="E1069" s="85" t="s">
        <v>130</v>
      </c>
      <c r="F1069" s="86" t="s">
        <v>267</v>
      </c>
      <c r="G1069" s="86" t="s">
        <v>225</v>
      </c>
      <c r="H1069" s="88">
        <f t="shared" si="3"/>
        <v>0.7337</v>
      </c>
      <c r="I1069" s="89">
        <v>0.667</v>
      </c>
      <c r="J1069" s="133"/>
      <c r="K1069" s="132">
        <f t="shared" si="4"/>
        <v>0.0667</v>
      </c>
      <c r="L1069" s="84">
        <f t="shared" si="5"/>
        <v>1068</v>
      </c>
      <c r="M1069" s="85" t="s">
        <v>133</v>
      </c>
    </row>
    <row r="1070" ht="22.5" customHeight="1">
      <c r="A1070" s="131">
        <v>46200.0</v>
      </c>
      <c r="B1070" s="84" t="str">
        <f t="shared" si="1"/>
        <v>Jun 2026</v>
      </c>
      <c r="C1070" s="84">
        <f t="shared" si="2"/>
        <v>26</v>
      </c>
      <c r="D1070" s="85" t="s">
        <v>129</v>
      </c>
      <c r="E1070" s="85" t="s">
        <v>130</v>
      </c>
      <c r="F1070" s="86" t="s">
        <v>267</v>
      </c>
      <c r="G1070" s="86" t="s">
        <v>225</v>
      </c>
      <c r="H1070" s="88">
        <f t="shared" si="3"/>
        <v>0.7337</v>
      </c>
      <c r="I1070" s="89">
        <v>0.667</v>
      </c>
      <c r="J1070" s="133"/>
      <c r="K1070" s="132">
        <f t="shared" si="4"/>
        <v>0.0667</v>
      </c>
      <c r="L1070" s="84">
        <f t="shared" si="5"/>
        <v>1069</v>
      </c>
      <c r="M1070" s="85" t="s">
        <v>133</v>
      </c>
    </row>
    <row r="1071" ht="22.5" customHeight="1">
      <c r="A1071" s="131">
        <v>46200.0</v>
      </c>
      <c r="B1071" s="84" t="str">
        <f t="shared" si="1"/>
        <v>Jun 2026</v>
      </c>
      <c r="C1071" s="84">
        <f t="shared" si="2"/>
        <v>26</v>
      </c>
      <c r="D1071" s="85" t="s">
        <v>129</v>
      </c>
      <c r="E1071" s="85" t="s">
        <v>130</v>
      </c>
      <c r="F1071" s="86" t="s">
        <v>267</v>
      </c>
      <c r="G1071" s="86" t="s">
        <v>225</v>
      </c>
      <c r="H1071" s="88">
        <f t="shared" si="3"/>
        <v>0.7337</v>
      </c>
      <c r="I1071" s="89">
        <v>0.667</v>
      </c>
      <c r="J1071" s="133"/>
      <c r="K1071" s="132">
        <f t="shared" si="4"/>
        <v>0.0667</v>
      </c>
      <c r="L1071" s="84">
        <f t="shared" si="5"/>
        <v>1070</v>
      </c>
      <c r="M1071" s="85" t="s">
        <v>133</v>
      </c>
    </row>
    <row r="1072" ht="22.5" customHeight="1">
      <c r="A1072" s="131">
        <v>46200.0</v>
      </c>
      <c r="B1072" s="84" t="str">
        <f t="shared" si="1"/>
        <v>Jun 2026</v>
      </c>
      <c r="C1072" s="84">
        <f t="shared" si="2"/>
        <v>26</v>
      </c>
      <c r="D1072" s="85" t="s">
        <v>129</v>
      </c>
      <c r="E1072" s="85" t="s">
        <v>130</v>
      </c>
      <c r="F1072" s="86" t="s">
        <v>267</v>
      </c>
      <c r="G1072" s="86" t="s">
        <v>225</v>
      </c>
      <c r="H1072" s="88">
        <f t="shared" si="3"/>
        <v>0.7337</v>
      </c>
      <c r="I1072" s="89">
        <v>0.667</v>
      </c>
      <c r="J1072" s="133"/>
      <c r="K1072" s="132">
        <f t="shared" si="4"/>
        <v>0.0667</v>
      </c>
      <c r="L1072" s="84">
        <f t="shared" si="5"/>
        <v>1071</v>
      </c>
      <c r="M1072" s="85" t="s">
        <v>133</v>
      </c>
    </row>
    <row r="1073" ht="22.5" customHeight="1">
      <c r="A1073" s="131">
        <v>46200.0</v>
      </c>
      <c r="B1073" s="84" t="str">
        <f t="shared" si="1"/>
        <v>Jun 2026</v>
      </c>
      <c r="C1073" s="84">
        <f t="shared" si="2"/>
        <v>26</v>
      </c>
      <c r="D1073" s="85" t="s">
        <v>129</v>
      </c>
      <c r="E1073" s="85" t="s">
        <v>130</v>
      </c>
      <c r="F1073" s="86" t="s">
        <v>267</v>
      </c>
      <c r="G1073" s="86" t="s">
        <v>225</v>
      </c>
      <c r="H1073" s="88">
        <f t="shared" si="3"/>
        <v>0.7337</v>
      </c>
      <c r="I1073" s="89">
        <v>0.667</v>
      </c>
      <c r="J1073" s="133"/>
      <c r="K1073" s="132">
        <f t="shared" si="4"/>
        <v>0.0667</v>
      </c>
      <c r="L1073" s="84">
        <f t="shared" si="5"/>
        <v>1072</v>
      </c>
      <c r="M1073" s="85" t="s">
        <v>133</v>
      </c>
    </row>
    <row r="1074" ht="22.5" customHeight="1">
      <c r="A1074" s="131">
        <v>46201.0</v>
      </c>
      <c r="B1074" s="84" t="str">
        <f t="shared" si="1"/>
        <v>Jun 2026</v>
      </c>
      <c r="C1074" s="84">
        <f t="shared" si="2"/>
        <v>27</v>
      </c>
      <c r="D1074" s="85" t="s">
        <v>129</v>
      </c>
      <c r="E1074" s="85" t="s">
        <v>164</v>
      </c>
      <c r="F1074" s="86" t="s">
        <v>134</v>
      </c>
      <c r="G1074" s="86" t="s">
        <v>224</v>
      </c>
      <c r="H1074" s="88">
        <f t="shared" si="3"/>
        <v>0.7337</v>
      </c>
      <c r="I1074" s="89">
        <v>0.667</v>
      </c>
      <c r="J1074" s="133"/>
      <c r="K1074" s="132">
        <f t="shared" si="4"/>
        <v>0.0667</v>
      </c>
      <c r="L1074" s="84">
        <f t="shared" si="5"/>
        <v>1073</v>
      </c>
      <c r="M1074" s="85" t="s">
        <v>133</v>
      </c>
    </row>
    <row r="1075" ht="22.5" customHeight="1">
      <c r="A1075" s="131">
        <v>46201.0</v>
      </c>
      <c r="B1075" s="84" t="str">
        <f t="shared" si="1"/>
        <v>Jun 2026</v>
      </c>
      <c r="C1075" s="84">
        <f t="shared" si="2"/>
        <v>27</v>
      </c>
      <c r="D1075" s="85" t="s">
        <v>129</v>
      </c>
      <c r="E1075" s="85" t="s">
        <v>164</v>
      </c>
      <c r="F1075" s="86" t="s">
        <v>249</v>
      </c>
      <c r="G1075" s="86" t="s">
        <v>220</v>
      </c>
      <c r="H1075" s="88">
        <f t="shared" si="3"/>
        <v>0.7337</v>
      </c>
      <c r="I1075" s="89">
        <v>0.667</v>
      </c>
      <c r="J1075" s="133"/>
      <c r="K1075" s="132">
        <f t="shared" si="4"/>
        <v>0.0667</v>
      </c>
      <c r="L1075" s="84">
        <f t="shared" si="5"/>
        <v>1074</v>
      </c>
      <c r="M1075" s="85" t="s">
        <v>133</v>
      </c>
    </row>
    <row r="1076" ht="22.5" customHeight="1">
      <c r="A1076" s="131">
        <v>46201.0</v>
      </c>
      <c r="B1076" s="84" t="str">
        <f t="shared" si="1"/>
        <v>Jun 2026</v>
      </c>
      <c r="C1076" s="84">
        <f t="shared" si="2"/>
        <v>27</v>
      </c>
      <c r="D1076" s="85" t="s">
        <v>129</v>
      </c>
      <c r="E1076" s="85" t="s">
        <v>164</v>
      </c>
      <c r="F1076" s="86" t="s">
        <v>249</v>
      </c>
      <c r="G1076" s="86" t="s">
        <v>220</v>
      </c>
      <c r="H1076" s="88">
        <f t="shared" si="3"/>
        <v>0.7337</v>
      </c>
      <c r="I1076" s="89">
        <v>0.667</v>
      </c>
      <c r="J1076" s="133"/>
      <c r="K1076" s="132">
        <f t="shared" si="4"/>
        <v>0.0667</v>
      </c>
      <c r="L1076" s="84">
        <f t="shared" si="5"/>
        <v>1075</v>
      </c>
      <c r="M1076" s="85" t="s">
        <v>133</v>
      </c>
    </row>
    <row r="1077" ht="22.5" customHeight="1">
      <c r="A1077" s="131">
        <v>46201.0</v>
      </c>
      <c r="B1077" s="84" t="str">
        <f t="shared" si="1"/>
        <v>Jun 2026</v>
      </c>
      <c r="C1077" s="84">
        <f t="shared" si="2"/>
        <v>27</v>
      </c>
      <c r="D1077" s="85" t="s">
        <v>129</v>
      </c>
      <c r="E1077" s="85" t="s">
        <v>164</v>
      </c>
      <c r="F1077" s="86" t="s">
        <v>262</v>
      </c>
      <c r="G1077" s="86" t="s">
        <v>223</v>
      </c>
      <c r="H1077" s="88">
        <f t="shared" si="3"/>
        <v>0.7337</v>
      </c>
      <c r="I1077" s="89">
        <v>0.667</v>
      </c>
      <c r="J1077" s="133"/>
      <c r="K1077" s="132">
        <f t="shared" si="4"/>
        <v>0.0667</v>
      </c>
      <c r="L1077" s="84">
        <f t="shared" si="5"/>
        <v>1076</v>
      </c>
      <c r="M1077" s="85" t="s">
        <v>133</v>
      </c>
    </row>
    <row r="1078" ht="22.5" customHeight="1">
      <c r="A1078" s="131">
        <v>46201.0</v>
      </c>
      <c r="B1078" s="84" t="str">
        <f t="shared" si="1"/>
        <v>Jun 2026</v>
      </c>
      <c r="C1078" s="84">
        <f t="shared" si="2"/>
        <v>27</v>
      </c>
      <c r="D1078" s="85" t="s">
        <v>129</v>
      </c>
      <c r="E1078" s="85" t="s">
        <v>164</v>
      </c>
      <c r="F1078" s="86" t="s">
        <v>249</v>
      </c>
      <c r="G1078" s="86" t="s">
        <v>220</v>
      </c>
      <c r="H1078" s="88">
        <f t="shared" si="3"/>
        <v>0.7337</v>
      </c>
      <c r="I1078" s="89">
        <v>0.667</v>
      </c>
      <c r="J1078" s="133"/>
      <c r="K1078" s="132">
        <f t="shared" si="4"/>
        <v>0.0667</v>
      </c>
      <c r="L1078" s="84">
        <f t="shared" si="5"/>
        <v>1077</v>
      </c>
      <c r="M1078" s="85" t="s">
        <v>133</v>
      </c>
    </row>
    <row r="1079" ht="22.5" customHeight="1">
      <c r="A1079" s="131">
        <v>46201.0</v>
      </c>
      <c r="B1079" s="84" t="str">
        <f t="shared" si="1"/>
        <v>Jun 2026</v>
      </c>
      <c r="C1079" s="84">
        <f t="shared" si="2"/>
        <v>27</v>
      </c>
      <c r="D1079" s="85" t="s">
        <v>129</v>
      </c>
      <c r="E1079" s="85" t="s">
        <v>164</v>
      </c>
      <c r="F1079" s="86" t="s">
        <v>262</v>
      </c>
      <c r="G1079" s="86" t="s">
        <v>223</v>
      </c>
      <c r="H1079" s="88">
        <f t="shared" si="3"/>
        <v>0.7337</v>
      </c>
      <c r="I1079" s="89">
        <v>0.667</v>
      </c>
      <c r="J1079" s="133"/>
      <c r="K1079" s="132">
        <f t="shared" si="4"/>
        <v>0.0667</v>
      </c>
      <c r="L1079" s="84">
        <f t="shared" si="5"/>
        <v>1078</v>
      </c>
      <c r="M1079" s="85" t="s">
        <v>133</v>
      </c>
    </row>
    <row r="1080" ht="22.5" customHeight="1">
      <c r="A1080" s="131">
        <v>46201.0</v>
      </c>
      <c r="B1080" s="84" t="str">
        <f t="shared" si="1"/>
        <v>Jun 2026</v>
      </c>
      <c r="C1080" s="84">
        <f t="shared" si="2"/>
        <v>27</v>
      </c>
      <c r="D1080" s="85" t="s">
        <v>129</v>
      </c>
      <c r="E1080" s="85" t="s">
        <v>164</v>
      </c>
      <c r="F1080" s="86" t="s">
        <v>267</v>
      </c>
      <c r="G1080" s="86" t="s">
        <v>225</v>
      </c>
      <c r="H1080" s="88">
        <f t="shared" si="3"/>
        <v>0.7337</v>
      </c>
      <c r="I1080" s="89">
        <v>0.667</v>
      </c>
      <c r="J1080" s="133"/>
      <c r="K1080" s="132">
        <f t="shared" si="4"/>
        <v>0.0667</v>
      </c>
      <c r="L1080" s="84">
        <f t="shared" si="5"/>
        <v>1079</v>
      </c>
      <c r="M1080" s="85" t="s">
        <v>133</v>
      </c>
    </row>
    <row r="1081" ht="22.5" customHeight="1">
      <c r="A1081" s="131">
        <v>46201.0</v>
      </c>
      <c r="B1081" s="84" t="str">
        <f t="shared" si="1"/>
        <v>Jun 2026</v>
      </c>
      <c r="C1081" s="84">
        <f t="shared" si="2"/>
        <v>27</v>
      </c>
      <c r="D1081" s="85" t="s">
        <v>129</v>
      </c>
      <c r="E1081" s="85" t="s">
        <v>164</v>
      </c>
      <c r="F1081" s="86" t="s">
        <v>262</v>
      </c>
      <c r="G1081" s="86" t="s">
        <v>223</v>
      </c>
      <c r="H1081" s="88">
        <f t="shared" si="3"/>
        <v>0.7337</v>
      </c>
      <c r="I1081" s="89">
        <v>0.667</v>
      </c>
      <c r="J1081" s="133"/>
      <c r="K1081" s="132">
        <f t="shared" si="4"/>
        <v>0.0667</v>
      </c>
      <c r="L1081" s="84">
        <f t="shared" si="5"/>
        <v>1080</v>
      </c>
      <c r="M1081" s="85" t="s">
        <v>133</v>
      </c>
    </row>
    <row r="1082" ht="22.5" customHeight="1">
      <c r="A1082" s="131">
        <v>46201.0</v>
      </c>
      <c r="B1082" s="84" t="str">
        <f t="shared" si="1"/>
        <v>Jun 2026</v>
      </c>
      <c r="C1082" s="84">
        <f t="shared" si="2"/>
        <v>27</v>
      </c>
      <c r="D1082" s="85" t="s">
        <v>129</v>
      </c>
      <c r="E1082" s="85" t="s">
        <v>164</v>
      </c>
      <c r="F1082" s="86" t="s">
        <v>267</v>
      </c>
      <c r="G1082" s="86" t="s">
        <v>225</v>
      </c>
      <c r="H1082" s="88">
        <f t="shared" si="3"/>
        <v>0.7337</v>
      </c>
      <c r="I1082" s="89">
        <v>0.667</v>
      </c>
      <c r="J1082" s="133"/>
      <c r="K1082" s="132">
        <f t="shared" si="4"/>
        <v>0.0667</v>
      </c>
      <c r="L1082" s="84">
        <f t="shared" si="5"/>
        <v>1081</v>
      </c>
      <c r="M1082" s="85" t="s">
        <v>133</v>
      </c>
    </row>
    <row r="1083" ht="22.5" customHeight="1">
      <c r="A1083" s="131">
        <v>46201.0</v>
      </c>
      <c r="B1083" s="84" t="str">
        <f t="shared" si="1"/>
        <v>Jun 2026</v>
      </c>
      <c r="C1083" s="84">
        <f t="shared" si="2"/>
        <v>27</v>
      </c>
      <c r="D1083" s="85" t="s">
        <v>129</v>
      </c>
      <c r="E1083" s="85" t="s">
        <v>164</v>
      </c>
      <c r="F1083" s="86" t="s">
        <v>267</v>
      </c>
      <c r="G1083" s="86" t="s">
        <v>225</v>
      </c>
      <c r="H1083" s="88">
        <f t="shared" si="3"/>
        <v>0.7337</v>
      </c>
      <c r="I1083" s="89">
        <v>0.667</v>
      </c>
      <c r="J1083" s="133"/>
      <c r="K1083" s="132">
        <f t="shared" si="4"/>
        <v>0.0667</v>
      </c>
      <c r="L1083" s="84">
        <f t="shared" si="5"/>
        <v>1082</v>
      </c>
      <c r="M1083" s="85" t="s">
        <v>133</v>
      </c>
    </row>
    <row r="1084" ht="22.5" customHeight="1">
      <c r="A1084" s="131">
        <v>46201.0</v>
      </c>
      <c r="B1084" s="84" t="str">
        <f t="shared" si="1"/>
        <v>Jun 2026</v>
      </c>
      <c r="C1084" s="84">
        <f t="shared" si="2"/>
        <v>27</v>
      </c>
      <c r="D1084" s="85" t="s">
        <v>129</v>
      </c>
      <c r="E1084" s="85" t="s">
        <v>165</v>
      </c>
      <c r="F1084" s="86" t="s">
        <v>249</v>
      </c>
      <c r="G1084" s="86" t="s">
        <v>220</v>
      </c>
      <c r="H1084" s="88">
        <f t="shared" si="3"/>
        <v>0.7337</v>
      </c>
      <c r="I1084" s="89">
        <v>0.667</v>
      </c>
      <c r="J1084" s="133"/>
      <c r="K1084" s="132">
        <f t="shared" si="4"/>
        <v>0.0667</v>
      </c>
      <c r="L1084" s="84">
        <f t="shared" si="5"/>
        <v>1083</v>
      </c>
      <c r="M1084" s="85" t="s">
        <v>133</v>
      </c>
    </row>
    <row r="1085" ht="22.5" customHeight="1">
      <c r="A1085" s="131">
        <v>46201.0</v>
      </c>
      <c r="B1085" s="84" t="str">
        <f t="shared" si="1"/>
        <v>Jun 2026</v>
      </c>
      <c r="C1085" s="84">
        <f t="shared" si="2"/>
        <v>27</v>
      </c>
      <c r="D1085" s="85" t="s">
        <v>129</v>
      </c>
      <c r="E1085" s="85" t="s">
        <v>165</v>
      </c>
      <c r="F1085" s="86" t="s">
        <v>262</v>
      </c>
      <c r="G1085" s="86" t="s">
        <v>223</v>
      </c>
      <c r="H1085" s="88">
        <f t="shared" si="3"/>
        <v>0.7337</v>
      </c>
      <c r="I1085" s="89">
        <v>0.667</v>
      </c>
      <c r="J1085" s="133"/>
      <c r="K1085" s="132">
        <f t="shared" si="4"/>
        <v>0.0667</v>
      </c>
      <c r="L1085" s="84">
        <f t="shared" si="5"/>
        <v>1084</v>
      </c>
      <c r="M1085" s="85" t="s">
        <v>133</v>
      </c>
    </row>
    <row r="1086" ht="22.5" customHeight="1">
      <c r="A1086" s="131">
        <v>46201.0</v>
      </c>
      <c r="B1086" s="84" t="str">
        <f t="shared" si="1"/>
        <v>Jun 2026</v>
      </c>
      <c r="C1086" s="84">
        <f t="shared" si="2"/>
        <v>27</v>
      </c>
      <c r="D1086" s="85" t="s">
        <v>129</v>
      </c>
      <c r="E1086" s="85" t="s">
        <v>165</v>
      </c>
      <c r="F1086" s="86" t="s">
        <v>134</v>
      </c>
      <c r="G1086" s="86" t="s">
        <v>224</v>
      </c>
      <c r="H1086" s="88">
        <f t="shared" si="3"/>
        <v>0.7337</v>
      </c>
      <c r="I1086" s="89">
        <v>0.667</v>
      </c>
      <c r="J1086" s="133"/>
      <c r="K1086" s="132">
        <f t="shared" si="4"/>
        <v>0.0667</v>
      </c>
      <c r="L1086" s="84">
        <f t="shared" si="5"/>
        <v>1085</v>
      </c>
      <c r="M1086" s="85" t="s">
        <v>133</v>
      </c>
    </row>
    <row r="1087" ht="22.5" customHeight="1">
      <c r="A1087" s="131">
        <v>46201.0</v>
      </c>
      <c r="B1087" s="84" t="str">
        <f t="shared" si="1"/>
        <v>Jun 2026</v>
      </c>
      <c r="C1087" s="84">
        <f t="shared" si="2"/>
        <v>27</v>
      </c>
      <c r="D1087" s="85" t="s">
        <v>129</v>
      </c>
      <c r="E1087" s="85" t="s">
        <v>165</v>
      </c>
      <c r="F1087" s="86" t="s">
        <v>134</v>
      </c>
      <c r="G1087" s="86" t="s">
        <v>224</v>
      </c>
      <c r="H1087" s="88">
        <f t="shared" si="3"/>
        <v>0.7337</v>
      </c>
      <c r="I1087" s="89">
        <v>0.667</v>
      </c>
      <c r="J1087" s="133"/>
      <c r="K1087" s="132">
        <f t="shared" si="4"/>
        <v>0.0667</v>
      </c>
      <c r="L1087" s="84">
        <f t="shared" si="5"/>
        <v>1086</v>
      </c>
      <c r="M1087" s="85" t="s">
        <v>133</v>
      </c>
    </row>
    <row r="1088" ht="22.5" customHeight="1">
      <c r="A1088" s="131">
        <v>46201.0</v>
      </c>
      <c r="B1088" s="84" t="str">
        <f t="shared" si="1"/>
        <v>Jun 2026</v>
      </c>
      <c r="C1088" s="84">
        <f t="shared" si="2"/>
        <v>27</v>
      </c>
      <c r="D1088" s="85" t="s">
        <v>129</v>
      </c>
      <c r="E1088" s="85" t="s">
        <v>165</v>
      </c>
      <c r="F1088" s="86" t="s">
        <v>249</v>
      </c>
      <c r="G1088" s="86" t="s">
        <v>220</v>
      </c>
      <c r="H1088" s="88">
        <f t="shared" si="3"/>
        <v>0.7337</v>
      </c>
      <c r="I1088" s="89">
        <v>0.667</v>
      </c>
      <c r="J1088" s="133"/>
      <c r="K1088" s="132">
        <f t="shared" si="4"/>
        <v>0.0667</v>
      </c>
      <c r="L1088" s="84">
        <f t="shared" si="5"/>
        <v>1087</v>
      </c>
      <c r="M1088" s="85" t="s">
        <v>133</v>
      </c>
    </row>
    <row r="1089" ht="22.5" customHeight="1">
      <c r="A1089" s="131">
        <v>46201.0</v>
      </c>
      <c r="B1089" s="84" t="str">
        <f t="shared" si="1"/>
        <v>Jun 2026</v>
      </c>
      <c r="C1089" s="84">
        <f t="shared" si="2"/>
        <v>27</v>
      </c>
      <c r="D1089" s="85" t="s">
        <v>129</v>
      </c>
      <c r="E1089" s="85" t="s">
        <v>165</v>
      </c>
      <c r="F1089" s="86" t="s">
        <v>262</v>
      </c>
      <c r="G1089" s="86" t="s">
        <v>223</v>
      </c>
      <c r="H1089" s="88">
        <f t="shared" si="3"/>
        <v>0.7337</v>
      </c>
      <c r="I1089" s="89">
        <v>0.667</v>
      </c>
      <c r="J1089" s="133"/>
      <c r="K1089" s="132">
        <f t="shared" si="4"/>
        <v>0.0667</v>
      </c>
      <c r="L1089" s="84">
        <f t="shared" si="5"/>
        <v>1088</v>
      </c>
      <c r="M1089" s="85" t="s">
        <v>133</v>
      </c>
    </row>
    <row r="1090" ht="22.5" customHeight="1">
      <c r="A1090" s="131">
        <v>46201.0</v>
      </c>
      <c r="B1090" s="84" t="str">
        <f t="shared" si="1"/>
        <v>Jun 2026</v>
      </c>
      <c r="C1090" s="84">
        <f t="shared" si="2"/>
        <v>27</v>
      </c>
      <c r="D1090" s="85" t="s">
        <v>129</v>
      </c>
      <c r="E1090" s="85" t="s">
        <v>165</v>
      </c>
      <c r="F1090" s="86" t="s">
        <v>249</v>
      </c>
      <c r="G1090" s="86" t="s">
        <v>220</v>
      </c>
      <c r="H1090" s="88">
        <f t="shared" si="3"/>
        <v>0.7337</v>
      </c>
      <c r="I1090" s="89">
        <v>0.667</v>
      </c>
      <c r="J1090" s="133"/>
      <c r="K1090" s="132">
        <f t="shared" si="4"/>
        <v>0.0667</v>
      </c>
      <c r="L1090" s="84">
        <f t="shared" si="5"/>
        <v>1089</v>
      </c>
      <c r="M1090" s="85" t="s">
        <v>133</v>
      </c>
    </row>
    <row r="1091" ht="22.5" customHeight="1">
      <c r="A1091" s="131">
        <v>46201.0</v>
      </c>
      <c r="B1091" s="84" t="str">
        <f t="shared" si="1"/>
        <v>Jun 2026</v>
      </c>
      <c r="C1091" s="84">
        <f t="shared" si="2"/>
        <v>27</v>
      </c>
      <c r="D1091" s="85" t="s">
        <v>129</v>
      </c>
      <c r="E1091" s="85" t="s">
        <v>165</v>
      </c>
      <c r="F1091" s="86" t="s">
        <v>262</v>
      </c>
      <c r="G1091" s="86" t="s">
        <v>223</v>
      </c>
      <c r="H1091" s="88">
        <f t="shared" si="3"/>
        <v>0.7337</v>
      </c>
      <c r="I1091" s="89">
        <v>0.667</v>
      </c>
      <c r="J1091" s="133"/>
      <c r="K1091" s="132">
        <f t="shared" si="4"/>
        <v>0.0667</v>
      </c>
      <c r="L1091" s="84">
        <f t="shared" si="5"/>
        <v>1090</v>
      </c>
      <c r="M1091" s="85" t="s">
        <v>133</v>
      </c>
    </row>
    <row r="1092" ht="22.5" customHeight="1">
      <c r="A1092" s="131">
        <v>46201.0</v>
      </c>
      <c r="B1092" s="84" t="str">
        <f t="shared" si="1"/>
        <v>Jun 2026</v>
      </c>
      <c r="C1092" s="84">
        <f t="shared" si="2"/>
        <v>27</v>
      </c>
      <c r="D1092" s="85" t="s">
        <v>129</v>
      </c>
      <c r="E1092" s="85" t="s">
        <v>165</v>
      </c>
      <c r="F1092" s="86" t="s">
        <v>267</v>
      </c>
      <c r="G1092" s="86" t="s">
        <v>225</v>
      </c>
      <c r="H1092" s="88">
        <f t="shared" si="3"/>
        <v>0.7337</v>
      </c>
      <c r="I1092" s="89">
        <v>0.667</v>
      </c>
      <c r="J1092" s="133"/>
      <c r="K1092" s="132">
        <f t="shared" si="4"/>
        <v>0.0667</v>
      </c>
      <c r="L1092" s="84">
        <f t="shared" si="5"/>
        <v>1091</v>
      </c>
      <c r="M1092" s="85" t="s">
        <v>133</v>
      </c>
    </row>
    <row r="1093" ht="22.5" customHeight="1">
      <c r="A1093" s="131">
        <v>46201.0</v>
      </c>
      <c r="B1093" s="84" t="str">
        <f t="shared" si="1"/>
        <v>Jun 2026</v>
      </c>
      <c r="C1093" s="84">
        <f t="shared" si="2"/>
        <v>27</v>
      </c>
      <c r="D1093" s="85" t="s">
        <v>129</v>
      </c>
      <c r="E1093" s="85" t="s">
        <v>165</v>
      </c>
      <c r="F1093" s="86" t="s">
        <v>267</v>
      </c>
      <c r="G1093" s="86" t="s">
        <v>225</v>
      </c>
      <c r="H1093" s="88">
        <f t="shared" si="3"/>
        <v>0.7337</v>
      </c>
      <c r="I1093" s="89">
        <v>0.667</v>
      </c>
      <c r="J1093" s="133"/>
      <c r="K1093" s="132">
        <f t="shared" si="4"/>
        <v>0.0667</v>
      </c>
      <c r="L1093" s="84">
        <f t="shared" si="5"/>
        <v>1092</v>
      </c>
      <c r="M1093" s="85" t="s">
        <v>133</v>
      </c>
    </row>
    <row r="1094" ht="22.5" customHeight="1">
      <c r="A1094" s="131">
        <v>46201.0</v>
      </c>
      <c r="B1094" s="84" t="str">
        <f t="shared" si="1"/>
        <v>Jun 2026</v>
      </c>
      <c r="C1094" s="84">
        <f t="shared" si="2"/>
        <v>27</v>
      </c>
      <c r="D1094" s="85" t="s">
        <v>129</v>
      </c>
      <c r="E1094" s="85" t="s">
        <v>167</v>
      </c>
      <c r="F1094" s="86" t="s">
        <v>134</v>
      </c>
      <c r="G1094" s="86" t="s">
        <v>224</v>
      </c>
      <c r="H1094" s="88">
        <f t="shared" si="3"/>
        <v>0.7337</v>
      </c>
      <c r="I1094" s="89">
        <v>0.667</v>
      </c>
      <c r="J1094" s="133"/>
      <c r="K1094" s="132">
        <f t="shared" si="4"/>
        <v>0.0667</v>
      </c>
      <c r="L1094" s="84">
        <f t="shared" si="5"/>
        <v>1093</v>
      </c>
      <c r="M1094" s="85" t="s">
        <v>133</v>
      </c>
    </row>
    <row r="1095" ht="22.5" customHeight="1">
      <c r="A1095" s="131">
        <v>46201.0</v>
      </c>
      <c r="B1095" s="84" t="str">
        <f t="shared" si="1"/>
        <v>Jun 2026</v>
      </c>
      <c r="C1095" s="84">
        <f t="shared" si="2"/>
        <v>27</v>
      </c>
      <c r="D1095" s="85" t="s">
        <v>129</v>
      </c>
      <c r="E1095" s="85" t="s">
        <v>167</v>
      </c>
      <c r="F1095" s="86" t="s">
        <v>249</v>
      </c>
      <c r="G1095" s="86" t="s">
        <v>220</v>
      </c>
      <c r="H1095" s="88">
        <f t="shared" si="3"/>
        <v>0.7337</v>
      </c>
      <c r="I1095" s="89">
        <v>0.667</v>
      </c>
      <c r="J1095" s="133"/>
      <c r="K1095" s="132">
        <f t="shared" si="4"/>
        <v>0.0667</v>
      </c>
      <c r="L1095" s="84">
        <f t="shared" si="5"/>
        <v>1094</v>
      </c>
      <c r="M1095" s="85" t="s">
        <v>133</v>
      </c>
    </row>
    <row r="1096" ht="22.5" customHeight="1">
      <c r="A1096" s="131">
        <v>46201.0</v>
      </c>
      <c r="B1096" s="84" t="str">
        <f t="shared" si="1"/>
        <v>Jun 2026</v>
      </c>
      <c r="C1096" s="84">
        <f t="shared" si="2"/>
        <v>27</v>
      </c>
      <c r="D1096" s="85" t="s">
        <v>129</v>
      </c>
      <c r="E1096" s="85" t="s">
        <v>167</v>
      </c>
      <c r="F1096" s="86" t="s">
        <v>134</v>
      </c>
      <c r="G1096" s="86" t="s">
        <v>224</v>
      </c>
      <c r="H1096" s="88">
        <f t="shared" si="3"/>
        <v>0.7337</v>
      </c>
      <c r="I1096" s="89">
        <v>0.667</v>
      </c>
      <c r="J1096" s="133"/>
      <c r="K1096" s="132">
        <f t="shared" si="4"/>
        <v>0.0667</v>
      </c>
      <c r="L1096" s="84">
        <f t="shared" si="5"/>
        <v>1095</v>
      </c>
      <c r="M1096" s="85" t="s">
        <v>133</v>
      </c>
    </row>
    <row r="1097" ht="22.5" customHeight="1">
      <c r="A1097" s="131">
        <v>46201.0</v>
      </c>
      <c r="B1097" s="84" t="str">
        <f t="shared" si="1"/>
        <v>Jun 2026</v>
      </c>
      <c r="C1097" s="84">
        <f t="shared" si="2"/>
        <v>27</v>
      </c>
      <c r="D1097" s="85" t="s">
        <v>129</v>
      </c>
      <c r="E1097" s="85" t="s">
        <v>167</v>
      </c>
      <c r="F1097" s="86" t="s">
        <v>134</v>
      </c>
      <c r="G1097" s="86" t="s">
        <v>224</v>
      </c>
      <c r="H1097" s="88">
        <f t="shared" si="3"/>
        <v>0.7337</v>
      </c>
      <c r="I1097" s="89">
        <v>0.667</v>
      </c>
      <c r="J1097" s="133"/>
      <c r="K1097" s="132">
        <f t="shared" si="4"/>
        <v>0.0667</v>
      </c>
      <c r="L1097" s="84">
        <f t="shared" si="5"/>
        <v>1096</v>
      </c>
      <c r="M1097" s="85" t="s">
        <v>133</v>
      </c>
    </row>
    <row r="1098" ht="22.5" customHeight="1">
      <c r="A1098" s="131">
        <v>46201.0</v>
      </c>
      <c r="B1098" s="84" t="str">
        <f t="shared" si="1"/>
        <v>Jun 2026</v>
      </c>
      <c r="C1098" s="84">
        <f t="shared" si="2"/>
        <v>27</v>
      </c>
      <c r="D1098" s="85" t="s">
        <v>129</v>
      </c>
      <c r="E1098" s="85" t="s">
        <v>167</v>
      </c>
      <c r="F1098" s="86" t="s">
        <v>249</v>
      </c>
      <c r="G1098" s="86" t="s">
        <v>220</v>
      </c>
      <c r="H1098" s="88">
        <f t="shared" si="3"/>
        <v>0.7337</v>
      </c>
      <c r="I1098" s="89">
        <v>0.667</v>
      </c>
      <c r="J1098" s="133"/>
      <c r="K1098" s="132">
        <f t="shared" si="4"/>
        <v>0.0667</v>
      </c>
      <c r="L1098" s="84">
        <f t="shared" si="5"/>
        <v>1097</v>
      </c>
      <c r="M1098" s="85" t="s">
        <v>133</v>
      </c>
    </row>
    <row r="1099" ht="22.5" customHeight="1">
      <c r="A1099" s="131">
        <v>46201.0</v>
      </c>
      <c r="B1099" s="84" t="str">
        <f t="shared" si="1"/>
        <v>Jun 2026</v>
      </c>
      <c r="C1099" s="84">
        <f t="shared" si="2"/>
        <v>27</v>
      </c>
      <c r="D1099" s="85" t="s">
        <v>129</v>
      </c>
      <c r="E1099" s="85" t="s">
        <v>167</v>
      </c>
      <c r="F1099" s="86" t="s">
        <v>249</v>
      </c>
      <c r="G1099" s="86" t="s">
        <v>220</v>
      </c>
      <c r="H1099" s="88">
        <f t="shared" si="3"/>
        <v>0.7337</v>
      </c>
      <c r="I1099" s="89">
        <v>0.667</v>
      </c>
      <c r="J1099" s="133"/>
      <c r="K1099" s="132">
        <f t="shared" si="4"/>
        <v>0.0667</v>
      </c>
      <c r="L1099" s="84">
        <f t="shared" si="5"/>
        <v>1098</v>
      </c>
      <c r="M1099" s="85" t="s">
        <v>133</v>
      </c>
    </row>
    <row r="1100" ht="22.5" customHeight="1">
      <c r="A1100" s="131">
        <v>46201.0</v>
      </c>
      <c r="B1100" s="84" t="str">
        <f t="shared" si="1"/>
        <v>Jun 2026</v>
      </c>
      <c r="C1100" s="84">
        <f t="shared" si="2"/>
        <v>27</v>
      </c>
      <c r="D1100" s="85" t="s">
        <v>129</v>
      </c>
      <c r="E1100" s="85" t="s">
        <v>167</v>
      </c>
      <c r="F1100" s="86" t="s">
        <v>262</v>
      </c>
      <c r="G1100" s="86" t="s">
        <v>223</v>
      </c>
      <c r="H1100" s="88">
        <f t="shared" si="3"/>
        <v>0.7337</v>
      </c>
      <c r="I1100" s="89">
        <v>0.667</v>
      </c>
      <c r="J1100" s="133"/>
      <c r="K1100" s="132">
        <f t="shared" si="4"/>
        <v>0.0667</v>
      </c>
      <c r="L1100" s="84">
        <f t="shared" si="5"/>
        <v>1099</v>
      </c>
      <c r="M1100" s="85" t="s">
        <v>133</v>
      </c>
    </row>
    <row r="1101" ht="22.5" customHeight="1">
      <c r="A1101" s="131">
        <v>46201.0</v>
      </c>
      <c r="B1101" s="84" t="str">
        <f t="shared" si="1"/>
        <v>Jun 2026</v>
      </c>
      <c r="C1101" s="84">
        <f t="shared" si="2"/>
        <v>27</v>
      </c>
      <c r="D1101" s="85" t="s">
        <v>129</v>
      </c>
      <c r="E1101" s="85" t="s">
        <v>167</v>
      </c>
      <c r="F1101" s="86" t="s">
        <v>262</v>
      </c>
      <c r="G1101" s="86" t="s">
        <v>223</v>
      </c>
      <c r="H1101" s="88">
        <f t="shared" si="3"/>
        <v>0.7337</v>
      </c>
      <c r="I1101" s="89">
        <v>0.667</v>
      </c>
      <c r="J1101" s="133"/>
      <c r="K1101" s="132">
        <f t="shared" si="4"/>
        <v>0.0667</v>
      </c>
      <c r="L1101" s="84">
        <f t="shared" si="5"/>
        <v>1100</v>
      </c>
      <c r="M1101" s="85" t="s">
        <v>133</v>
      </c>
    </row>
    <row r="1102" ht="22.5" customHeight="1">
      <c r="A1102" s="131">
        <v>46201.0</v>
      </c>
      <c r="B1102" s="84" t="str">
        <f t="shared" si="1"/>
        <v>Jun 2026</v>
      </c>
      <c r="C1102" s="84">
        <f t="shared" si="2"/>
        <v>27</v>
      </c>
      <c r="D1102" s="85" t="s">
        <v>129</v>
      </c>
      <c r="E1102" s="85" t="s">
        <v>167</v>
      </c>
      <c r="F1102" s="86" t="s">
        <v>262</v>
      </c>
      <c r="G1102" s="86" t="s">
        <v>223</v>
      </c>
      <c r="H1102" s="88">
        <f t="shared" si="3"/>
        <v>0.7337</v>
      </c>
      <c r="I1102" s="89">
        <v>0.667</v>
      </c>
      <c r="J1102" s="133"/>
      <c r="K1102" s="132">
        <f t="shared" si="4"/>
        <v>0.0667</v>
      </c>
      <c r="L1102" s="84">
        <f t="shared" si="5"/>
        <v>1101</v>
      </c>
      <c r="M1102" s="85" t="s">
        <v>133</v>
      </c>
    </row>
    <row r="1103" ht="22.5" customHeight="1">
      <c r="A1103" s="131">
        <v>46201.0</v>
      </c>
      <c r="B1103" s="84" t="str">
        <f t="shared" si="1"/>
        <v>Jun 2026</v>
      </c>
      <c r="C1103" s="84">
        <f t="shared" si="2"/>
        <v>27</v>
      </c>
      <c r="D1103" s="85" t="s">
        <v>129</v>
      </c>
      <c r="E1103" s="85" t="s">
        <v>167</v>
      </c>
      <c r="F1103" s="86" t="s">
        <v>267</v>
      </c>
      <c r="G1103" s="86" t="s">
        <v>225</v>
      </c>
      <c r="H1103" s="88">
        <f t="shared" si="3"/>
        <v>0.7337</v>
      </c>
      <c r="I1103" s="89">
        <v>0.667</v>
      </c>
      <c r="J1103" s="133"/>
      <c r="K1103" s="132">
        <f t="shared" si="4"/>
        <v>0.0667</v>
      </c>
      <c r="L1103" s="84">
        <f t="shared" si="5"/>
        <v>1102</v>
      </c>
      <c r="M1103" s="85" t="s">
        <v>133</v>
      </c>
    </row>
    <row r="1104" ht="22.5" customHeight="1">
      <c r="A1104" s="131">
        <v>46201.0</v>
      </c>
      <c r="B1104" s="84" t="str">
        <f t="shared" si="1"/>
        <v>Jun 2026</v>
      </c>
      <c r="C1104" s="84">
        <f t="shared" si="2"/>
        <v>27</v>
      </c>
      <c r="D1104" s="85" t="s">
        <v>129</v>
      </c>
      <c r="E1104" s="85" t="s">
        <v>130</v>
      </c>
      <c r="F1104" s="86" t="s">
        <v>134</v>
      </c>
      <c r="G1104" s="86" t="s">
        <v>224</v>
      </c>
      <c r="H1104" s="88">
        <f t="shared" si="3"/>
        <v>0.7337</v>
      </c>
      <c r="I1104" s="89">
        <v>0.667</v>
      </c>
      <c r="J1104" s="133"/>
      <c r="K1104" s="132">
        <f t="shared" si="4"/>
        <v>0.0667</v>
      </c>
      <c r="L1104" s="84">
        <f t="shared" si="5"/>
        <v>1103</v>
      </c>
      <c r="M1104" s="85" t="s">
        <v>133</v>
      </c>
    </row>
    <row r="1105" ht="22.5" customHeight="1">
      <c r="A1105" s="131">
        <v>46201.0</v>
      </c>
      <c r="B1105" s="84" t="str">
        <f t="shared" si="1"/>
        <v>Jun 2026</v>
      </c>
      <c r="C1105" s="84">
        <f t="shared" si="2"/>
        <v>27</v>
      </c>
      <c r="D1105" s="85" t="s">
        <v>129</v>
      </c>
      <c r="E1105" s="85" t="s">
        <v>130</v>
      </c>
      <c r="F1105" s="86" t="s">
        <v>134</v>
      </c>
      <c r="G1105" s="86" t="s">
        <v>224</v>
      </c>
      <c r="H1105" s="88">
        <f t="shared" si="3"/>
        <v>0.7337</v>
      </c>
      <c r="I1105" s="89">
        <v>0.667</v>
      </c>
      <c r="J1105" s="133"/>
      <c r="K1105" s="132">
        <f t="shared" si="4"/>
        <v>0.0667</v>
      </c>
      <c r="L1105" s="84">
        <f t="shared" si="5"/>
        <v>1104</v>
      </c>
      <c r="M1105" s="85" t="s">
        <v>133</v>
      </c>
    </row>
    <row r="1106" ht="22.5" customHeight="1">
      <c r="A1106" s="131">
        <v>46201.0</v>
      </c>
      <c r="B1106" s="84" t="str">
        <f t="shared" si="1"/>
        <v>Jun 2026</v>
      </c>
      <c r="C1106" s="84">
        <f t="shared" si="2"/>
        <v>27</v>
      </c>
      <c r="D1106" s="85" t="s">
        <v>129</v>
      </c>
      <c r="E1106" s="85" t="s">
        <v>130</v>
      </c>
      <c r="F1106" s="86" t="s">
        <v>134</v>
      </c>
      <c r="G1106" s="86" t="s">
        <v>224</v>
      </c>
      <c r="H1106" s="88">
        <f t="shared" si="3"/>
        <v>0.7337</v>
      </c>
      <c r="I1106" s="89">
        <v>0.667</v>
      </c>
      <c r="J1106" s="133"/>
      <c r="K1106" s="132">
        <f t="shared" si="4"/>
        <v>0.0667</v>
      </c>
      <c r="L1106" s="84">
        <f t="shared" si="5"/>
        <v>1105</v>
      </c>
      <c r="M1106" s="85" t="s">
        <v>133</v>
      </c>
    </row>
    <row r="1107" ht="22.5" customHeight="1">
      <c r="A1107" s="131">
        <v>46201.0</v>
      </c>
      <c r="B1107" s="84" t="str">
        <f t="shared" si="1"/>
        <v>Jun 2026</v>
      </c>
      <c r="C1107" s="84">
        <f t="shared" si="2"/>
        <v>27</v>
      </c>
      <c r="D1107" s="85" t="s">
        <v>129</v>
      </c>
      <c r="E1107" s="85" t="s">
        <v>130</v>
      </c>
      <c r="F1107" s="86" t="s">
        <v>249</v>
      </c>
      <c r="G1107" s="86" t="s">
        <v>220</v>
      </c>
      <c r="H1107" s="88">
        <f t="shared" si="3"/>
        <v>0.7337</v>
      </c>
      <c r="I1107" s="89">
        <v>0.667</v>
      </c>
      <c r="J1107" s="133"/>
      <c r="K1107" s="132">
        <f t="shared" si="4"/>
        <v>0.0667</v>
      </c>
      <c r="L1107" s="84">
        <f t="shared" si="5"/>
        <v>1106</v>
      </c>
      <c r="M1107" s="85" t="s">
        <v>133</v>
      </c>
    </row>
    <row r="1108" ht="22.5" customHeight="1">
      <c r="A1108" s="131">
        <v>46201.0</v>
      </c>
      <c r="B1108" s="84" t="str">
        <f t="shared" si="1"/>
        <v>Jun 2026</v>
      </c>
      <c r="C1108" s="84">
        <f t="shared" si="2"/>
        <v>27</v>
      </c>
      <c r="D1108" s="85" t="s">
        <v>129</v>
      </c>
      <c r="E1108" s="85" t="s">
        <v>130</v>
      </c>
      <c r="F1108" s="86" t="s">
        <v>249</v>
      </c>
      <c r="G1108" s="86" t="s">
        <v>220</v>
      </c>
      <c r="H1108" s="88">
        <f t="shared" si="3"/>
        <v>0.7337</v>
      </c>
      <c r="I1108" s="89">
        <v>0.667</v>
      </c>
      <c r="J1108" s="133"/>
      <c r="K1108" s="132">
        <f t="shared" si="4"/>
        <v>0.0667</v>
      </c>
      <c r="L1108" s="84">
        <f t="shared" si="5"/>
        <v>1107</v>
      </c>
      <c r="M1108" s="85" t="s">
        <v>133</v>
      </c>
    </row>
    <row r="1109" ht="22.5" customHeight="1">
      <c r="A1109" s="131">
        <v>46201.0</v>
      </c>
      <c r="B1109" s="84" t="str">
        <f t="shared" si="1"/>
        <v>Jun 2026</v>
      </c>
      <c r="C1109" s="84">
        <f t="shared" si="2"/>
        <v>27</v>
      </c>
      <c r="D1109" s="85" t="s">
        <v>129</v>
      </c>
      <c r="E1109" s="85" t="s">
        <v>130</v>
      </c>
      <c r="F1109" s="86" t="s">
        <v>249</v>
      </c>
      <c r="G1109" s="86" t="s">
        <v>220</v>
      </c>
      <c r="H1109" s="88">
        <f t="shared" si="3"/>
        <v>0.7337</v>
      </c>
      <c r="I1109" s="89">
        <v>0.667</v>
      </c>
      <c r="J1109" s="133"/>
      <c r="K1109" s="132">
        <f t="shared" si="4"/>
        <v>0.0667</v>
      </c>
      <c r="L1109" s="84">
        <f t="shared" si="5"/>
        <v>1108</v>
      </c>
      <c r="M1109" s="85" t="s">
        <v>133</v>
      </c>
    </row>
    <row r="1110" ht="22.5" customHeight="1">
      <c r="A1110" s="131">
        <v>46201.0</v>
      </c>
      <c r="B1110" s="84" t="str">
        <f t="shared" si="1"/>
        <v>Jun 2026</v>
      </c>
      <c r="C1110" s="84">
        <f t="shared" si="2"/>
        <v>27</v>
      </c>
      <c r="D1110" s="85" t="s">
        <v>129</v>
      </c>
      <c r="E1110" s="85" t="s">
        <v>130</v>
      </c>
      <c r="F1110" s="86" t="s">
        <v>262</v>
      </c>
      <c r="G1110" s="86" t="s">
        <v>223</v>
      </c>
      <c r="H1110" s="88">
        <f t="shared" si="3"/>
        <v>0.7337</v>
      </c>
      <c r="I1110" s="89">
        <v>0.667</v>
      </c>
      <c r="J1110" s="133"/>
      <c r="K1110" s="132">
        <f t="shared" si="4"/>
        <v>0.0667</v>
      </c>
      <c r="L1110" s="84">
        <f t="shared" si="5"/>
        <v>1109</v>
      </c>
      <c r="M1110" s="85" t="s">
        <v>133</v>
      </c>
    </row>
    <row r="1111" ht="22.5" customHeight="1">
      <c r="A1111" s="131">
        <v>46201.0</v>
      </c>
      <c r="B1111" s="84" t="str">
        <f t="shared" si="1"/>
        <v>Jun 2026</v>
      </c>
      <c r="C1111" s="84">
        <f t="shared" si="2"/>
        <v>27</v>
      </c>
      <c r="D1111" s="85" t="s">
        <v>129</v>
      </c>
      <c r="E1111" s="85" t="s">
        <v>130</v>
      </c>
      <c r="F1111" s="86" t="s">
        <v>262</v>
      </c>
      <c r="G1111" s="86" t="s">
        <v>223</v>
      </c>
      <c r="H1111" s="88">
        <f t="shared" si="3"/>
        <v>0.7337</v>
      </c>
      <c r="I1111" s="89">
        <v>0.667</v>
      </c>
      <c r="J1111" s="133"/>
      <c r="K1111" s="132">
        <f t="shared" si="4"/>
        <v>0.0667</v>
      </c>
      <c r="L1111" s="84">
        <f t="shared" si="5"/>
        <v>1110</v>
      </c>
      <c r="M1111" s="85" t="s">
        <v>133</v>
      </c>
    </row>
    <row r="1112" ht="22.5" customHeight="1">
      <c r="A1112" s="131">
        <v>46201.0</v>
      </c>
      <c r="B1112" s="84" t="str">
        <f t="shared" si="1"/>
        <v>Jun 2026</v>
      </c>
      <c r="C1112" s="84">
        <f t="shared" si="2"/>
        <v>27</v>
      </c>
      <c r="D1112" s="85" t="s">
        <v>129</v>
      </c>
      <c r="E1112" s="85" t="s">
        <v>130</v>
      </c>
      <c r="F1112" s="86" t="s">
        <v>262</v>
      </c>
      <c r="G1112" s="86" t="s">
        <v>223</v>
      </c>
      <c r="H1112" s="88">
        <f t="shared" si="3"/>
        <v>0.7337</v>
      </c>
      <c r="I1112" s="89">
        <v>0.667</v>
      </c>
      <c r="J1112" s="133"/>
      <c r="K1112" s="132">
        <f t="shared" si="4"/>
        <v>0.0667</v>
      </c>
      <c r="L1112" s="84">
        <f t="shared" si="5"/>
        <v>1111</v>
      </c>
      <c r="M1112" s="85" t="s">
        <v>133</v>
      </c>
    </row>
    <row r="1113" ht="22.5" customHeight="1">
      <c r="A1113" s="131">
        <v>46201.0</v>
      </c>
      <c r="B1113" s="84" t="str">
        <f t="shared" si="1"/>
        <v>Jun 2026</v>
      </c>
      <c r="C1113" s="84">
        <f t="shared" si="2"/>
        <v>27</v>
      </c>
      <c r="D1113" s="85" t="s">
        <v>129</v>
      </c>
      <c r="E1113" s="85" t="s">
        <v>130</v>
      </c>
      <c r="F1113" s="86" t="s">
        <v>267</v>
      </c>
      <c r="G1113" s="86" t="s">
        <v>225</v>
      </c>
      <c r="H1113" s="88">
        <f t="shared" si="3"/>
        <v>0.7337</v>
      </c>
      <c r="I1113" s="89">
        <v>0.667</v>
      </c>
      <c r="J1113" s="133"/>
      <c r="K1113" s="132">
        <f t="shared" si="4"/>
        <v>0.0667</v>
      </c>
      <c r="L1113" s="84">
        <f t="shared" si="5"/>
        <v>1112</v>
      </c>
      <c r="M1113" s="85" t="s">
        <v>133</v>
      </c>
    </row>
    <row r="1114" ht="22.5" customHeight="1">
      <c r="A1114" s="131">
        <v>46202.0</v>
      </c>
      <c r="B1114" s="84" t="str">
        <f t="shared" si="1"/>
        <v>Jun 2026</v>
      </c>
      <c r="C1114" s="84">
        <f t="shared" si="2"/>
        <v>27</v>
      </c>
      <c r="D1114" s="85" t="s">
        <v>162</v>
      </c>
      <c r="E1114" s="85" t="s">
        <v>164</v>
      </c>
      <c r="F1114" s="86" t="s">
        <v>244</v>
      </c>
      <c r="G1114" s="87" t="s">
        <v>215</v>
      </c>
      <c r="H1114" s="88">
        <f t="shared" si="3"/>
        <v>1.1</v>
      </c>
      <c r="I1114" s="134">
        <v>1.0</v>
      </c>
      <c r="J1114" s="133"/>
      <c r="K1114" s="132">
        <f t="shared" si="4"/>
        <v>0.1</v>
      </c>
      <c r="L1114" s="84">
        <f t="shared" si="5"/>
        <v>1113</v>
      </c>
      <c r="M1114" s="85" t="s">
        <v>175</v>
      </c>
    </row>
    <row r="1115" ht="22.5" customHeight="1">
      <c r="A1115" s="131">
        <v>46202.0</v>
      </c>
      <c r="B1115" s="84" t="str">
        <f t="shared" si="1"/>
        <v>Jun 2026</v>
      </c>
      <c r="C1115" s="84">
        <f t="shared" si="2"/>
        <v>27</v>
      </c>
      <c r="D1115" s="85" t="s">
        <v>129</v>
      </c>
      <c r="E1115" s="85" t="s">
        <v>164</v>
      </c>
      <c r="F1115" s="86" t="s">
        <v>268</v>
      </c>
      <c r="G1115" s="86" t="s">
        <v>222</v>
      </c>
      <c r="H1115" s="88">
        <f t="shared" si="3"/>
        <v>0.7337</v>
      </c>
      <c r="I1115" s="89">
        <v>0.667</v>
      </c>
      <c r="J1115" s="133"/>
      <c r="K1115" s="132">
        <f t="shared" si="4"/>
        <v>0.0667</v>
      </c>
      <c r="L1115" s="84">
        <f t="shared" si="5"/>
        <v>1114</v>
      </c>
      <c r="M1115" s="85" t="s">
        <v>133</v>
      </c>
    </row>
    <row r="1116" ht="22.5" customHeight="1">
      <c r="A1116" s="131">
        <v>46202.0</v>
      </c>
      <c r="B1116" s="84" t="str">
        <f t="shared" si="1"/>
        <v>Jun 2026</v>
      </c>
      <c r="C1116" s="84">
        <f t="shared" si="2"/>
        <v>27</v>
      </c>
      <c r="D1116" s="85" t="s">
        <v>129</v>
      </c>
      <c r="E1116" s="85" t="s">
        <v>164</v>
      </c>
      <c r="F1116" s="86" t="s">
        <v>262</v>
      </c>
      <c r="G1116" s="86" t="s">
        <v>223</v>
      </c>
      <c r="H1116" s="88">
        <f t="shared" si="3"/>
        <v>0.7337</v>
      </c>
      <c r="I1116" s="89">
        <v>0.667</v>
      </c>
      <c r="J1116" s="133"/>
      <c r="K1116" s="132">
        <f t="shared" si="4"/>
        <v>0.0667</v>
      </c>
      <c r="L1116" s="84">
        <f t="shared" si="5"/>
        <v>1115</v>
      </c>
      <c r="M1116" s="85" t="s">
        <v>133</v>
      </c>
    </row>
    <row r="1117" ht="22.5" customHeight="1">
      <c r="A1117" s="131">
        <v>46202.0</v>
      </c>
      <c r="B1117" s="84" t="str">
        <f t="shared" si="1"/>
        <v>Jun 2026</v>
      </c>
      <c r="C1117" s="84">
        <f t="shared" si="2"/>
        <v>27</v>
      </c>
      <c r="D1117" s="85" t="s">
        <v>160</v>
      </c>
      <c r="E1117" s="85" t="s">
        <v>164</v>
      </c>
      <c r="F1117" s="86" t="s">
        <v>248</v>
      </c>
      <c r="G1117" s="87" t="s">
        <v>227</v>
      </c>
      <c r="H1117" s="88">
        <f t="shared" si="3"/>
        <v>1.1</v>
      </c>
      <c r="I1117" s="134">
        <v>1.0</v>
      </c>
      <c r="J1117" s="133"/>
      <c r="K1117" s="132">
        <f t="shared" si="4"/>
        <v>0.1</v>
      </c>
      <c r="L1117" s="84">
        <f t="shared" si="5"/>
        <v>1116</v>
      </c>
      <c r="M1117" s="85" t="s">
        <v>175</v>
      </c>
    </row>
    <row r="1118" ht="22.5" customHeight="1">
      <c r="A1118" s="131">
        <v>46202.0</v>
      </c>
      <c r="B1118" s="84" t="str">
        <f t="shared" si="1"/>
        <v>Jun 2026</v>
      </c>
      <c r="C1118" s="84">
        <f t="shared" si="2"/>
        <v>27</v>
      </c>
      <c r="D1118" s="85" t="s">
        <v>129</v>
      </c>
      <c r="E1118" s="85" t="s">
        <v>164</v>
      </c>
      <c r="F1118" s="86" t="s">
        <v>134</v>
      </c>
      <c r="G1118" s="86" t="s">
        <v>224</v>
      </c>
      <c r="H1118" s="88">
        <f t="shared" si="3"/>
        <v>0.7337</v>
      </c>
      <c r="I1118" s="89">
        <v>0.667</v>
      </c>
      <c r="J1118" s="133"/>
      <c r="K1118" s="132">
        <f t="shared" si="4"/>
        <v>0.0667</v>
      </c>
      <c r="L1118" s="84">
        <f t="shared" si="5"/>
        <v>1117</v>
      </c>
      <c r="M1118" s="85" t="s">
        <v>133</v>
      </c>
    </row>
    <row r="1119" ht="22.5" customHeight="1">
      <c r="A1119" s="131">
        <v>46202.0</v>
      </c>
      <c r="B1119" s="84" t="str">
        <f t="shared" si="1"/>
        <v>Jun 2026</v>
      </c>
      <c r="C1119" s="84">
        <f t="shared" si="2"/>
        <v>27</v>
      </c>
      <c r="D1119" s="85" t="s">
        <v>129</v>
      </c>
      <c r="E1119" s="85" t="s">
        <v>164</v>
      </c>
      <c r="F1119" s="86" t="s">
        <v>249</v>
      </c>
      <c r="G1119" s="86" t="s">
        <v>220</v>
      </c>
      <c r="H1119" s="88">
        <f t="shared" si="3"/>
        <v>0.7337</v>
      </c>
      <c r="I1119" s="89">
        <v>0.667</v>
      </c>
      <c r="J1119" s="133"/>
      <c r="K1119" s="132">
        <f t="shared" si="4"/>
        <v>0.0667</v>
      </c>
      <c r="L1119" s="84">
        <f t="shared" si="5"/>
        <v>1118</v>
      </c>
      <c r="M1119" s="85" t="s">
        <v>133</v>
      </c>
    </row>
    <row r="1120" ht="22.5" customHeight="1">
      <c r="A1120" s="131">
        <v>46202.0</v>
      </c>
      <c r="B1120" s="84" t="str">
        <f t="shared" si="1"/>
        <v>Jun 2026</v>
      </c>
      <c r="C1120" s="84">
        <f t="shared" si="2"/>
        <v>27</v>
      </c>
      <c r="D1120" s="85" t="s">
        <v>163</v>
      </c>
      <c r="E1120" s="85" t="s">
        <v>164</v>
      </c>
      <c r="F1120" s="86" t="s">
        <v>269</v>
      </c>
      <c r="G1120" s="86" t="s">
        <v>77</v>
      </c>
      <c r="H1120" s="88">
        <f t="shared" si="3"/>
        <v>1.1</v>
      </c>
      <c r="I1120" s="134">
        <v>1.0</v>
      </c>
      <c r="J1120" s="133"/>
      <c r="K1120" s="132">
        <f t="shared" si="4"/>
        <v>0.1</v>
      </c>
      <c r="L1120" s="84">
        <f t="shared" si="5"/>
        <v>1119</v>
      </c>
      <c r="M1120" s="85" t="s">
        <v>175</v>
      </c>
    </row>
    <row r="1121" ht="22.5" customHeight="1">
      <c r="A1121" s="131">
        <v>46202.0</v>
      </c>
      <c r="B1121" s="84" t="str">
        <f t="shared" si="1"/>
        <v>Jun 2026</v>
      </c>
      <c r="C1121" s="84">
        <f t="shared" si="2"/>
        <v>27</v>
      </c>
      <c r="D1121" s="85" t="s">
        <v>161</v>
      </c>
      <c r="E1121" s="85" t="s">
        <v>164</v>
      </c>
      <c r="F1121" s="86" t="s">
        <v>232</v>
      </c>
      <c r="G1121" s="87" t="s">
        <v>75</v>
      </c>
      <c r="H1121" s="88">
        <f t="shared" si="3"/>
        <v>0.11</v>
      </c>
      <c r="I1121" s="134">
        <v>0.1</v>
      </c>
      <c r="J1121" s="133"/>
      <c r="K1121" s="132">
        <f t="shared" si="4"/>
        <v>0.01</v>
      </c>
      <c r="L1121" s="84">
        <f t="shared" si="5"/>
        <v>1120</v>
      </c>
      <c r="M1121" s="85" t="s">
        <v>133</v>
      </c>
    </row>
    <row r="1122" ht="22.5" customHeight="1">
      <c r="A1122" s="131">
        <v>46202.0</v>
      </c>
      <c r="B1122" s="84" t="str">
        <f t="shared" si="1"/>
        <v>Jun 2026</v>
      </c>
      <c r="C1122" s="84">
        <f t="shared" si="2"/>
        <v>27</v>
      </c>
      <c r="D1122" s="85" t="s">
        <v>160</v>
      </c>
      <c r="E1122" s="85" t="s">
        <v>164</v>
      </c>
      <c r="F1122" s="86" t="s">
        <v>248</v>
      </c>
      <c r="G1122" s="87" t="s">
        <v>227</v>
      </c>
      <c r="H1122" s="88">
        <f t="shared" si="3"/>
        <v>1.1</v>
      </c>
      <c r="I1122" s="134">
        <v>1.0</v>
      </c>
      <c r="J1122" s="133"/>
      <c r="K1122" s="132">
        <f t="shared" si="4"/>
        <v>0.1</v>
      </c>
      <c r="L1122" s="84">
        <f t="shared" si="5"/>
        <v>1121</v>
      </c>
      <c r="M1122" s="85" t="s">
        <v>175</v>
      </c>
    </row>
    <row r="1123" ht="22.5" customHeight="1">
      <c r="A1123" s="131">
        <v>46202.0</v>
      </c>
      <c r="B1123" s="84" t="str">
        <f t="shared" si="1"/>
        <v>Jun 2026</v>
      </c>
      <c r="C1123" s="84">
        <f t="shared" si="2"/>
        <v>27</v>
      </c>
      <c r="D1123" s="85" t="s">
        <v>161</v>
      </c>
      <c r="E1123" s="85" t="s">
        <v>164</v>
      </c>
      <c r="F1123" s="86" t="s">
        <v>232</v>
      </c>
      <c r="G1123" s="87" t="s">
        <v>75</v>
      </c>
      <c r="H1123" s="88">
        <f t="shared" si="3"/>
        <v>0.11</v>
      </c>
      <c r="I1123" s="134">
        <v>0.1</v>
      </c>
      <c r="J1123" s="133"/>
      <c r="K1123" s="132">
        <f t="shared" si="4"/>
        <v>0.01</v>
      </c>
      <c r="L1123" s="84">
        <f t="shared" si="5"/>
        <v>1122</v>
      </c>
      <c r="M1123" s="85" t="s">
        <v>133</v>
      </c>
    </row>
    <row r="1124" ht="22.5" customHeight="1">
      <c r="A1124" s="131">
        <v>46202.0</v>
      </c>
      <c r="B1124" s="84" t="str">
        <f t="shared" si="1"/>
        <v>Jun 2026</v>
      </c>
      <c r="C1124" s="84">
        <f t="shared" si="2"/>
        <v>27</v>
      </c>
      <c r="D1124" s="85" t="s">
        <v>129</v>
      </c>
      <c r="E1124" s="85" t="s">
        <v>165</v>
      </c>
      <c r="F1124" s="86" t="s">
        <v>134</v>
      </c>
      <c r="G1124" s="86" t="s">
        <v>224</v>
      </c>
      <c r="H1124" s="88">
        <f t="shared" si="3"/>
        <v>0.7337</v>
      </c>
      <c r="I1124" s="89">
        <v>0.667</v>
      </c>
      <c r="J1124" s="133"/>
      <c r="K1124" s="132">
        <f t="shared" si="4"/>
        <v>0.0667</v>
      </c>
      <c r="L1124" s="84">
        <f t="shared" si="5"/>
        <v>1123</v>
      </c>
      <c r="M1124" s="85" t="s">
        <v>133</v>
      </c>
    </row>
    <row r="1125" ht="22.5" customHeight="1">
      <c r="A1125" s="131">
        <v>46202.0</v>
      </c>
      <c r="B1125" s="84" t="str">
        <f t="shared" si="1"/>
        <v>Jun 2026</v>
      </c>
      <c r="C1125" s="84">
        <f t="shared" si="2"/>
        <v>27</v>
      </c>
      <c r="D1125" s="85" t="s">
        <v>129</v>
      </c>
      <c r="E1125" s="85" t="s">
        <v>165</v>
      </c>
      <c r="F1125" s="86" t="s">
        <v>249</v>
      </c>
      <c r="G1125" s="86" t="s">
        <v>220</v>
      </c>
      <c r="H1125" s="88">
        <f t="shared" si="3"/>
        <v>0.7337</v>
      </c>
      <c r="I1125" s="89">
        <v>0.667</v>
      </c>
      <c r="J1125" s="133"/>
      <c r="K1125" s="132">
        <f t="shared" si="4"/>
        <v>0.0667</v>
      </c>
      <c r="L1125" s="84">
        <f t="shared" si="5"/>
        <v>1124</v>
      </c>
      <c r="M1125" s="85" t="s">
        <v>133</v>
      </c>
    </row>
    <row r="1126" ht="22.5" customHeight="1">
      <c r="A1126" s="131">
        <v>46202.0</v>
      </c>
      <c r="B1126" s="84" t="str">
        <f t="shared" si="1"/>
        <v>Jun 2026</v>
      </c>
      <c r="C1126" s="84">
        <f t="shared" si="2"/>
        <v>27</v>
      </c>
      <c r="D1126" s="85" t="s">
        <v>161</v>
      </c>
      <c r="E1126" s="85" t="s">
        <v>165</v>
      </c>
      <c r="F1126" s="86" t="s">
        <v>232</v>
      </c>
      <c r="G1126" s="87" t="s">
        <v>75</v>
      </c>
      <c r="H1126" s="88">
        <f t="shared" si="3"/>
        <v>0.11</v>
      </c>
      <c r="I1126" s="134">
        <v>0.1</v>
      </c>
      <c r="J1126" s="133"/>
      <c r="K1126" s="132">
        <f t="shared" si="4"/>
        <v>0.01</v>
      </c>
      <c r="L1126" s="84">
        <f t="shared" si="5"/>
        <v>1125</v>
      </c>
      <c r="M1126" s="85" t="s">
        <v>133</v>
      </c>
    </row>
    <row r="1127" ht="22.5" customHeight="1">
      <c r="A1127" s="131">
        <v>46202.0</v>
      </c>
      <c r="B1127" s="84" t="str">
        <f t="shared" si="1"/>
        <v>Jun 2026</v>
      </c>
      <c r="C1127" s="84">
        <f t="shared" si="2"/>
        <v>27</v>
      </c>
      <c r="D1127" s="85" t="s">
        <v>160</v>
      </c>
      <c r="E1127" s="85" t="s">
        <v>165</v>
      </c>
      <c r="F1127" s="86" t="s">
        <v>251</v>
      </c>
      <c r="G1127" s="87" t="s">
        <v>218</v>
      </c>
      <c r="H1127" s="88">
        <f t="shared" si="3"/>
        <v>1.1</v>
      </c>
      <c r="I1127" s="134">
        <v>1.0</v>
      </c>
      <c r="J1127" s="133"/>
      <c r="K1127" s="132">
        <f t="shared" si="4"/>
        <v>0.1</v>
      </c>
      <c r="L1127" s="84">
        <f t="shared" si="5"/>
        <v>1126</v>
      </c>
      <c r="M1127" s="85" t="s">
        <v>175</v>
      </c>
    </row>
    <row r="1128" ht="22.5" customHeight="1">
      <c r="A1128" s="131">
        <v>46202.0</v>
      </c>
      <c r="B1128" s="84" t="str">
        <f t="shared" si="1"/>
        <v>Jun 2026</v>
      </c>
      <c r="C1128" s="84">
        <f t="shared" si="2"/>
        <v>27</v>
      </c>
      <c r="D1128" s="85" t="s">
        <v>129</v>
      </c>
      <c r="E1128" s="85" t="s">
        <v>165</v>
      </c>
      <c r="F1128" s="86" t="s">
        <v>268</v>
      </c>
      <c r="G1128" s="86" t="s">
        <v>222</v>
      </c>
      <c r="H1128" s="88">
        <f t="shared" si="3"/>
        <v>0.7337</v>
      </c>
      <c r="I1128" s="134">
        <v>0.667</v>
      </c>
      <c r="J1128" s="133"/>
      <c r="K1128" s="132">
        <f t="shared" si="4"/>
        <v>0.0667</v>
      </c>
      <c r="L1128" s="84">
        <f t="shared" si="5"/>
        <v>1127</v>
      </c>
      <c r="M1128" s="85" t="s">
        <v>133</v>
      </c>
    </row>
    <row r="1129" ht="22.5" customHeight="1">
      <c r="A1129" s="131">
        <v>46202.0</v>
      </c>
      <c r="B1129" s="84" t="str">
        <f t="shared" si="1"/>
        <v>Jun 2026</v>
      </c>
      <c r="C1129" s="84">
        <f t="shared" si="2"/>
        <v>27</v>
      </c>
      <c r="D1129" s="85" t="s">
        <v>163</v>
      </c>
      <c r="E1129" s="85" t="s">
        <v>165</v>
      </c>
      <c r="F1129" s="86" t="s">
        <v>269</v>
      </c>
      <c r="G1129" s="86" t="s">
        <v>77</v>
      </c>
      <c r="H1129" s="88">
        <f t="shared" si="3"/>
        <v>1.1</v>
      </c>
      <c r="I1129" s="134">
        <v>1.0</v>
      </c>
      <c r="J1129" s="133"/>
      <c r="K1129" s="132">
        <f t="shared" si="4"/>
        <v>0.1</v>
      </c>
      <c r="L1129" s="84">
        <f t="shared" si="5"/>
        <v>1128</v>
      </c>
      <c r="M1129" s="85" t="s">
        <v>175</v>
      </c>
    </row>
    <row r="1130" ht="22.5" customHeight="1">
      <c r="A1130" s="131">
        <v>46202.0</v>
      </c>
      <c r="B1130" s="84" t="str">
        <f t="shared" si="1"/>
        <v>Jun 2026</v>
      </c>
      <c r="C1130" s="84">
        <f t="shared" si="2"/>
        <v>27</v>
      </c>
      <c r="D1130" s="85" t="s">
        <v>162</v>
      </c>
      <c r="E1130" s="85" t="s">
        <v>165</v>
      </c>
      <c r="F1130" s="86" t="s">
        <v>244</v>
      </c>
      <c r="G1130" s="87" t="s">
        <v>215</v>
      </c>
      <c r="H1130" s="88">
        <f t="shared" si="3"/>
        <v>1.1</v>
      </c>
      <c r="I1130" s="134">
        <v>1.0</v>
      </c>
      <c r="J1130" s="133"/>
      <c r="K1130" s="132">
        <f t="shared" si="4"/>
        <v>0.1</v>
      </c>
      <c r="L1130" s="84">
        <f t="shared" si="5"/>
        <v>1129</v>
      </c>
      <c r="M1130" s="85" t="s">
        <v>175</v>
      </c>
    </row>
    <row r="1131" ht="22.5" customHeight="1">
      <c r="A1131" s="131">
        <v>46202.0</v>
      </c>
      <c r="B1131" s="84" t="str">
        <f t="shared" si="1"/>
        <v>Jun 2026</v>
      </c>
      <c r="C1131" s="84">
        <f t="shared" si="2"/>
        <v>27</v>
      </c>
      <c r="D1131" s="85" t="s">
        <v>160</v>
      </c>
      <c r="E1131" s="85" t="s">
        <v>165</v>
      </c>
      <c r="F1131" s="86" t="s">
        <v>248</v>
      </c>
      <c r="G1131" s="87" t="s">
        <v>227</v>
      </c>
      <c r="H1131" s="88">
        <f t="shared" si="3"/>
        <v>1.1</v>
      </c>
      <c r="I1131" s="134">
        <v>1.0</v>
      </c>
      <c r="J1131" s="133"/>
      <c r="K1131" s="132">
        <f t="shared" si="4"/>
        <v>0.1</v>
      </c>
      <c r="L1131" s="84">
        <f t="shared" si="5"/>
        <v>1130</v>
      </c>
      <c r="M1131" s="85" t="s">
        <v>175</v>
      </c>
    </row>
    <row r="1132" ht="22.5" customHeight="1">
      <c r="A1132" s="131">
        <v>46202.0</v>
      </c>
      <c r="B1132" s="84" t="str">
        <f t="shared" si="1"/>
        <v>Jun 2026</v>
      </c>
      <c r="C1132" s="84">
        <f t="shared" si="2"/>
        <v>27</v>
      </c>
      <c r="D1132" s="85" t="s">
        <v>161</v>
      </c>
      <c r="E1132" s="85" t="s">
        <v>165</v>
      </c>
      <c r="F1132" s="86" t="s">
        <v>232</v>
      </c>
      <c r="G1132" s="87" t="s">
        <v>75</v>
      </c>
      <c r="H1132" s="88">
        <f t="shared" si="3"/>
        <v>0.11</v>
      </c>
      <c r="I1132" s="134">
        <v>0.1</v>
      </c>
      <c r="J1132" s="133"/>
      <c r="K1132" s="132">
        <f t="shared" si="4"/>
        <v>0.01</v>
      </c>
      <c r="L1132" s="84">
        <f t="shared" si="5"/>
        <v>1131</v>
      </c>
      <c r="M1132" s="85" t="s">
        <v>133</v>
      </c>
    </row>
    <row r="1133" ht="22.5" customHeight="1">
      <c r="A1133" s="131">
        <v>46202.0</v>
      </c>
      <c r="B1133" s="84" t="str">
        <f t="shared" si="1"/>
        <v>Jun 2026</v>
      </c>
      <c r="C1133" s="84">
        <f t="shared" si="2"/>
        <v>27</v>
      </c>
      <c r="D1133" s="85" t="s">
        <v>129</v>
      </c>
      <c r="E1133" s="85" t="s">
        <v>165</v>
      </c>
      <c r="F1133" s="86" t="s">
        <v>262</v>
      </c>
      <c r="G1133" s="86" t="s">
        <v>223</v>
      </c>
      <c r="H1133" s="88">
        <f t="shared" si="3"/>
        <v>0.7337</v>
      </c>
      <c r="I1133" s="134">
        <v>0.667</v>
      </c>
      <c r="J1133" s="133"/>
      <c r="K1133" s="132">
        <f t="shared" si="4"/>
        <v>0.0667</v>
      </c>
      <c r="L1133" s="84">
        <f t="shared" si="5"/>
        <v>1132</v>
      </c>
      <c r="M1133" s="85" t="s">
        <v>133</v>
      </c>
    </row>
    <row r="1134" ht="22.5" customHeight="1">
      <c r="A1134" s="131">
        <v>46202.0</v>
      </c>
      <c r="B1134" s="84" t="str">
        <f t="shared" si="1"/>
        <v>Jun 2026</v>
      </c>
      <c r="C1134" s="84">
        <f t="shared" si="2"/>
        <v>27</v>
      </c>
      <c r="D1134" s="85" t="s">
        <v>129</v>
      </c>
      <c r="E1134" s="85" t="s">
        <v>167</v>
      </c>
      <c r="F1134" s="86" t="s">
        <v>268</v>
      </c>
      <c r="G1134" s="86" t="s">
        <v>222</v>
      </c>
      <c r="H1134" s="88">
        <f t="shared" si="3"/>
        <v>0.7337</v>
      </c>
      <c r="I1134" s="134">
        <v>0.667</v>
      </c>
      <c r="J1134" s="133"/>
      <c r="K1134" s="132">
        <f t="shared" si="4"/>
        <v>0.0667</v>
      </c>
      <c r="L1134" s="84">
        <f t="shared" si="5"/>
        <v>1133</v>
      </c>
      <c r="M1134" s="85" t="s">
        <v>133</v>
      </c>
    </row>
    <row r="1135" ht="22.5" customHeight="1">
      <c r="A1135" s="131">
        <v>46202.0</v>
      </c>
      <c r="B1135" s="84" t="str">
        <f t="shared" si="1"/>
        <v>Jun 2026</v>
      </c>
      <c r="C1135" s="84">
        <f t="shared" si="2"/>
        <v>27</v>
      </c>
      <c r="D1135" s="85" t="s">
        <v>162</v>
      </c>
      <c r="E1135" s="85" t="s">
        <v>167</v>
      </c>
      <c r="F1135" s="86" t="s">
        <v>244</v>
      </c>
      <c r="G1135" s="87" t="s">
        <v>215</v>
      </c>
      <c r="H1135" s="88">
        <f t="shared" si="3"/>
        <v>1.1</v>
      </c>
      <c r="I1135" s="134">
        <v>1.0</v>
      </c>
      <c r="J1135" s="133"/>
      <c r="K1135" s="132">
        <f t="shared" si="4"/>
        <v>0.1</v>
      </c>
      <c r="L1135" s="84">
        <f t="shared" si="5"/>
        <v>1134</v>
      </c>
      <c r="M1135" s="85" t="s">
        <v>175</v>
      </c>
    </row>
    <row r="1136" ht="22.5" customHeight="1">
      <c r="A1136" s="131">
        <v>46202.0</v>
      </c>
      <c r="B1136" s="84" t="str">
        <f t="shared" si="1"/>
        <v>Jun 2026</v>
      </c>
      <c r="C1136" s="84">
        <f t="shared" si="2"/>
        <v>27</v>
      </c>
      <c r="D1136" s="85" t="s">
        <v>160</v>
      </c>
      <c r="E1136" s="85" t="s">
        <v>167</v>
      </c>
      <c r="F1136" s="86" t="s">
        <v>248</v>
      </c>
      <c r="G1136" s="87" t="s">
        <v>227</v>
      </c>
      <c r="H1136" s="88">
        <f t="shared" si="3"/>
        <v>1.1</v>
      </c>
      <c r="I1136" s="134">
        <v>1.0</v>
      </c>
      <c r="J1136" s="133"/>
      <c r="K1136" s="132">
        <f t="shared" si="4"/>
        <v>0.1</v>
      </c>
      <c r="L1136" s="84">
        <f t="shared" si="5"/>
        <v>1135</v>
      </c>
      <c r="M1136" s="85" t="s">
        <v>175</v>
      </c>
    </row>
    <row r="1137" ht="22.5" customHeight="1">
      <c r="A1137" s="131">
        <v>46202.0</v>
      </c>
      <c r="B1137" s="84" t="str">
        <f t="shared" si="1"/>
        <v>Jun 2026</v>
      </c>
      <c r="C1137" s="84">
        <f t="shared" si="2"/>
        <v>27</v>
      </c>
      <c r="D1137" s="85" t="s">
        <v>129</v>
      </c>
      <c r="E1137" s="85" t="s">
        <v>167</v>
      </c>
      <c r="F1137" s="86" t="s">
        <v>134</v>
      </c>
      <c r="G1137" s="86" t="s">
        <v>224</v>
      </c>
      <c r="H1137" s="88">
        <f t="shared" si="3"/>
        <v>0.7337</v>
      </c>
      <c r="I1137" s="134">
        <v>0.667</v>
      </c>
      <c r="J1137" s="133"/>
      <c r="K1137" s="132">
        <f t="shared" si="4"/>
        <v>0.0667</v>
      </c>
      <c r="L1137" s="84">
        <f t="shared" si="5"/>
        <v>1136</v>
      </c>
      <c r="M1137" s="85" t="s">
        <v>133</v>
      </c>
    </row>
    <row r="1138" ht="22.5" customHeight="1">
      <c r="A1138" s="131">
        <v>46202.0</v>
      </c>
      <c r="B1138" s="84" t="str">
        <f t="shared" si="1"/>
        <v>Jun 2026</v>
      </c>
      <c r="C1138" s="84">
        <f t="shared" si="2"/>
        <v>27</v>
      </c>
      <c r="D1138" s="85" t="s">
        <v>161</v>
      </c>
      <c r="E1138" s="85" t="s">
        <v>167</v>
      </c>
      <c r="F1138" s="86" t="s">
        <v>232</v>
      </c>
      <c r="G1138" s="87" t="s">
        <v>75</v>
      </c>
      <c r="H1138" s="88">
        <f t="shared" si="3"/>
        <v>0.11</v>
      </c>
      <c r="I1138" s="134">
        <v>0.1</v>
      </c>
      <c r="J1138" s="133"/>
      <c r="K1138" s="132">
        <f t="shared" si="4"/>
        <v>0.01</v>
      </c>
      <c r="L1138" s="84">
        <f t="shared" si="5"/>
        <v>1137</v>
      </c>
      <c r="M1138" s="85" t="s">
        <v>133</v>
      </c>
    </row>
    <row r="1139" ht="22.5" customHeight="1">
      <c r="A1139" s="131">
        <v>46202.0</v>
      </c>
      <c r="B1139" s="84" t="str">
        <f t="shared" si="1"/>
        <v>Jun 2026</v>
      </c>
      <c r="C1139" s="84">
        <f t="shared" si="2"/>
        <v>27</v>
      </c>
      <c r="D1139" s="85" t="s">
        <v>129</v>
      </c>
      <c r="E1139" s="85" t="s">
        <v>167</v>
      </c>
      <c r="F1139" s="86" t="s">
        <v>249</v>
      </c>
      <c r="G1139" s="86" t="s">
        <v>220</v>
      </c>
      <c r="H1139" s="88">
        <f t="shared" si="3"/>
        <v>0.7337</v>
      </c>
      <c r="I1139" s="134">
        <v>0.667</v>
      </c>
      <c r="J1139" s="133"/>
      <c r="K1139" s="132">
        <f t="shared" si="4"/>
        <v>0.0667</v>
      </c>
      <c r="L1139" s="84">
        <f t="shared" si="5"/>
        <v>1138</v>
      </c>
      <c r="M1139" s="85" t="s">
        <v>133</v>
      </c>
    </row>
    <row r="1140" ht="22.5" customHeight="1">
      <c r="A1140" s="131">
        <v>46202.0</v>
      </c>
      <c r="B1140" s="84" t="str">
        <f t="shared" si="1"/>
        <v>Jun 2026</v>
      </c>
      <c r="C1140" s="84">
        <f t="shared" si="2"/>
        <v>27</v>
      </c>
      <c r="D1140" s="85" t="s">
        <v>129</v>
      </c>
      <c r="E1140" s="85" t="s">
        <v>167</v>
      </c>
      <c r="F1140" s="86" t="s">
        <v>262</v>
      </c>
      <c r="G1140" s="86" t="s">
        <v>223</v>
      </c>
      <c r="H1140" s="88">
        <f t="shared" si="3"/>
        <v>0.7337</v>
      </c>
      <c r="I1140" s="134">
        <v>0.667</v>
      </c>
      <c r="J1140" s="133"/>
      <c r="K1140" s="132">
        <f t="shared" si="4"/>
        <v>0.0667</v>
      </c>
      <c r="L1140" s="84">
        <f t="shared" si="5"/>
        <v>1139</v>
      </c>
      <c r="M1140" s="85" t="s">
        <v>133</v>
      </c>
    </row>
    <row r="1141" ht="22.5" customHeight="1">
      <c r="A1141" s="131">
        <v>46202.0</v>
      </c>
      <c r="B1141" s="84" t="str">
        <f t="shared" si="1"/>
        <v>Jun 2026</v>
      </c>
      <c r="C1141" s="84">
        <f t="shared" si="2"/>
        <v>27</v>
      </c>
      <c r="D1141" s="85" t="s">
        <v>160</v>
      </c>
      <c r="E1141" s="85" t="s">
        <v>167</v>
      </c>
      <c r="F1141" s="86" t="s">
        <v>248</v>
      </c>
      <c r="G1141" s="87" t="s">
        <v>227</v>
      </c>
      <c r="H1141" s="88">
        <f t="shared" si="3"/>
        <v>1.1</v>
      </c>
      <c r="I1141" s="134">
        <v>1.0</v>
      </c>
      <c r="J1141" s="133"/>
      <c r="K1141" s="132">
        <f t="shared" si="4"/>
        <v>0.1</v>
      </c>
      <c r="L1141" s="84">
        <f t="shared" si="5"/>
        <v>1140</v>
      </c>
      <c r="M1141" s="85" t="s">
        <v>175</v>
      </c>
    </row>
    <row r="1142" ht="22.5" customHeight="1">
      <c r="A1142" s="131">
        <v>46202.0</v>
      </c>
      <c r="B1142" s="84" t="str">
        <f t="shared" si="1"/>
        <v>Jun 2026</v>
      </c>
      <c r="C1142" s="84">
        <f t="shared" si="2"/>
        <v>27</v>
      </c>
      <c r="D1142" s="85" t="s">
        <v>161</v>
      </c>
      <c r="E1142" s="85" t="s">
        <v>167</v>
      </c>
      <c r="F1142" s="86" t="s">
        <v>232</v>
      </c>
      <c r="G1142" s="87" t="s">
        <v>75</v>
      </c>
      <c r="H1142" s="88">
        <f t="shared" si="3"/>
        <v>0.11</v>
      </c>
      <c r="I1142" s="134">
        <v>0.1</v>
      </c>
      <c r="J1142" s="133"/>
      <c r="K1142" s="132">
        <f t="shared" si="4"/>
        <v>0.01</v>
      </c>
      <c r="L1142" s="84">
        <f t="shared" si="5"/>
        <v>1141</v>
      </c>
      <c r="M1142" s="85" t="s">
        <v>133</v>
      </c>
    </row>
    <row r="1143" ht="22.5" customHeight="1">
      <c r="A1143" s="131">
        <v>46202.0</v>
      </c>
      <c r="B1143" s="84" t="str">
        <f t="shared" si="1"/>
        <v>Jun 2026</v>
      </c>
      <c r="C1143" s="84">
        <f t="shared" si="2"/>
        <v>27</v>
      </c>
      <c r="D1143" s="85" t="s">
        <v>163</v>
      </c>
      <c r="E1143" s="85" t="s">
        <v>167</v>
      </c>
      <c r="F1143" s="86" t="s">
        <v>269</v>
      </c>
      <c r="G1143" s="86" t="s">
        <v>77</v>
      </c>
      <c r="H1143" s="88">
        <f t="shared" si="3"/>
        <v>1.1</v>
      </c>
      <c r="I1143" s="134">
        <v>1.0</v>
      </c>
      <c r="J1143" s="133"/>
      <c r="K1143" s="132">
        <f t="shared" si="4"/>
        <v>0.1</v>
      </c>
      <c r="L1143" s="84">
        <f t="shared" si="5"/>
        <v>1142</v>
      </c>
      <c r="M1143" s="85" t="s">
        <v>175</v>
      </c>
    </row>
    <row r="1144" ht="22.5" customHeight="1">
      <c r="A1144" s="131">
        <v>46202.0</v>
      </c>
      <c r="B1144" s="84" t="str">
        <f t="shared" si="1"/>
        <v>Jun 2026</v>
      </c>
      <c r="C1144" s="84">
        <f t="shared" si="2"/>
        <v>27</v>
      </c>
      <c r="D1144" s="85" t="s">
        <v>161</v>
      </c>
      <c r="E1144" s="85" t="s">
        <v>130</v>
      </c>
      <c r="F1144" s="86" t="s">
        <v>232</v>
      </c>
      <c r="G1144" s="87" t="s">
        <v>75</v>
      </c>
      <c r="H1144" s="88">
        <f t="shared" si="3"/>
        <v>0.11</v>
      </c>
      <c r="I1144" s="134">
        <v>0.1</v>
      </c>
      <c r="J1144" s="133"/>
      <c r="K1144" s="132">
        <f t="shared" si="4"/>
        <v>0.01</v>
      </c>
      <c r="L1144" s="84">
        <f t="shared" si="5"/>
        <v>1143</v>
      </c>
      <c r="M1144" s="85" t="s">
        <v>133</v>
      </c>
    </row>
    <row r="1145" ht="22.5" customHeight="1">
      <c r="A1145" s="131">
        <v>46202.0</v>
      </c>
      <c r="B1145" s="84" t="str">
        <f t="shared" si="1"/>
        <v>Jun 2026</v>
      </c>
      <c r="C1145" s="84">
        <f t="shared" si="2"/>
        <v>27</v>
      </c>
      <c r="D1145" s="85" t="s">
        <v>160</v>
      </c>
      <c r="E1145" s="85" t="s">
        <v>130</v>
      </c>
      <c r="F1145" s="86" t="s">
        <v>248</v>
      </c>
      <c r="G1145" s="87" t="s">
        <v>227</v>
      </c>
      <c r="H1145" s="88">
        <f t="shared" si="3"/>
        <v>1.1</v>
      </c>
      <c r="I1145" s="134">
        <v>1.0</v>
      </c>
      <c r="J1145" s="133"/>
      <c r="K1145" s="132">
        <f t="shared" si="4"/>
        <v>0.1</v>
      </c>
      <c r="L1145" s="84">
        <f t="shared" si="5"/>
        <v>1144</v>
      </c>
      <c r="M1145" s="85" t="s">
        <v>175</v>
      </c>
    </row>
    <row r="1146" ht="22.5" customHeight="1">
      <c r="A1146" s="131">
        <v>46202.0</v>
      </c>
      <c r="B1146" s="84" t="str">
        <f t="shared" si="1"/>
        <v>Jun 2026</v>
      </c>
      <c r="C1146" s="84">
        <f t="shared" si="2"/>
        <v>27</v>
      </c>
      <c r="D1146" s="85" t="s">
        <v>129</v>
      </c>
      <c r="E1146" s="85" t="s">
        <v>130</v>
      </c>
      <c r="F1146" s="86" t="s">
        <v>268</v>
      </c>
      <c r="G1146" s="86" t="s">
        <v>222</v>
      </c>
      <c r="H1146" s="88">
        <f t="shared" si="3"/>
        <v>0.7337</v>
      </c>
      <c r="I1146" s="134">
        <v>0.667</v>
      </c>
      <c r="J1146" s="133"/>
      <c r="K1146" s="132">
        <f t="shared" si="4"/>
        <v>0.0667</v>
      </c>
      <c r="L1146" s="84">
        <f t="shared" si="5"/>
        <v>1145</v>
      </c>
      <c r="M1146" s="85" t="s">
        <v>133</v>
      </c>
    </row>
    <row r="1147" ht="22.5" customHeight="1">
      <c r="A1147" s="131">
        <v>46202.0</v>
      </c>
      <c r="B1147" s="84" t="str">
        <f t="shared" si="1"/>
        <v>Jun 2026</v>
      </c>
      <c r="C1147" s="84">
        <f t="shared" si="2"/>
        <v>27</v>
      </c>
      <c r="D1147" s="85" t="s">
        <v>160</v>
      </c>
      <c r="E1147" s="85" t="s">
        <v>130</v>
      </c>
      <c r="F1147" s="86" t="s">
        <v>251</v>
      </c>
      <c r="G1147" s="87" t="s">
        <v>218</v>
      </c>
      <c r="H1147" s="88">
        <f t="shared" si="3"/>
        <v>1.1</v>
      </c>
      <c r="I1147" s="134">
        <v>1.0</v>
      </c>
      <c r="J1147" s="133"/>
      <c r="K1147" s="132">
        <f t="shared" si="4"/>
        <v>0.1</v>
      </c>
      <c r="L1147" s="84">
        <f t="shared" si="5"/>
        <v>1146</v>
      </c>
      <c r="M1147" s="85" t="s">
        <v>175</v>
      </c>
    </row>
    <row r="1148" ht="22.5" customHeight="1">
      <c r="A1148" s="131">
        <v>46202.0</v>
      </c>
      <c r="B1148" s="84" t="str">
        <f t="shared" si="1"/>
        <v>Jun 2026</v>
      </c>
      <c r="C1148" s="84">
        <f t="shared" si="2"/>
        <v>27</v>
      </c>
      <c r="D1148" s="85" t="s">
        <v>129</v>
      </c>
      <c r="E1148" s="85" t="s">
        <v>130</v>
      </c>
      <c r="F1148" s="86" t="s">
        <v>249</v>
      </c>
      <c r="G1148" s="86" t="s">
        <v>220</v>
      </c>
      <c r="H1148" s="88">
        <f t="shared" si="3"/>
        <v>0.7337</v>
      </c>
      <c r="I1148" s="134">
        <v>0.667</v>
      </c>
      <c r="J1148" s="133"/>
      <c r="K1148" s="132">
        <f t="shared" si="4"/>
        <v>0.0667</v>
      </c>
      <c r="L1148" s="84">
        <f t="shared" si="5"/>
        <v>1147</v>
      </c>
      <c r="M1148" s="85" t="s">
        <v>133</v>
      </c>
    </row>
    <row r="1149" ht="22.5" customHeight="1">
      <c r="A1149" s="131">
        <v>46202.0</v>
      </c>
      <c r="B1149" s="84" t="str">
        <f t="shared" si="1"/>
        <v>Jun 2026</v>
      </c>
      <c r="C1149" s="84">
        <f t="shared" si="2"/>
        <v>27</v>
      </c>
      <c r="D1149" s="85" t="s">
        <v>129</v>
      </c>
      <c r="E1149" s="85" t="s">
        <v>130</v>
      </c>
      <c r="F1149" s="86" t="s">
        <v>134</v>
      </c>
      <c r="G1149" s="86" t="s">
        <v>224</v>
      </c>
      <c r="H1149" s="88">
        <f t="shared" si="3"/>
        <v>0.7337</v>
      </c>
      <c r="I1149" s="134">
        <v>0.667</v>
      </c>
      <c r="J1149" s="133"/>
      <c r="K1149" s="132">
        <f t="shared" si="4"/>
        <v>0.0667</v>
      </c>
      <c r="L1149" s="84">
        <f t="shared" si="5"/>
        <v>1148</v>
      </c>
      <c r="M1149" s="85" t="s">
        <v>133</v>
      </c>
    </row>
    <row r="1150" ht="22.5" customHeight="1">
      <c r="A1150" s="131">
        <v>46202.0</v>
      </c>
      <c r="B1150" s="84" t="str">
        <f t="shared" si="1"/>
        <v>Jun 2026</v>
      </c>
      <c r="C1150" s="84">
        <f t="shared" si="2"/>
        <v>27</v>
      </c>
      <c r="D1150" s="85" t="s">
        <v>129</v>
      </c>
      <c r="E1150" s="85" t="s">
        <v>130</v>
      </c>
      <c r="F1150" s="86" t="s">
        <v>262</v>
      </c>
      <c r="G1150" s="86" t="s">
        <v>223</v>
      </c>
      <c r="H1150" s="88">
        <f t="shared" si="3"/>
        <v>0.7337</v>
      </c>
      <c r="I1150" s="134">
        <v>0.667</v>
      </c>
      <c r="J1150" s="133"/>
      <c r="K1150" s="132">
        <f t="shared" si="4"/>
        <v>0.0667</v>
      </c>
      <c r="L1150" s="84">
        <f t="shared" si="5"/>
        <v>1149</v>
      </c>
      <c r="M1150" s="85" t="s">
        <v>133</v>
      </c>
    </row>
    <row r="1151" ht="22.5" customHeight="1">
      <c r="A1151" s="131">
        <v>46202.0</v>
      </c>
      <c r="B1151" s="84" t="str">
        <f t="shared" si="1"/>
        <v>Jun 2026</v>
      </c>
      <c r="C1151" s="84">
        <f t="shared" si="2"/>
        <v>27</v>
      </c>
      <c r="D1151" s="85" t="s">
        <v>162</v>
      </c>
      <c r="E1151" s="85" t="s">
        <v>130</v>
      </c>
      <c r="F1151" s="86" t="s">
        <v>244</v>
      </c>
      <c r="G1151" s="87" t="s">
        <v>215</v>
      </c>
      <c r="H1151" s="88">
        <f t="shared" si="3"/>
        <v>1.1</v>
      </c>
      <c r="I1151" s="134">
        <v>1.0</v>
      </c>
      <c r="J1151" s="133"/>
      <c r="K1151" s="132">
        <f t="shared" si="4"/>
        <v>0.1</v>
      </c>
      <c r="L1151" s="84">
        <f t="shared" si="5"/>
        <v>1150</v>
      </c>
      <c r="M1151" s="85" t="s">
        <v>175</v>
      </c>
    </row>
    <row r="1152" ht="22.5" customHeight="1">
      <c r="A1152" s="131">
        <v>46202.0</v>
      </c>
      <c r="B1152" s="84" t="str">
        <f t="shared" si="1"/>
        <v>Jun 2026</v>
      </c>
      <c r="C1152" s="84">
        <f t="shared" si="2"/>
        <v>27</v>
      </c>
      <c r="D1152" s="85" t="s">
        <v>161</v>
      </c>
      <c r="E1152" s="85" t="s">
        <v>130</v>
      </c>
      <c r="F1152" s="86" t="s">
        <v>232</v>
      </c>
      <c r="G1152" s="87" t="s">
        <v>75</v>
      </c>
      <c r="H1152" s="88">
        <f t="shared" si="3"/>
        <v>0.11</v>
      </c>
      <c r="I1152" s="134">
        <v>0.1</v>
      </c>
      <c r="J1152" s="133"/>
      <c r="K1152" s="132">
        <f t="shared" si="4"/>
        <v>0.01</v>
      </c>
      <c r="L1152" s="84">
        <f t="shared" si="5"/>
        <v>1151</v>
      </c>
      <c r="M1152" s="85" t="s">
        <v>133</v>
      </c>
    </row>
    <row r="1153" ht="22.5" customHeight="1">
      <c r="A1153" s="131">
        <v>46202.0</v>
      </c>
      <c r="B1153" s="84" t="str">
        <f t="shared" si="1"/>
        <v>Jun 2026</v>
      </c>
      <c r="C1153" s="84">
        <f t="shared" si="2"/>
        <v>27</v>
      </c>
      <c r="D1153" s="85" t="s">
        <v>163</v>
      </c>
      <c r="E1153" s="85" t="s">
        <v>130</v>
      </c>
      <c r="F1153" s="86" t="s">
        <v>269</v>
      </c>
      <c r="G1153" s="86" t="s">
        <v>77</v>
      </c>
      <c r="H1153" s="88">
        <f t="shared" si="3"/>
        <v>1.1</v>
      </c>
      <c r="I1153" s="134">
        <v>1.0</v>
      </c>
      <c r="J1153" s="133"/>
      <c r="K1153" s="132">
        <f t="shared" si="4"/>
        <v>0.1</v>
      </c>
      <c r="L1153" s="84">
        <f t="shared" si="5"/>
        <v>1152</v>
      </c>
      <c r="M1153" s="85" t="s">
        <v>175</v>
      </c>
    </row>
    <row r="1154" ht="22.5" customHeight="1">
      <c r="A1154" s="131">
        <v>46203.0</v>
      </c>
      <c r="B1154" s="84" t="str">
        <f t="shared" si="1"/>
        <v>Jun 2026</v>
      </c>
      <c r="C1154" s="84">
        <f t="shared" si="2"/>
        <v>27</v>
      </c>
      <c r="D1154" s="85" t="s">
        <v>161</v>
      </c>
      <c r="E1154" s="85" t="s">
        <v>164</v>
      </c>
      <c r="F1154" s="86" t="s">
        <v>232</v>
      </c>
      <c r="G1154" s="87" t="s">
        <v>75</v>
      </c>
      <c r="H1154" s="88">
        <f t="shared" si="3"/>
        <v>0.11</v>
      </c>
      <c r="I1154" s="134">
        <v>0.1</v>
      </c>
      <c r="J1154" s="133"/>
      <c r="K1154" s="132">
        <f t="shared" si="4"/>
        <v>0.01</v>
      </c>
      <c r="L1154" s="84">
        <f t="shared" si="5"/>
        <v>1153</v>
      </c>
      <c r="M1154" s="85" t="s">
        <v>133</v>
      </c>
    </row>
    <row r="1155" ht="22.5" customHeight="1">
      <c r="A1155" s="131">
        <v>46203.0</v>
      </c>
      <c r="B1155" s="84" t="str">
        <f t="shared" si="1"/>
        <v>Jun 2026</v>
      </c>
      <c r="C1155" s="84">
        <f t="shared" si="2"/>
        <v>27</v>
      </c>
      <c r="D1155" s="85" t="s">
        <v>162</v>
      </c>
      <c r="E1155" s="85" t="s">
        <v>164</v>
      </c>
      <c r="F1155" s="86" t="s">
        <v>244</v>
      </c>
      <c r="G1155" s="86" t="s">
        <v>216</v>
      </c>
      <c r="H1155" s="88">
        <f t="shared" si="3"/>
        <v>1.1</v>
      </c>
      <c r="I1155" s="134">
        <v>1.0</v>
      </c>
      <c r="J1155" s="133"/>
      <c r="K1155" s="132">
        <f t="shared" si="4"/>
        <v>0.1</v>
      </c>
      <c r="L1155" s="84">
        <f t="shared" si="5"/>
        <v>1154</v>
      </c>
      <c r="M1155" s="85" t="s">
        <v>175</v>
      </c>
    </row>
    <row r="1156" ht="22.5" customHeight="1">
      <c r="A1156" s="131">
        <v>46203.0</v>
      </c>
      <c r="B1156" s="84" t="str">
        <f t="shared" si="1"/>
        <v>Jun 2026</v>
      </c>
      <c r="C1156" s="84">
        <f t="shared" si="2"/>
        <v>27</v>
      </c>
      <c r="D1156" s="85" t="s">
        <v>129</v>
      </c>
      <c r="E1156" s="85" t="s">
        <v>164</v>
      </c>
      <c r="F1156" s="86" t="s">
        <v>249</v>
      </c>
      <c r="G1156" s="86" t="s">
        <v>220</v>
      </c>
      <c r="H1156" s="88">
        <f t="shared" si="3"/>
        <v>0.7337</v>
      </c>
      <c r="I1156" s="134">
        <v>0.667</v>
      </c>
      <c r="J1156" s="133"/>
      <c r="K1156" s="132">
        <f t="shared" si="4"/>
        <v>0.0667</v>
      </c>
      <c r="L1156" s="84">
        <f t="shared" si="5"/>
        <v>1155</v>
      </c>
      <c r="M1156" s="85" t="s">
        <v>133</v>
      </c>
    </row>
    <row r="1157" ht="22.5" customHeight="1">
      <c r="A1157" s="131">
        <v>46203.0</v>
      </c>
      <c r="B1157" s="84" t="str">
        <f t="shared" si="1"/>
        <v>Jun 2026</v>
      </c>
      <c r="C1157" s="84">
        <f t="shared" si="2"/>
        <v>27</v>
      </c>
      <c r="D1157" s="85" t="s">
        <v>162</v>
      </c>
      <c r="E1157" s="85" t="s">
        <v>164</v>
      </c>
      <c r="F1157" s="86" t="s">
        <v>244</v>
      </c>
      <c r="G1157" s="87" t="s">
        <v>215</v>
      </c>
      <c r="H1157" s="88">
        <f t="shared" si="3"/>
        <v>1.1</v>
      </c>
      <c r="I1157" s="134">
        <v>1.0</v>
      </c>
      <c r="J1157" s="133"/>
      <c r="K1157" s="132">
        <f t="shared" si="4"/>
        <v>0.1</v>
      </c>
      <c r="L1157" s="84">
        <f t="shared" si="5"/>
        <v>1156</v>
      </c>
      <c r="M1157" s="85" t="s">
        <v>175</v>
      </c>
    </row>
    <row r="1158" ht="22.5" customHeight="1">
      <c r="A1158" s="131">
        <v>46203.0</v>
      </c>
      <c r="B1158" s="84" t="str">
        <f t="shared" si="1"/>
        <v>Jun 2026</v>
      </c>
      <c r="C1158" s="84">
        <f t="shared" si="2"/>
        <v>27</v>
      </c>
      <c r="D1158" s="85" t="s">
        <v>129</v>
      </c>
      <c r="E1158" s="85" t="s">
        <v>164</v>
      </c>
      <c r="F1158" s="86" t="s">
        <v>268</v>
      </c>
      <c r="G1158" s="86" t="s">
        <v>222</v>
      </c>
      <c r="H1158" s="88">
        <f t="shared" si="3"/>
        <v>0.7337</v>
      </c>
      <c r="I1158" s="134">
        <v>0.667</v>
      </c>
      <c r="J1158" s="133"/>
      <c r="K1158" s="132">
        <f t="shared" si="4"/>
        <v>0.0667</v>
      </c>
      <c r="L1158" s="84">
        <f t="shared" si="5"/>
        <v>1157</v>
      </c>
      <c r="M1158" s="85" t="s">
        <v>133</v>
      </c>
    </row>
    <row r="1159" ht="22.5" customHeight="1">
      <c r="A1159" s="131">
        <v>46203.0</v>
      </c>
      <c r="B1159" s="84" t="str">
        <f t="shared" si="1"/>
        <v>Jun 2026</v>
      </c>
      <c r="C1159" s="84">
        <f t="shared" si="2"/>
        <v>27</v>
      </c>
      <c r="D1159" s="85" t="s">
        <v>163</v>
      </c>
      <c r="E1159" s="85" t="s">
        <v>164</v>
      </c>
      <c r="F1159" s="86" t="s">
        <v>269</v>
      </c>
      <c r="G1159" s="86" t="s">
        <v>77</v>
      </c>
      <c r="H1159" s="88">
        <f t="shared" si="3"/>
        <v>1.1</v>
      </c>
      <c r="I1159" s="134">
        <v>1.0</v>
      </c>
      <c r="J1159" s="133"/>
      <c r="K1159" s="132">
        <f t="shared" si="4"/>
        <v>0.1</v>
      </c>
      <c r="L1159" s="84">
        <f t="shared" si="5"/>
        <v>1158</v>
      </c>
      <c r="M1159" s="85" t="s">
        <v>175</v>
      </c>
    </row>
    <row r="1160" ht="22.5" customHeight="1">
      <c r="A1160" s="131">
        <v>46203.0</v>
      </c>
      <c r="B1160" s="84" t="str">
        <f t="shared" si="1"/>
        <v>Jun 2026</v>
      </c>
      <c r="C1160" s="84">
        <f t="shared" si="2"/>
        <v>27</v>
      </c>
      <c r="D1160" s="85" t="s">
        <v>129</v>
      </c>
      <c r="E1160" s="85" t="s">
        <v>164</v>
      </c>
      <c r="F1160" s="86" t="s">
        <v>134</v>
      </c>
      <c r="G1160" s="86" t="s">
        <v>224</v>
      </c>
      <c r="H1160" s="88">
        <f t="shared" si="3"/>
        <v>0.7337</v>
      </c>
      <c r="I1160" s="134">
        <v>0.667</v>
      </c>
      <c r="J1160" s="133"/>
      <c r="K1160" s="132">
        <f t="shared" si="4"/>
        <v>0.0667</v>
      </c>
      <c r="L1160" s="84">
        <f t="shared" si="5"/>
        <v>1159</v>
      </c>
      <c r="M1160" s="85" t="s">
        <v>133</v>
      </c>
    </row>
    <row r="1161" ht="22.5" customHeight="1">
      <c r="A1161" s="131">
        <v>46203.0</v>
      </c>
      <c r="B1161" s="84" t="str">
        <f t="shared" si="1"/>
        <v>Jun 2026</v>
      </c>
      <c r="C1161" s="84">
        <f t="shared" si="2"/>
        <v>27</v>
      </c>
      <c r="D1161" s="85" t="s">
        <v>160</v>
      </c>
      <c r="E1161" s="85" t="s">
        <v>164</v>
      </c>
      <c r="F1161" s="86" t="s">
        <v>248</v>
      </c>
      <c r="G1161" s="87" t="s">
        <v>227</v>
      </c>
      <c r="H1161" s="88">
        <f t="shared" si="3"/>
        <v>1.1</v>
      </c>
      <c r="I1161" s="134">
        <v>1.0</v>
      </c>
      <c r="J1161" s="133"/>
      <c r="K1161" s="132">
        <f t="shared" si="4"/>
        <v>0.1</v>
      </c>
      <c r="L1161" s="84">
        <f t="shared" si="5"/>
        <v>1160</v>
      </c>
      <c r="M1161" s="85" t="s">
        <v>175</v>
      </c>
    </row>
    <row r="1162" ht="22.5" customHeight="1">
      <c r="A1162" s="131">
        <v>46203.0</v>
      </c>
      <c r="B1162" s="84" t="str">
        <f t="shared" si="1"/>
        <v>Jun 2026</v>
      </c>
      <c r="C1162" s="84">
        <f t="shared" si="2"/>
        <v>27</v>
      </c>
      <c r="D1162" s="85" t="s">
        <v>129</v>
      </c>
      <c r="E1162" s="85" t="s">
        <v>164</v>
      </c>
      <c r="F1162" s="86" t="s">
        <v>262</v>
      </c>
      <c r="G1162" s="86" t="s">
        <v>223</v>
      </c>
      <c r="H1162" s="88">
        <f t="shared" si="3"/>
        <v>0.7337</v>
      </c>
      <c r="I1162" s="134">
        <v>0.667</v>
      </c>
      <c r="J1162" s="133"/>
      <c r="K1162" s="132">
        <f t="shared" si="4"/>
        <v>0.0667</v>
      </c>
      <c r="L1162" s="84">
        <f t="shared" si="5"/>
        <v>1161</v>
      </c>
      <c r="M1162" s="85" t="s">
        <v>133</v>
      </c>
    </row>
    <row r="1163" ht="22.5" customHeight="1">
      <c r="A1163" s="131">
        <v>46203.0</v>
      </c>
      <c r="B1163" s="84" t="str">
        <f t="shared" si="1"/>
        <v>Jun 2026</v>
      </c>
      <c r="C1163" s="84">
        <f t="shared" si="2"/>
        <v>27</v>
      </c>
      <c r="D1163" s="85" t="s">
        <v>129</v>
      </c>
      <c r="E1163" s="85" t="s">
        <v>164</v>
      </c>
      <c r="F1163" s="86" t="s">
        <v>270</v>
      </c>
      <c r="G1163" s="86" t="s">
        <v>219</v>
      </c>
      <c r="H1163" s="88">
        <f t="shared" si="3"/>
        <v>0.7337</v>
      </c>
      <c r="I1163" s="134">
        <v>0.667</v>
      </c>
      <c r="J1163" s="133"/>
      <c r="K1163" s="132">
        <f t="shared" si="4"/>
        <v>0.0667</v>
      </c>
      <c r="L1163" s="84">
        <f t="shared" si="5"/>
        <v>1162</v>
      </c>
      <c r="M1163" s="85" t="s">
        <v>133</v>
      </c>
    </row>
    <row r="1164" ht="22.5" customHeight="1">
      <c r="A1164" s="131">
        <v>46203.0</v>
      </c>
      <c r="B1164" s="84" t="str">
        <f t="shared" si="1"/>
        <v>Jun 2026</v>
      </c>
      <c r="C1164" s="84">
        <f t="shared" si="2"/>
        <v>27</v>
      </c>
      <c r="D1164" s="85" t="s">
        <v>160</v>
      </c>
      <c r="E1164" s="85" t="s">
        <v>165</v>
      </c>
      <c r="F1164" s="86" t="s">
        <v>251</v>
      </c>
      <c r="G1164" s="87" t="s">
        <v>218</v>
      </c>
      <c r="H1164" s="88">
        <f t="shared" si="3"/>
        <v>1.1</v>
      </c>
      <c r="I1164" s="134">
        <v>1.0</v>
      </c>
      <c r="J1164" s="133"/>
      <c r="K1164" s="132">
        <f t="shared" si="4"/>
        <v>0.1</v>
      </c>
      <c r="L1164" s="84">
        <f t="shared" si="5"/>
        <v>1163</v>
      </c>
      <c r="M1164" s="85" t="s">
        <v>175</v>
      </c>
    </row>
    <row r="1165" ht="22.5" customHeight="1">
      <c r="A1165" s="131">
        <v>46203.0</v>
      </c>
      <c r="B1165" s="84" t="str">
        <f t="shared" si="1"/>
        <v>Jun 2026</v>
      </c>
      <c r="C1165" s="84">
        <f t="shared" si="2"/>
        <v>27</v>
      </c>
      <c r="D1165" s="85" t="s">
        <v>162</v>
      </c>
      <c r="E1165" s="85" t="s">
        <v>165</v>
      </c>
      <c r="F1165" s="86" t="s">
        <v>244</v>
      </c>
      <c r="G1165" s="87" t="s">
        <v>215</v>
      </c>
      <c r="H1165" s="88">
        <f t="shared" si="3"/>
        <v>1.1</v>
      </c>
      <c r="I1165" s="134">
        <v>1.0</v>
      </c>
      <c r="J1165" s="133"/>
      <c r="K1165" s="132">
        <f t="shared" si="4"/>
        <v>0.1</v>
      </c>
      <c r="L1165" s="84">
        <f t="shared" si="5"/>
        <v>1164</v>
      </c>
      <c r="M1165" s="85" t="s">
        <v>175</v>
      </c>
    </row>
    <row r="1166" ht="22.5" customHeight="1">
      <c r="A1166" s="131">
        <v>46203.0</v>
      </c>
      <c r="B1166" s="84" t="str">
        <f t="shared" si="1"/>
        <v>Jun 2026</v>
      </c>
      <c r="C1166" s="84">
        <f t="shared" si="2"/>
        <v>27</v>
      </c>
      <c r="D1166" s="85" t="s">
        <v>129</v>
      </c>
      <c r="E1166" s="85" t="s">
        <v>165</v>
      </c>
      <c r="F1166" s="86" t="s">
        <v>262</v>
      </c>
      <c r="G1166" s="86" t="s">
        <v>223</v>
      </c>
      <c r="H1166" s="88">
        <f t="shared" si="3"/>
        <v>0.7337</v>
      </c>
      <c r="I1166" s="134">
        <v>0.667</v>
      </c>
      <c r="J1166" s="133"/>
      <c r="K1166" s="132">
        <f t="shared" si="4"/>
        <v>0.0667</v>
      </c>
      <c r="L1166" s="84">
        <f t="shared" si="5"/>
        <v>1165</v>
      </c>
      <c r="M1166" s="85" t="s">
        <v>133</v>
      </c>
    </row>
    <row r="1167" ht="22.5" customHeight="1">
      <c r="A1167" s="131">
        <v>46203.0</v>
      </c>
      <c r="B1167" s="84" t="str">
        <f t="shared" si="1"/>
        <v>Jun 2026</v>
      </c>
      <c r="C1167" s="84">
        <f t="shared" si="2"/>
        <v>27</v>
      </c>
      <c r="D1167" s="85" t="s">
        <v>129</v>
      </c>
      <c r="E1167" s="85" t="s">
        <v>165</v>
      </c>
      <c r="F1167" s="86" t="s">
        <v>249</v>
      </c>
      <c r="G1167" s="86" t="s">
        <v>220</v>
      </c>
      <c r="H1167" s="88">
        <f t="shared" si="3"/>
        <v>0.7337</v>
      </c>
      <c r="I1167" s="134">
        <v>0.667</v>
      </c>
      <c r="J1167" s="133"/>
      <c r="K1167" s="132">
        <f t="shared" si="4"/>
        <v>0.0667</v>
      </c>
      <c r="L1167" s="84">
        <f t="shared" si="5"/>
        <v>1166</v>
      </c>
      <c r="M1167" s="85" t="s">
        <v>133</v>
      </c>
    </row>
    <row r="1168" ht="22.5" customHeight="1">
      <c r="A1168" s="131">
        <v>46203.0</v>
      </c>
      <c r="B1168" s="84" t="str">
        <f t="shared" si="1"/>
        <v>Jun 2026</v>
      </c>
      <c r="C1168" s="84">
        <f t="shared" si="2"/>
        <v>27</v>
      </c>
      <c r="D1168" s="85" t="s">
        <v>162</v>
      </c>
      <c r="E1168" s="85" t="s">
        <v>165</v>
      </c>
      <c r="F1168" s="86" t="s">
        <v>244</v>
      </c>
      <c r="G1168" s="86" t="s">
        <v>216</v>
      </c>
      <c r="H1168" s="88">
        <f t="shared" si="3"/>
        <v>1.1</v>
      </c>
      <c r="I1168" s="134">
        <v>1.0</v>
      </c>
      <c r="J1168" s="133"/>
      <c r="K1168" s="132">
        <f t="shared" si="4"/>
        <v>0.1</v>
      </c>
      <c r="L1168" s="84">
        <f t="shared" si="5"/>
        <v>1167</v>
      </c>
      <c r="M1168" s="85" t="s">
        <v>175</v>
      </c>
    </row>
    <row r="1169" ht="22.5" customHeight="1">
      <c r="A1169" s="131">
        <v>46203.0</v>
      </c>
      <c r="B1169" s="84" t="str">
        <f t="shared" si="1"/>
        <v>Jun 2026</v>
      </c>
      <c r="C1169" s="84">
        <f t="shared" si="2"/>
        <v>27</v>
      </c>
      <c r="D1169" s="85" t="s">
        <v>129</v>
      </c>
      <c r="E1169" s="85" t="s">
        <v>165</v>
      </c>
      <c r="F1169" s="86" t="s">
        <v>270</v>
      </c>
      <c r="G1169" s="86" t="s">
        <v>219</v>
      </c>
      <c r="H1169" s="88">
        <f t="shared" si="3"/>
        <v>0.7337</v>
      </c>
      <c r="I1169" s="134">
        <v>0.667</v>
      </c>
      <c r="J1169" s="133"/>
      <c r="K1169" s="132">
        <f t="shared" si="4"/>
        <v>0.0667</v>
      </c>
      <c r="L1169" s="84">
        <f t="shared" si="5"/>
        <v>1168</v>
      </c>
      <c r="M1169" s="85" t="s">
        <v>133</v>
      </c>
    </row>
    <row r="1170" ht="22.5" customHeight="1">
      <c r="A1170" s="131">
        <v>46203.0</v>
      </c>
      <c r="B1170" s="84" t="str">
        <f t="shared" si="1"/>
        <v>Jun 2026</v>
      </c>
      <c r="C1170" s="84">
        <f t="shared" si="2"/>
        <v>27</v>
      </c>
      <c r="D1170" s="85" t="s">
        <v>129</v>
      </c>
      <c r="E1170" s="85" t="s">
        <v>165</v>
      </c>
      <c r="F1170" s="86" t="s">
        <v>268</v>
      </c>
      <c r="G1170" s="86" t="s">
        <v>222</v>
      </c>
      <c r="H1170" s="88">
        <f t="shared" si="3"/>
        <v>0.7337</v>
      </c>
      <c r="I1170" s="134">
        <v>0.667</v>
      </c>
      <c r="J1170" s="133"/>
      <c r="K1170" s="132">
        <f t="shared" si="4"/>
        <v>0.0667</v>
      </c>
      <c r="L1170" s="84">
        <f t="shared" si="5"/>
        <v>1169</v>
      </c>
      <c r="M1170" s="85" t="s">
        <v>133</v>
      </c>
    </row>
    <row r="1171" ht="22.5" customHeight="1">
      <c r="A1171" s="131">
        <v>46203.0</v>
      </c>
      <c r="B1171" s="84" t="str">
        <f t="shared" si="1"/>
        <v>Jun 2026</v>
      </c>
      <c r="C1171" s="84">
        <f t="shared" si="2"/>
        <v>27</v>
      </c>
      <c r="D1171" s="85" t="s">
        <v>129</v>
      </c>
      <c r="E1171" s="85" t="s">
        <v>165</v>
      </c>
      <c r="F1171" s="86" t="s">
        <v>134</v>
      </c>
      <c r="G1171" s="86" t="s">
        <v>224</v>
      </c>
      <c r="H1171" s="88">
        <f t="shared" si="3"/>
        <v>0.7337</v>
      </c>
      <c r="I1171" s="134">
        <v>0.667</v>
      </c>
      <c r="J1171" s="133"/>
      <c r="K1171" s="132">
        <f t="shared" si="4"/>
        <v>0.0667</v>
      </c>
      <c r="L1171" s="84">
        <f t="shared" si="5"/>
        <v>1170</v>
      </c>
      <c r="M1171" s="85" t="s">
        <v>133</v>
      </c>
    </row>
    <row r="1172" ht="22.5" customHeight="1">
      <c r="A1172" s="131">
        <v>46203.0</v>
      </c>
      <c r="B1172" s="84" t="str">
        <f t="shared" si="1"/>
        <v>Jun 2026</v>
      </c>
      <c r="C1172" s="84">
        <f t="shared" si="2"/>
        <v>27</v>
      </c>
      <c r="D1172" s="85" t="s">
        <v>161</v>
      </c>
      <c r="E1172" s="85" t="s">
        <v>165</v>
      </c>
      <c r="F1172" s="86" t="s">
        <v>232</v>
      </c>
      <c r="G1172" s="87" t="s">
        <v>75</v>
      </c>
      <c r="H1172" s="88">
        <f t="shared" si="3"/>
        <v>0.11</v>
      </c>
      <c r="I1172" s="134">
        <v>0.1</v>
      </c>
      <c r="J1172" s="133"/>
      <c r="K1172" s="132">
        <f t="shared" si="4"/>
        <v>0.01</v>
      </c>
      <c r="L1172" s="84">
        <f t="shared" si="5"/>
        <v>1171</v>
      </c>
      <c r="M1172" s="85" t="s">
        <v>133</v>
      </c>
    </row>
    <row r="1173" ht="22.5" customHeight="1">
      <c r="A1173" s="131">
        <v>46203.0</v>
      </c>
      <c r="B1173" s="84" t="str">
        <f t="shared" si="1"/>
        <v>Jun 2026</v>
      </c>
      <c r="C1173" s="84">
        <f t="shared" si="2"/>
        <v>27</v>
      </c>
      <c r="D1173" s="85" t="s">
        <v>163</v>
      </c>
      <c r="E1173" s="85" t="s">
        <v>165</v>
      </c>
      <c r="F1173" s="86" t="s">
        <v>269</v>
      </c>
      <c r="G1173" s="86" t="s">
        <v>77</v>
      </c>
      <c r="H1173" s="88">
        <f t="shared" si="3"/>
        <v>1.1</v>
      </c>
      <c r="I1173" s="134">
        <v>1.0</v>
      </c>
      <c r="J1173" s="133"/>
      <c r="K1173" s="132">
        <f t="shared" si="4"/>
        <v>0.1</v>
      </c>
      <c r="L1173" s="84">
        <f t="shared" si="5"/>
        <v>1172</v>
      </c>
      <c r="M1173" s="85" t="s">
        <v>175</v>
      </c>
    </row>
    <row r="1174" ht="22.5" customHeight="1">
      <c r="A1174" s="131">
        <v>46203.0</v>
      </c>
      <c r="B1174" s="84" t="str">
        <f t="shared" si="1"/>
        <v>Jun 2026</v>
      </c>
      <c r="C1174" s="84">
        <f t="shared" si="2"/>
        <v>27</v>
      </c>
      <c r="D1174" s="85" t="s">
        <v>162</v>
      </c>
      <c r="E1174" s="85" t="s">
        <v>167</v>
      </c>
      <c r="F1174" s="86" t="s">
        <v>244</v>
      </c>
      <c r="G1174" s="86" t="s">
        <v>216</v>
      </c>
      <c r="H1174" s="88">
        <f t="shared" si="3"/>
        <v>1.1</v>
      </c>
      <c r="I1174" s="134">
        <v>1.0</v>
      </c>
      <c r="J1174" s="133"/>
      <c r="K1174" s="132">
        <f t="shared" si="4"/>
        <v>0.1</v>
      </c>
      <c r="L1174" s="84">
        <f t="shared" si="5"/>
        <v>1173</v>
      </c>
      <c r="M1174" s="85" t="s">
        <v>175</v>
      </c>
    </row>
    <row r="1175" ht="22.5" customHeight="1">
      <c r="A1175" s="131">
        <v>46203.0</v>
      </c>
      <c r="B1175" s="84" t="str">
        <f t="shared" si="1"/>
        <v>Jun 2026</v>
      </c>
      <c r="C1175" s="84">
        <f t="shared" si="2"/>
        <v>27</v>
      </c>
      <c r="D1175" s="85" t="s">
        <v>161</v>
      </c>
      <c r="E1175" s="85" t="s">
        <v>167</v>
      </c>
      <c r="F1175" s="86" t="s">
        <v>232</v>
      </c>
      <c r="G1175" s="87" t="s">
        <v>75</v>
      </c>
      <c r="H1175" s="88">
        <f t="shared" si="3"/>
        <v>0.11</v>
      </c>
      <c r="I1175" s="134">
        <v>0.1</v>
      </c>
      <c r="J1175" s="133"/>
      <c r="K1175" s="132">
        <f t="shared" si="4"/>
        <v>0.01</v>
      </c>
      <c r="L1175" s="84">
        <f t="shared" si="5"/>
        <v>1174</v>
      </c>
      <c r="M1175" s="85" t="s">
        <v>133</v>
      </c>
    </row>
    <row r="1176" ht="22.5" customHeight="1">
      <c r="A1176" s="131">
        <v>46203.0</v>
      </c>
      <c r="B1176" s="84" t="str">
        <f t="shared" si="1"/>
        <v>Jun 2026</v>
      </c>
      <c r="C1176" s="84">
        <f t="shared" si="2"/>
        <v>27</v>
      </c>
      <c r="D1176" s="85" t="s">
        <v>160</v>
      </c>
      <c r="E1176" s="85" t="s">
        <v>167</v>
      </c>
      <c r="F1176" s="86" t="s">
        <v>248</v>
      </c>
      <c r="G1176" s="87" t="s">
        <v>227</v>
      </c>
      <c r="H1176" s="88">
        <f t="shared" si="3"/>
        <v>1.1</v>
      </c>
      <c r="I1176" s="134">
        <v>1.0</v>
      </c>
      <c r="J1176" s="133"/>
      <c r="K1176" s="132">
        <f t="shared" si="4"/>
        <v>0.1</v>
      </c>
      <c r="L1176" s="84">
        <f t="shared" si="5"/>
        <v>1175</v>
      </c>
      <c r="M1176" s="85" t="s">
        <v>175</v>
      </c>
    </row>
    <row r="1177" ht="22.5" customHeight="1">
      <c r="A1177" s="131">
        <v>46203.0</v>
      </c>
      <c r="B1177" s="84" t="str">
        <f t="shared" si="1"/>
        <v>Jun 2026</v>
      </c>
      <c r="C1177" s="84">
        <f t="shared" si="2"/>
        <v>27</v>
      </c>
      <c r="D1177" s="85" t="s">
        <v>129</v>
      </c>
      <c r="E1177" s="85" t="s">
        <v>167</v>
      </c>
      <c r="F1177" s="86" t="s">
        <v>270</v>
      </c>
      <c r="G1177" s="86" t="s">
        <v>219</v>
      </c>
      <c r="H1177" s="88">
        <f t="shared" si="3"/>
        <v>0.7337</v>
      </c>
      <c r="I1177" s="134">
        <v>0.667</v>
      </c>
      <c r="J1177" s="133"/>
      <c r="K1177" s="132">
        <f t="shared" si="4"/>
        <v>0.0667</v>
      </c>
      <c r="L1177" s="84">
        <f t="shared" si="5"/>
        <v>1176</v>
      </c>
      <c r="M1177" s="85" t="s">
        <v>133</v>
      </c>
    </row>
    <row r="1178" ht="22.5" customHeight="1">
      <c r="A1178" s="131">
        <v>46203.0</v>
      </c>
      <c r="B1178" s="84" t="str">
        <f t="shared" si="1"/>
        <v>Jun 2026</v>
      </c>
      <c r="C1178" s="84">
        <f t="shared" si="2"/>
        <v>27</v>
      </c>
      <c r="D1178" s="85" t="s">
        <v>162</v>
      </c>
      <c r="E1178" s="85" t="s">
        <v>167</v>
      </c>
      <c r="F1178" s="86" t="s">
        <v>244</v>
      </c>
      <c r="G1178" s="87" t="s">
        <v>215</v>
      </c>
      <c r="H1178" s="88">
        <f t="shared" si="3"/>
        <v>1.1</v>
      </c>
      <c r="I1178" s="134">
        <v>1.0</v>
      </c>
      <c r="J1178" s="133"/>
      <c r="K1178" s="132">
        <f t="shared" si="4"/>
        <v>0.1</v>
      </c>
      <c r="L1178" s="84">
        <f t="shared" si="5"/>
        <v>1177</v>
      </c>
      <c r="M1178" s="85" t="s">
        <v>175</v>
      </c>
    </row>
    <row r="1179" ht="22.5" customHeight="1">
      <c r="A1179" s="131">
        <v>46203.0</v>
      </c>
      <c r="B1179" s="84" t="str">
        <f t="shared" si="1"/>
        <v>Jun 2026</v>
      </c>
      <c r="C1179" s="84">
        <f t="shared" si="2"/>
        <v>27</v>
      </c>
      <c r="D1179" s="85" t="s">
        <v>129</v>
      </c>
      <c r="E1179" s="85" t="s">
        <v>167</v>
      </c>
      <c r="F1179" s="86" t="s">
        <v>134</v>
      </c>
      <c r="G1179" s="86" t="s">
        <v>224</v>
      </c>
      <c r="H1179" s="88">
        <f t="shared" si="3"/>
        <v>0.7337</v>
      </c>
      <c r="I1179" s="134">
        <v>0.667</v>
      </c>
      <c r="J1179" s="133"/>
      <c r="K1179" s="132">
        <f t="shared" si="4"/>
        <v>0.0667</v>
      </c>
      <c r="L1179" s="84">
        <f t="shared" si="5"/>
        <v>1178</v>
      </c>
      <c r="M1179" s="85" t="s">
        <v>133</v>
      </c>
    </row>
    <row r="1180" ht="22.5" customHeight="1">
      <c r="A1180" s="131">
        <v>46203.0</v>
      </c>
      <c r="B1180" s="84" t="str">
        <f t="shared" si="1"/>
        <v>Jun 2026</v>
      </c>
      <c r="C1180" s="84">
        <f t="shared" si="2"/>
        <v>27</v>
      </c>
      <c r="D1180" s="85" t="s">
        <v>129</v>
      </c>
      <c r="E1180" s="85" t="s">
        <v>167</v>
      </c>
      <c r="F1180" s="86" t="s">
        <v>262</v>
      </c>
      <c r="G1180" s="86" t="s">
        <v>223</v>
      </c>
      <c r="H1180" s="88">
        <f t="shared" si="3"/>
        <v>0.7337</v>
      </c>
      <c r="I1180" s="134">
        <v>0.667</v>
      </c>
      <c r="J1180" s="133"/>
      <c r="K1180" s="132">
        <f t="shared" si="4"/>
        <v>0.0667</v>
      </c>
      <c r="L1180" s="84">
        <f t="shared" si="5"/>
        <v>1179</v>
      </c>
      <c r="M1180" s="85" t="s">
        <v>133</v>
      </c>
    </row>
    <row r="1181" ht="22.5" customHeight="1">
      <c r="A1181" s="131">
        <v>46203.0</v>
      </c>
      <c r="B1181" s="84" t="str">
        <f t="shared" si="1"/>
        <v>Jun 2026</v>
      </c>
      <c r="C1181" s="84">
        <f t="shared" si="2"/>
        <v>27</v>
      </c>
      <c r="D1181" s="85" t="s">
        <v>129</v>
      </c>
      <c r="E1181" s="85" t="s">
        <v>167</v>
      </c>
      <c r="F1181" s="86" t="s">
        <v>268</v>
      </c>
      <c r="G1181" s="86" t="s">
        <v>222</v>
      </c>
      <c r="H1181" s="88">
        <f t="shared" si="3"/>
        <v>0.7337</v>
      </c>
      <c r="I1181" s="134">
        <v>0.667</v>
      </c>
      <c r="J1181" s="133"/>
      <c r="K1181" s="132">
        <f t="shared" si="4"/>
        <v>0.0667</v>
      </c>
      <c r="L1181" s="84">
        <f t="shared" si="5"/>
        <v>1180</v>
      </c>
      <c r="M1181" s="85" t="s">
        <v>133</v>
      </c>
    </row>
    <row r="1182" ht="22.5" customHeight="1">
      <c r="A1182" s="131">
        <v>46203.0</v>
      </c>
      <c r="B1182" s="84" t="str">
        <f t="shared" si="1"/>
        <v>Jun 2026</v>
      </c>
      <c r="C1182" s="84">
        <f t="shared" si="2"/>
        <v>27</v>
      </c>
      <c r="D1182" s="85" t="s">
        <v>129</v>
      </c>
      <c r="E1182" s="85" t="s">
        <v>167</v>
      </c>
      <c r="F1182" s="86" t="s">
        <v>249</v>
      </c>
      <c r="G1182" s="86" t="s">
        <v>220</v>
      </c>
      <c r="H1182" s="88">
        <f t="shared" si="3"/>
        <v>0.7337</v>
      </c>
      <c r="I1182" s="134">
        <v>0.667</v>
      </c>
      <c r="J1182" s="133"/>
      <c r="K1182" s="132">
        <f t="shared" si="4"/>
        <v>0.0667</v>
      </c>
      <c r="L1182" s="84">
        <f t="shared" si="5"/>
        <v>1181</v>
      </c>
      <c r="M1182" s="85" t="s">
        <v>133</v>
      </c>
    </row>
    <row r="1183" ht="22.5" customHeight="1">
      <c r="A1183" s="131">
        <v>46203.0</v>
      </c>
      <c r="B1183" s="84" t="str">
        <f t="shared" si="1"/>
        <v>Jun 2026</v>
      </c>
      <c r="C1183" s="84">
        <f t="shared" si="2"/>
        <v>27</v>
      </c>
      <c r="D1183" s="85" t="s">
        <v>163</v>
      </c>
      <c r="E1183" s="85" t="s">
        <v>167</v>
      </c>
      <c r="F1183" s="86" t="s">
        <v>269</v>
      </c>
      <c r="G1183" s="86" t="s">
        <v>77</v>
      </c>
      <c r="H1183" s="88">
        <f t="shared" si="3"/>
        <v>1.1</v>
      </c>
      <c r="I1183" s="134">
        <v>1.0</v>
      </c>
      <c r="J1183" s="133"/>
      <c r="K1183" s="132">
        <f t="shared" si="4"/>
        <v>0.1</v>
      </c>
      <c r="L1183" s="84">
        <f t="shared" si="5"/>
        <v>1182</v>
      </c>
      <c r="M1183" s="85" t="s">
        <v>175</v>
      </c>
    </row>
    <row r="1184" ht="22.5" customHeight="1">
      <c r="A1184" s="131">
        <v>46203.0</v>
      </c>
      <c r="B1184" s="84" t="str">
        <f t="shared" si="1"/>
        <v>Jun 2026</v>
      </c>
      <c r="C1184" s="84">
        <f t="shared" si="2"/>
        <v>27</v>
      </c>
      <c r="D1184" s="85" t="s">
        <v>129</v>
      </c>
      <c r="E1184" s="85" t="s">
        <v>130</v>
      </c>
      <c r="F1184" s="86" t="s">
        <v>268</v>
      </c>
      <c r="G1184" s="86" t="s">
        <v>222</v>
      </c>
      <c r="H1184" s="88">
        <f t="shared" si="3"/>
        <v>0.7337</v>
      </c>
      <c r="I1184" s="134">
        <v>0.667</v>
      </c>
      <c r="J1184" s="133"/>
      <c r="K1184" s="132">
        <f t="shared" si="4"/>
        <v>0.0667</v>
      </c>
      <c r="L1184" s="84">
        <f t="shared" si="5"/>
        <v>1183</v>
      </c>
      <c r="M1184" s="85" t="s">
        <v>133</v>
      </c>
    </row>
    <row r="1185" ht="22.5" customHeight="1">
      <c r="A1185" s="131">
        <v>46203.0</v>
      </c>
      <c r="B1185" s="84" t="str">
        <f t="shared" si="1"/>
        <v>Jun 2026</v>
      </c>
      <c r="C1185" s="84">
        <f t="shared" si="2"/>
        <v>27</v>
      </c>
      <c r="D1185" s="85" t="s">
        <v>162</v>
      </c>
      <c r="E1185" s="85" t="s">
        <v>130</v>
      </c>
      <c r="F1185" s="86" t="s">
        <v>244</v>
      </c>
      <c r="G1185" s="87" t="s">
        <v>215</v>
      </c>
      <c r="H1185" s="88">
        <f t="shared" si="3"/>
        <v>1.1</v>
      </c>
      <c r="I1185" s="134">
        <v>1.0</v>
      </c>
      <c r="J1185" s="133"/>
      <c r="K1185" s="132">
        <f t="shared" si="4"/>
        <v>0.1</v>
      </c>
      <c r="L1185" s="84">
        <f t="shared" si="5"/>
        <v>1184</v>
      </c>
      <c r="M1185" s="85" t="s">
        <v>175</v>
      </c>
    </row>
    <row r="1186" ht="22.5" customHeight="1">
      <c r="A1186" s="131">
        <v>46203.0</v>
      </c>
      <c r="B1186" s="84" t="str">
        <f t="shared" si="1"/>
        <v>Jun 2026</v>
      </c>
      <c r="C1186" s="84">
        <f t="shared" si="2"/>
        <v>27</v>
      </c>
      <c r="D1186" s="85" t="s">
        <v>129</v>
      </c>
      <c r="E1186" s="85" t="s">
        <v>130</v>
      </c>
      <c r="F1186" s="86" t="s">
        <v>134</v>
      </c>
      <c r="G1186" s="86" t="s">
        <v>224</v>
      </c>
      <c r="H1186" s="88">
        <f t="shared" si="3"/>
        <v>0.7337</v>
      </c>
      <c r="I1186" s="134">
        <v>0.667</v>
      </c>
      <c r="J1186" s="133"/>
      <c r="K1186" s="132">
        <f t="shared" si="4"/>
        <v>0.0667</v>
      </c>
      <c r="L1186" s="84">
        <f t="shared" si="5"/>
        <v>1185</v>
      </c>
      <c r="M1186" s="85" t="s">
        <v>133</v>
      </c>
    </row>
    <row r="1187" ht="22.5" customHeight="1">
      <c r="A1187" s="131">
        <v>46203.0</v>
      </c>
      <c r="B1187" s="84" t="str">
        <f t="shared" si="1"/>
        <v>Jun 2026</v>
      </c>
      <c r="C1187" s="84">
        <f t="shared" si="2"/>
        <v>27</v>
      </c>
      <c r="D1187" s="85" t="s">
        <v>129</v>
      </c>
      <c r="E1187" s="85" t="s">
        <v>130</v>
      </c>
      <c r="F1187" s="86" t="s">
        <v>270</v>
      </c>
      <c r="G1187" s="86" t="s">
        <v>219</v>
      </c>
      <c r="H1187" s="88">
        <f t="shared" si="3"/>
        <v>0.7337</v>
      </c>
      <c r="I1187" s="134">
        <v>0.667</v>
      </c>
      <c r="J1187" s="133"/>
      <c r="K1187" s="132">
        <f t="shared" si="4"/>
        <v>0.0667</v>
      </c>
      <c r="L1187" s="84">
        <f t="shared" si="5"/>
        <v>1186</v>
      </c>
      <c r="M1187" s="85" t="s">
        <v>133</v>
      </c>
    </row>
    <row r="1188" ht="22.5" customHeight="1">
      <c r="A1188" s="131">
        <v>46203.0</v>
      </c>
      <c r="B1188" s="84" t="str">
        <f t="shared" si="1"/>
        <v>Jun 2026</v>
      </c>
      <c r="C1188" s="84">
        <f t="shared" si="2"/>
        <v>27</v>
      </c>
      <c r="D1188" s="85" t="s">
        <v>160</v>
      </c>
      <c r="E1188" s="85" t="s">
        <v>130</v>
      </c>
      <c r="F1188" s="86" t="s">
        <v>251</v>
      </c>
      <c r="G1188" s="87" t="s">
        <v>218</v>
      </c>
      <c r="H1188" s="88">
        <f t="shared" si="3"/>
        <v>1.1</v>
      </c>
      <c r="I1188" s="134">
        <v>1.0</v>
      </c>
      <c r="J1188" s="133"/>
      <c r="K1188" s="132">
        <f t="shared" si="4"/>
        <v>0.1</v>
      </c>
      <c r="L1188" s="84">
        <f t="shared" si="5"/>
        <v>1187</v>
      </c>
      <c r="M1188" s="85" t="s">
        <v>175</v>
      </c>
    </row>
    <row r="1189" ht="22.5" customHeight="1">
      <c r="A1189" s="131">
        <v>46203.0</v>
      </c>
      <c r="B1189" s="84" t="str">
        <f t="shared" si="1"/>
        <v>Jun 2026</v>
      </c>
      <c r="C1189" s="84">
        <f t="shared" si="2"/>
        <v>27</v>
      </c>
      <c r="D1189" s="85" t="s">
        <v>129</v>
      </c>
      <c r="E1189" s="85" t="s">
        <v>130</v>
      </c>
      <c r="F1189" s="86" t="s">
        <v>262</v>
      </c>
      <c r="G1189" s="86" t="s">
        <v>223</v>
      </c>
      <c r="H1189" s="88">
        <f t="shared" si="3"/>
        <v>0.7337</v>
      </c>
      <c r="I1189" s="134">
        <v>0.667</v>
      </c>
      <c r="J1189" s="133"/>
      <c r="K1189" s="132">
        <f t="shared" si="4"/>
        <v>0.0667</v>
      </c>
      <c r="L1189" s="84">
        <f t="shared" si="5"/>
        <v>1188</v>
      </c>
      <c r="M1189" s="85" t="s">
        <v>133</v>
      </c>
    </row>
    <row r="1190" ht="22.5" customHeight="1">
      <c r="A1190" s="131">
        <v>46203.0</v>
      </c>
      <c r="B1190" s="84" t="str">
        <f t="shared" si="1"/>
        <v>Jun 2026</v>
      </c>
      <c r="C1190" s="84">
        <f t="shared" si="2"/>
        <v>27</v>
      </c>
      <c r="D1190" s="85" t="s">
        <v>160</v>
      </c>
      <c r="E1190" s="85" t="s">
        <v>130</v>
      </c>
      <c r="F1190" s="86" t="s">
        <v>248</v>
      </c>
      <c r="G1190" s="87" t="s">
        <v>227</v>
      </c>
      <c r="H1190" s="88">
        <f t="shared" si="3"/>
        <v>1.1</v>
      </c>
      <c r="I1190" s="134">
        <v>1.0</v>
      </c>
      <c r="J1190" s="133"/>
      <c r="K1190" s="132">
        <f t="shared" si="4"/>
        <v>0.1</v>
      </c>
      <c r="L1190" s="84">
        <f t="shared" si="5"/>
        <v>1189</v>
      </c>
      <c r="M1190" s="85" t="s">
        <v>175</v>
      </c>
    </row>
    <row r="1191" ht="22.5" customHeight="1">
      <c r="A1191" s="131">
        <v>46203.0</v>
      </c>
      <c r="B1191" s="84" t="str">
        <f t="shared" si="1"/>
        <v>Jun 2026</v>
      </c>
      <c r="C1191" s="84">
        <f t="shared" si="2"/>
        <v>27</v>
      </c>
      <c r="D1191" s="85" t="s">
        <v>129</v>
      </c>
      <c r="E1191" s="85" t="s">
        <v>130</v>
      </c>
      <c r="F1191" s="86" t="s">
        <v>249</v>
      </c>
      <c r="G1191" s="86" t="s">
        <v>220</v>
      </c>
      <c r="H1191" s="88">
        <f t="shared" si="3"/>
        <v>0.7337</v>
      </c>
      <c r="I1191" s="134">
        <v>0.667</v>
      </c>
      <c r="J1191" s="133"/>
      <c r="K1191" s="132">
        <f t="shared" si="4"/>
        <v>0.0667</v>
      </c>
      <c r="L1191" s="84">
        <f t="shared" si="5"/>
        <v>1190</v>
      </c>
      <c r="M1191" s="85" t="s">
        <v>133</v>
      </c>
    </row>
    <row r="1192" ht="22.5" customHeight="1">
      <c r="A1192" s="131">
        <v>46203.0</v>
      </c>
      <c r="B1192" s="84" t="str">
        <f t="shared" si="1"/>
        <v>Jun 2026</v>
      </c>
      <c r="C1192" s="84">
        <f t="shared" si="2"/>
        <v>27</v>
      </c>
      <c r="D1192" s="85" t="s">
        <v>161</v>
      </c>
      <c r="E1192" s="85" t="s">
        <v>130</v>
      </c>
      <c r="F1192" s="86" t="s">
        <v>232</v>
      </c>
      <c r="G1192" s="87" t="s">
        <v>75</v>
      </c>
      <c r="H1192" s="88">
        <f t="shared" si="3"/>
        <v>0.11</v>
      </c>
      <c r="I1192" s="134">
        <v>0.1</v>
      </c>
      <c r="J1192" s="133"/>
      <c r="K1192" s="132">
        <f t="shared" si="4"/>
        <v>0.01</v>
      </c>
      <c r="L1192" s="84">
        <f t="shared" si="5"/>
        <v>1191</v>
      </c>
      <c r="M1192" s="85" t="s">
        <v>133</v>
      </c>
    </row>
    <row r="1193" ht="22.5" customHeight="1">
      <c r="A1193" s="131">
        <v>46203.0</v>
      </c>
      <c r="B1193" s="84" t="str">
        <f t="shared" si="1"/>
        <v>Jun 2026</v>
      </c>
      <c r="C1193" s="84">
        <f t="shared" si="2"/>
        <v>27</v>
      </c>
      <c r="D1193" s="85" t="s">
        <v>163</v>
      </c>
      <c r="E1193" s="85" t="s">
        <v>130</v>
      </c>
      <c r="F1193" s="86" t="s">
        <v>269</v>
      </c>
      <c r="G1193" s="86" t="s">
        <v>77</v>
      </c>
      <c r="H1193" s="88">
        <f t="shared" si="3"/>
        <v>1.1</v>
      </c>
      <c r="I1193" s="134">
        <v>1.0</v>
      </c>
      <c r="J1193" s="133"/>
      <c r="K1193" s="132">
        <f t="shared" si="4"/>
        <v>0.1</v>
      </c>
      <c r="L1193" s="84">
        <f t="shared" si="5"/>
        <v>1192</v>
      </c>
      <c r="M1193" s="85" t="s">
        <v>175</v>
      </c>
    </row>
    <row r="1194" ht="22.5" customHeight="1">
      <c r="A1194" s="131">
        <v>46204.0</v>
      </c>
      <c r="B1194" s="84" t="str">
        <f t="shared" si="1"/>
        <v>Jul 2026</v>
      </c>
      <c r="C1194" s="84">
        <f t="shared" si="2"/>
        <v>27</v>
      </c>
      <c r="D1194" s="85" t="s">
        <v>129</v>
      </c>
      <c r="E1194" s="85" t="s">
        <v>164</v>
      </c>
      <c r="F1194" s="86" t="s">
        <v>270</v>
      </c>
      <c r="G1194" s="86" t="s">
        <v>219</v>
      </c>
      <c r="H1194" s="88">
        <f t="shared" si="3"/>
        <v>0.7337</v>
      </c>
      <c r="I1194" s="134">
        <v>0.667</v>
      </c>
      <c r="J1194" s="133"/>
      <c r="K1194" s="132">
        <f t="shared" si="4"/>
        <v>0.0667</v>
      </c>
      <c r="L1194" s="84">
        <f t="shared" si="5"/>
        <v>1193</v>
      </c>
      <c r="M1194" s="85" t="s">
        <v>133</v>
      </c>
    </row>
    <row r="1195" ht="22.5" customHeight="1">
      <c r="A1195" s="131">
        <v>46204.0</v>
      </c>
      <c r="B1195" s="84" t="str">
        <f t="shared" si="1"/>
        <v>Jul 2026</v>
      </c>
      <c r="C1195" s="84">
        <f t="shared" si="2"/>
        <v>27</v>
      </c>
      <c r="D1195" s="85" t="s">
        <v>162</v>
      </c>
      <c r="E1195" s="85" t="s">
        <v>164</v>
      </c>
      <c r="F1195" s="86" t="s">
        <v>244</v>
      </c>
      <c r="G1195" s="86" t="s">
        <v>216</v>
      </c>
      <c r="H1195" s="88">
        <f t="shared" si="3"/>
        <v>1.1</v>
      </c>
      <c r="I1195" s="134">
        <v>1.0</v>
      </c>
      <c r="J1195" s="133"/>
      <c r="K1195" s="132">
        <f t="shared" si="4"/>
        <v>0.1</v>
      </c>
      <c r="L1195" s="84">
        <f t="shared" si="5"/>
        <v>1194</v>
      </c>
      <c r="M1195" s="85" t="s">
        <v>175</v>
      </c>
    </row>
    <row r="1196" ht="22.5" customHeight="1">
      <c r="A1196" s="131">
        <v>46204.0</v>
      </c>
      <c r="B1196" s="84" t="str">
        <f t="shared" si="1"/>
        <v>Jul 2026</v>
      </c>
      <c r="C1196" s="84">
        <f t="shared" si="2"/>
        <v>27</v>
      </c>
      <c r="D1196" s="85" t="s">
        <v>160</v>
      </c>
      <c r="E1196" s="85" t="s">
        <v>164</v>
      </c>
      <c r="F1196" s="86" t="s">
        <v>251</v>
      </c>
      <c r="G1196" s="87" t="s">
        <v>218</v>
      </c>
      <c r="H1196" s="88">
        <f t="shared" si="3"/>
        <v>1.1</v>
      </c>
      <c r="I1196" s="134">
        <v>1.0</v>
      </c>
      <c r="J1196" s="133"/>
      <c r="K1196" s="132">
        <f t="shared" si="4"/>
        <v>0.1</v>
      </c>
      <c r="L1196" s="84">
        <f t="shared" si="5"/>
        <v>1195</v>
      </c>
      <c r="M1196" s="85" t="s">
        <v>175</v>
      </c>
    </row>
    <row r="1197" ht="22.5" customHeight="1">
      <c r="A1197" s="131">
        <v>46204.0</v>
      </c>
      <c r="B1197" s="84" t="str">
        <f t="shared" si="1"/>
        <v>Jul 2026</v>
      </c>
      <c r="C1197" s="84">
        <f t="shared" si="2"/>
        <v>27</v>
      </c>
      <c r="D1197" s="85" t="s">
        <v>129</v>
      </c>
      <c r="E1197" s="85" t="s">
        <v>164</v>
      </c>
      <c r="F1197" s="86" t="s">
        <v>268</v>
      </c>
      <c r="G1197" s="86" t="s">
        <v>222</v>
      </c>
      <c r="H1197" s="88">
        <f t="shared" si="3"/>
        <v>0.7337</v>
      </c>
      <c r="I1197" s="134">
        <v>0.667</v>
      </c>
      <c r="J1197" s="133"/>
      <c r="K1197" s="132">
        <f t="shared" si="4"/>
        <v>0.0667</v>
      </c>
      <c r="L1197" s="84">
        <f t="shared" si="5"/>
        <v>1196</v>
      </c>
      <c r="M1197" s="85" t="s">
        <v>133</v>
      </c>
    </row>
    <row r="1198" ht="22.5" customHeight="1">
      <c r="A1198" s="131">
        <v>46204.0</v>
      </c>
      <c r="B1198" s="84" t="str">
        <f t="shared" si="1"/>
        <v>Jul 2026</v>
      </c>
      <c r="C1198" s="84">
        <f t="shared" si="2"/>
        <v>27</v>
      </c>
      <c r="D1198" s="85" t="s">
        <v>160</v>
      </c>
      <c r="E1198" s="85" t="s">
        <v>164</v>
      </c>
      <c r="F1198" s="86" t="s">
        <v>248</v>
      </c>
      <c r="G1198" s="87" t="s">
        <v>227</v>
      </c>
      <c r="H1198" s="88">
        <f t="shared" si="3"/>
        <v>1.1</v>
      </c>
      <c r="I1198" s="134">
        <v>1.0</v>
      </c>
      <c r="J1198" s="133"/>
      <c r="K1198" s="132">
        <f t="shared" si="4"/>
        <v>0.1</v>
      </c>
      <c r="L1198" s="84">
        <f t="shared" si="5"/>
        <v>1197</v>
      </c>
      <c r="M1198" s="85" t="s">
        <v>175</v>
      </c>
    </row>
    <row r="1199" ht="22.5" customHeight="1">
      <c r="A1199" s="131">
        <v>46204.0</v>
      </c>
      <c r="B1199" s="84" t="str">
        <f t="shared" si="1"/>
        <v>Jul 2026</v>
      </c>
      <c r="C1199" s="84">
        <f t="shared" si="2"/>
        <v>27</v>
      </c>
      <c r="D1199" s="85" t="s">
        <v>129</v>
      </c>
      <c r="E1199" s="85" t="s">
        <v>164</v>
      </c>
      <c r="F1199" s="86" t="s">
        <v>134</v>
      </c>
      <c r="G1199" s="86" t="s">
        <v>224</v>
      </c>
      <c r="H1199" s="88">
        <f t="shared" si="3"/>
        <v>0.7337</v>
      </c>
      <c r="I1199" s="134">
        <v>0.667</v>
      </c>
      <c r="J1199" s="133"/>
      <c r="K1199" s="132">
        <f t="shared" si="4"/>
        <v>0.0667</v>
      </c>
      <c r="L1199" s="84">
        <f t="shared" si="5"/>
        <v>1198</v>
      </c>
      <c r="M1199" s="85" t="s">
        <v>133</v>
      </c>
    </row>
    <row r="1200" ht="22.5" customHeight="1">
      <c r="A1200" s="131">
        <v>46204.0</v>
      </c>
      <c r="B1200" s="84" t="str">
        <f t="shared" si="1"/>
        <v>Jul 2026</v>
      </c>
      <c r="C1200" s="84">
        <f t="shared" si="2"/>
        <v>27</v>
      </c>
      <c r="D1200" s="85" t="s">
        <v>163</v>
      </c>
      <c r="E1200" s="85" t="s">
        <v>164</v>
      </c>
      <c r="F1200" s="86" t="s">
        <v>269</v>
      </c>
      <c r="G1200" s="86" t="s">
        <v>77</v>
      </c>
      <c r="H1200" s="88">
        <f t="shared" si="3"/>
        <v>1.1</v>
      </c>
      <c r="I1200" s="134">
        <v>1.0</v>
      </c>
      <c r="J1200" s="133"/>
      <c r="K1200" s="132">
        <f t="shared" si="4"/>
        <v>0.1</v>
      </c>
      <c r="L1200" s="84">
        <f t="shared" si="5"/>
        <v>1199</v>
      </c>
      <c r="M1200" s="85" t="s">
        <v>175</v>
      </c>
    </row>
    <row r="1201" ht="22.5" customHeight="1">
      <c r="A1201" s="131">
        <v>46204.0</v>
      </c>
      <c r="B1201" s="84" t="str">
        <f t="shared" si="1"/>
        <v>Jul 2026</v>
      </c>
      <c r="C1201" s="84">
        <f t="shared" si="2"/>
        <v>27</v>
      </c>
      <c r="D1201" s="85" t="s">
        <v>129</v>
      </c>
      <c r="E1201" s="85" t="s">
        <v>164</v>
      </c>
      <c r="F1201" s="86" t="s">
        <v>262</v>
      </c>
      <c r="G1201" s="86" t="s">
        <v>223</v>
      </c>
      <c r="H1201" s="88">
        <f t="shared" si="3"/>
        <v>0.7337</v>
      </c>
      <c r="I1201" s="134">
        <v>0.667</v>
      </c>
      <c r="J1201" s="133"/>
      <c r="K1201" s="132">
        <f t="shared" si="4"/>
        <v>0.0667</v>
      </c>
      <c r="L1201" s="84">
        <f t="shared" si="5"/>
        <v>1200</v>
      </c>
      <c r="M1201" s="85" t="s">
        <v>133</v>
      </c>
    </row>
    <row r="1202" ht="22.5" customHeight="1">
      <c r="A1202" s="131">
        <v>46204.0</v>
      </c>
      <c r="B1202" s="84" t="str">
        <f t="shared" si="1"/>
        <v>Jul 2026</v>
      </c>
      <c r="C1202" s="84">
        <f t="shared" si="2"/>
        <v>27</v>
      </c>
      <c r="D1202" s="85" t="s">
        <v>161</v>
      </c>
      <c r="E1202" s="85" t="s">
        <v>164</v>
      </c>
      <c r="F1202" s="86" t="s">
        <v>232</v>
      </c>
      <c r="G1202" s="87" t="s">
        <v>75</v>
      </c>
      <c r="H1202" s="88">
        <f t="shared" si="3"/>
        <v>0.11</v>
      </c>
      <c r="I1202" s="134">
        <v>0.1</v>
      </c>
      <c r="J1202" s="133"/>
      <c r="K1202" s="132">
        <f t="shared" si="4"/>
        <v>0.01</v>
      </c>
      <c r="L1202" s="84">
        <f t="shared" si="5"/>
        <v>1201</v>
      </c>
      <c r="M1202" s="85" t="s">
        <v>133</v>
      </c>
    </row>
    <row r="1203" ht="22.5" customHeight="1">
      <c r="A1203" s="131">
        <v>46204.0</v>
      </c>
      <c r="B1203" s="84" t="str">
        <f t="shared" si="1"/>
        <v>Jul 2026</v>
      </c>
      <c r="C1203" s="84">
        <f t="shared" si="2"/>
        <v>27</v>
      </c>
      <c r="D1203" s="85" t="s">
        <v>129</v>
      </c>
      <c r="E1203" s="85" t="s">
        <v>164</v>
      </c>
      <c r="F1203" s="86" t="s">
        <v>249</v>
      </c>
      <c r="G1203" s="86" t="s">
        <v>220</v>
      </c>
      <c r="H1203" s="88">
        <f t="shared" si="3"/>
        <v>0.7337</v>
      </c>
      <c r="I1203" s="134">
        <v>0.667</v>
      </c>
      <c r="J1203" s="133"/>
      <c r="K1203" s="132">
        <f t="shared" si="4"/>
        <v>0.0667</v>
      </c>
      <c r="L1203" s="84">
        <f t="shared" si="5"/>
        <v>1202</v>
      </c>
      <c r="M1203" s="85" t="s">
        <v>133</v>
      </c>
    </row>
    <row r="1204" ht="22.5" customHeight="1">
      <c r="A1204" s="131">
        <v>46204.0</v>
      </c>
      <c r="B1204" s="84" t="str">
        <f t="shared" si="1"/>
        <v>Jul 2026</v>
      </c>
      <c r="C1204" s="84">
        <f t="shared" si="2"/>
        <v>27</v>
      </c>
      <c r="D1204" s="85" t="s">
        <v>129</v>
      </c>
      <c r="E1204" s="85" t="s">
        <v>165</v>
      </c>
      <c r="F1204" s="86" t="s">
        <v>270</v>
      </c>
      <c r="G1204" s="86" t="s">
        <v>219</v>
      </c>
      <c r="H1204" s="88">
        <f t="shared" si="3"/>
        <v>0.7337</v>
      </c>
      <c r="I1204" s="134">
        <v>0.667</v>
      </c>
      <c r="J1204" s="133"/>
      <c r="K1204" s="132">
        <f t="shared" si="4"/>
        <v>0.0667</v>
      </c>
      <c r="L1204" s="84">
        <f t="shared" si="5"/>
        <v>1203</v>
      </c>
      <c r="M1204" s="85" t="s">
        <v>133</v>
      </c>
    </row>
    <row r="1205" ht="22.5" customHeight="1">
      <c r="A1205" s="131">
        <v>46204.0</v>
      </c>
      <c r="B1205" s="84" t="str">
        <f t="shared" si="1"/>
        <v>Jul 2026</v>
      </c>
      <c r="C1205" s="84">
        <f t="shared" si="2"/>
        <v>27</v>
      </c>
      <c r="D1205" s="85" t="s">
        <v>129</v>
      </c>
      <c r="E1205" s="85" t="s">
        <v>165</v>
      </c>
      <c r="F1205" s="86" t="s">
        <v>268</v>
      </c>
      <c r="G1205" s="86" t="s">
        <v>222</v>
      </c>
      <c r="H1205" s="88">
        <f t="shared" si="3"/>
        <v>0.7337</v>
      </c>
      <c r="I1205" s="134">
        <v>0.667</v>
      </c>
      <c r="J1205" s="133"/>
      <c r="K1205" s="132">
        <f t="shared" si="4"/>
        <v>0.0667</v>
      </c>
      <c r="L1205" s="84">
        <f t="shared" si="5"/>
        <v>1204</v>
      </c>
      <c r="M1205" s="85" t="s">
        <v>133</v>
      </c>
    </row>
    <row r="1206" ht="22.5" customHeight="1">
      <c r="A1206" s="131">
        <v>46204.0</v>
      </c>
      <c r="B1206" s="84" t="str">
        <f t="shared" si="1"/>
        <v>Jul 2026</v>
      </c>
      <c r="C1206" s="84">
        <f t="shared" si="2"/>
        <v>27</v>
      </c>
      <c r="D1206" s="85" t="s">
        <v>162</v>
      </c>
      <c r="E1206" s="85" t="s">
        <v>165</v>
      </c>
      <c r="F1206" s="86" t="s">
        <v>244</v>
      </c>
      <c r="G1206" s="86" t="s">
        <v>216</v>
      </c>
      <c r="H1206" s="88">
        <f t="shared" si="3"/>
        <v>1.1</v>
      </c>
      <c r="I1206" s="134">
        <v>1.0</v>
      </c>
      <c r="J1206" s="133"/>
      <c r="K1206" s="132">
        <f t="shared" si="4"/>
        <v>0.1</v>
      </c>
      <c r="L1206" s="84">
        <f t="shared" si="5"/>
        <v>1205</v>
      </c>
      <c r="M1206" s="85" t="s">
        <v>175</v>
      </c>
    </row>
    <row r="1207" ht="22.5" customHeight="1">
      <c r="A1207" s="131">
        <v>46204.0</v>
      </c>
      <c r="B1207" s="84" t="str">
        <f t="shared" si="1"/>
        <v>Jul 2026</v>
      </c>
      <c r="C1207" s="84">
        <f t="shared" si="2"/>
        <v>27</v>
      </c>
      <c r="D1207" s="85" t="s">
        <v>160</v>
      </c>
      <c r="E1207" s="85" t="s">
        <v>165</v>
      </c>
      <c r="F1207" s="86" t="s">
        <v>251</v>
      </c>
      <c r="G1207" s="87" t="s">
        <v>218</v>
      </c>
      <c r="H1207" s="88">
        <f t="shared" si="3"/>
        <v>1.1</v>
      </c>
      <c r="I1207" s="134">
        <v>1.0</v>
      </c>
      <c r="J1207" s="133"/>
      <c r="K1207" s="132">
        <f t="shared" si="4"/>
        <v>0.1</v>
      </c>
      <c r="L1207" s="84">
        <f t="shared" si="5"/>
        <v>1206</v>
      </c>
      <c r="M1207" s="85" t="s">
        <v>175</v>
      </c>
    </row>
    <row r="1208" ht="22.5" customHeight="1">
      <c r="A1208" s="131">
        <v>46204.0</v>
      </c>
      <c r="B1208" s="84" t="str">
        <f t="shared" si="1"/>
        <v>Jul 2026</v>
      </c>
      <c r="C1208" s="84">
        <f t="shared" si="2"/>
        <v>27</v>
      </c>
      <c r="D1208" s="85" t="s">
        <v>129</v>
      </c>
      <c r="E1208" s="85" t="s">
        <v>165</v>
      </c>
      <c r="F1208" s="86" t="s">
        <v>134</v>
      </c>
      <c r="G1208" s="86" t="s">
        <v>224</v>
      </c>
      <c r="H1208" s="88">
        <f t="shared" si="3"/>
        <v>0.7337</v>
      </c>
      <c r="I1208" s="134">
        <v>0.667</v>
      </c>
      <c r="J1208" s="133"/>
      <c r="K1208" s="132">
        <f t="shared" si="4"/>
        <v>0.0667</v>
      </c>
      <c r="L1208" s="84">
        <f t="shared" si="5"/>
        <v>1207</v>
      </c>
      <c r="M1208" s="85" t="s">
        <v>133</v>
      </c>
    </row>
    <row r="1209" ht="22.5" customHeight="1">
      <c r="A1209" s="131">
        <v>46204.0</v>
      </c>
      <c r="B1209" s="84" t="str">
        <f t="shared" si="1"/>
        <v>Jul 2026</v>
      </c>
      <c r="C1209" s="84">
        <f t="shared" si="2"/>
        <v>27</v>
      </c>
      <c r="D1209" s="85" t="s">
        <v>129</v>
      </c>
      <c r="E1209" s="85" t="s">
        <v>165</v>
      </c>
      <c r="F1209" s="86" t="s">
        <v>249</v>
      </c>
      <c r="G1209" s="86" t="s">
        <v>220</v>
      </c>
      <c r="H1209" s="88">
        <f t="shared" si="3"/>
        <v>0.7337</v>
      </c>
      <c r="I1209" s="134">
        <v>0.667</v>
      </c>
      <c r="J1209" s="133"/>
      <c r="K1209" s="132">
        <f t="shared" si="4"/>
        <v>0.0667</v>
      </c>
      <c r="L1209" s="84">
        <f t="shared" si="5"/>
        <v>1208</v>
      </c>
      <c r="M1209" s="85" t="s">
        <v>133</v>
      </c>
    </row>
    <row r="1210" ht="22.5" customHeight="1">
      <c r="A1210" s="131">
        <v>46204.0</v>
      </c>
      <c r="B1210" s="84" t="str">
        <f t="shared" si="1"/>
        <v>Jul 2026</v>
      </c>
      <c r="C1210" s="84">
        <f t="shared" si="2"/>
        <v>27</v>
      </c>
      <c r="D1210" s="85" t="s">
        <v>161</v>
      </c>
      <c r="E1210" s="85" t="s">
        <v>165</v>
      </c>
      <c r="F1210" s="86" t="s">
        <v>232</v>
      </c>
      <c r="G1210" s="87" t="s">
        <v>75</v>
      </c>
      <c r="H1210" s="88">
        <f t="shared" si="3"/>
        <v>0.11</v>
      </c>
      <c r="I1210" s="134">
        <v>0.1</v>
      </c>
      <c r="J1210" s="133"/>
      <c r="K1210" s="132">
        <f t="shared" si="4"/>
        <v>0.01</v>
      </c>
      <c r="L1210" s="84">
        <f t="shared" si="5"/>
        <v>1209</v>
      </c>
      <c r="M1210" s="85" t="s">
        <v>133</v>
      </c>
    </row>
    <row r="1211" ht="22.5" customHeight="1">
      <c r="A1211" s="131">
        <v>46204.0</v>
      </c>
      <c r="B1211" s="84" t="str">
        <f t="shared" si="1"/>
        <v>Jul 2026</v>
      </c>
      <c r="C1211" s="84">
        <f t="shared" si="2"/>
        <v>27</v>
      </c>
      <c r="D1211" s="85" t="s">
        <v>129</v>
      </c>
      <c r="E1211" s="85" t="s">
        <v>165</v>
      </c>
      <c r="F1211" s="86" t="s">
        <v>262</v>
      </c>
      <c r="G1211" s="86" t="s">
        <v>223</v>
      </c>
      <c r="H1211" s="88">
        <f t="shared" si="3"/>
        <v>0.11</v>
      </c>
      <c r="I1211" s="134">
        <v>0.1</v>
      </c>
      <c r="J1211" s="133"/>
      <c r="K1211" s="132">
        <f t="shared" si="4"/>
        <v>0.01</v>
      </c>
      <c r="L1211" s="84">
        <f t="shared" si="5"/>
        <v>1210</v>
      </c>
      <c r="M1211" s="85" t="s">
        <v>133</v>
      </c>
    </row>
    <row r="1212" ht="22.5" customHeight="1">
      <c r="A1212" s="131">
        <v>46204.0</v>
      </c>
      <c r="B1212" s="84" t="str">
        <f t="shared" si="1"/>
        <v>Jul 2026</v>
      </c>
      <c r="C1212" s="84">
        <f t="shared" si="2"/>
        <v>27</v>
      </c>
      <c r="D1212" s="85" t="s">
        <v>163</v>
      </c>
      <c r="E1212" s="85" t="s">
        <v>165</v>
      </c>
      <c r="F1212" s="86" t="s">
        <v>269</v>
      </c>
      <c r="G1212" s="86" t="s">
        <v>77</v>
      </c>
      <c r="H1212" s="88">
        <f t="shared" si="3"/>
        <v>1.1</v>
      </c>
      <c r="I1212" s="134">
        <v>1.0</v>
      </c>
      <c r="J1212" s="133"/>
      <c r="K1212" s="132">
        <f t="shared" si="4"/>
        <v>0.1</v>
      </c>
      <c r="L1212" s="84">
        <f t="shared" si="5"/>
        <v>1211</v>
      </c>
      <c r="M1212" s="85" t="s">
        <v>175</v>
      </c>
    </row>
    <row r="1213" ht="22.5" customHeight="1">
      <c r="A1213" s="131">
        <v>46204.0</v>
      </c>
      <c r="B1213" s="84" t="str">
        <f t="shared" si="1"/>
        <v>Jul 2026</v>
      </c>
      <c r="C1213" s="84">
        <f t="shared" si="2"/>
        <v>27</v>
      </c>
      <c r="D1213" s="85" t="s">
        <v>160</v>
      </c>
      <c r="E1213" s="85" t="s">
        <v>165</v>
      </c>
      <c r="F1213" s="86" t="s">
        <v>248</v>
      </c>
      <c r="G1213" s="87" t="s">
        <v>227</v>
      </c>
      <c r="H1213" s="88">
        <f t="shared" si="3"/>
        <v>1.1</v>
      </c>
      <c r="I1213" s="134">
        <v>1.0</v>
      </c>
      <c r="J1213" s="133"/>
      <c r="K1213" s="132">
        <f t="shared" si="4"/>
        <v>0.1</v>
      </c>
      <c r="L1213" s="84">
        <f t="shared" si="5"/>
        <v>1212</v>
      </c>
      <c r="M1213" s="85" t="s">
        <v>175</v>
      </c>
    </row>
    <row r="1214" ht="22.5" customHeight="1">
      <c r="A1214" s="131">
        <v>46204.0</v>
      </c>
      <c r="B1214" s="84" t="str">
        <f t="shared" si="1"/>
        <v>Jul 2026</v>
      </c>
      <c r="C1214" s="84">
        <f t="shared" si="2"/>
        <v>27</v>
      </c>
      <c r="D1214" s="85" t="s">
        <v>129</v>
      </c>
      <c r="E1214" s="85" t="s">
        <v>167</v>
      </c>
      <c r="F1214" s="86" t="s">
        <v>262</v>
      </c>
      <c r="G1214" s="86" t="s">
        <v>223</v>
      </c>
      <c r="H1214" s="88">
        <f t="shared" si="3"/>
        <v>0.7337</v>
      </c>
      <c r="I1214" s="134">
        <v>0.667</v>
      </c>
      <c r="J1214" s="133"/>
      <c r="K1214" s="132">
        <f t="shared" si="4"/>
        <v>0.0667</v>
      </c>
      <c r="L1214" s="84">
        <f t="shared" si="5"/>
        <v>1213</v>
      </c>
      <c r="M1214" s="85" t="s">
        <v>133</v>
      </c>
    </row>
    <row r="1215" ht="22.5" customHeight="1">
      <c r="A1215" s="131">
        <v>46204.0</v>
      </c>
      <c r="B1215" s="84" t="str">
        <f t="shared" si="1"/>
        <v>Jul 2026</v>
      </c>
      <c r="C1215" s="84">
        <f t="shared" si="2"/>
        <v>27</v>
      </c>
      <c r="D1215" s="85" t="s">
        <v>129</v>
      </c>
      <c r="E1215" s="85" t="s">
        <v>167</v>
      </c>
      <c r="F1215" s="86" t="s">
        <v>268</v>
      </c>
      <c r="G1215" s="86" t="s">
        <v>222</v>
      </c>
      <c r="H1215" s="88">
        <f t="shared" si="3"/>
        <v>0.7337</v>
      </c>
      <c r="I1215" s="134">
        <v>0.667</v>
      </c>
      <c r="J1215" s="133"/>
      <c r="K1215" s="132">
        <f t="shared" si="4"/>
        <v>0.0667</v>
      </c>
      <c r="L1215" s="84">
        <f t="shared" si="5"/>
        <v>1214</v>
      </c>
      <c r="M1215" s="85" t="s">
        <v>133</v>
      </c>
    </row>
    <row r="1216" ht="22.5" customHeight="1">
      <c r="A1216" s="131">
        <v>46204.0</v>
      </c>
      <c r="B1216" s="84" t="str">
        <f t="shared" si="1"/>
        <v>Jul 2026</v>
      </c>
      <c r="C1216" s="84">
        <f t="shared" si="2"/>
        <v>27</v>
      </c>
      <c r="D1216" s="85" t="s">
        <v>129</v>
      </c>
      <c r="E1216" s="85" t="s">
        <v>167</v>
      </c>
      <c r="F1216" s="86" t="s">
        <v>270</v>
      </c>
      <c r="G1216" s="86" t="s">
        <v>219</v>
      </c>
      <c r="H1216" s="88">
        <f t="shared" si="3"/>
        <v>0.7337</v>
      </c>
      <c r="I1216" s="134">
        <v>0.667</v>
      </c>
      <c r="J1216" s="133"/>
      <c r="K1216" s="132">
        <f t="shared" si="4"/>
        <v>0.0667</v>
      </c>
      <c r="L1216" s="84">
        <f t="shared" si="5"/>
        <v>1215</v>
      </c>
      <c r="M1216" s="85" t="s">
        <v>133</v>
      </c>
    </row>
    <row r="1217" ht="22.5" customHeight="1">
      <c r="A1217" s="131">
        <v>46204.0</v>
      </c>
      <c r="B1217" s="84" t="str">
        <f t="shared" si="1"/>
        <v>Jul 2026</v>
      </c>
      <c r="C1217" s="84">
        <f t="shared" si="2"/>
        <v>27</v>
      </c>
      <c r="D1217" s="85" t="s">
        <v>129</v>
      </c>
      <c r="E1217" s="85" t="s">
        <v>167</v>
      </c>
      <c r="F1217" s="86" t="s">
        <v>134</v>
      </c>
      <c r="G1217" s="86" t="s">
        <v>224</v>
      </c>
      <c r="H1217" s="88">
        <f t="shared" si="3"/>
        <v>0.7337</v>
      </c>
      <c r="I1217" s="134">
        <v>0.667</v>
      </c>
      <c r="J1217" s="133"/>
      <c r="K1217" s="132">
        <f t="shared" si="4"/>
        <v>0.0667</v>
      </c>
      <c r="L1217" s="84">
        <f t="shared" si="5"/>
        <v>1216</v>
      </c>
      <c r="M1217" s="85" t="s">
        <v>133</v>
      </c>
    </row>
    <row r="1218" ht="22.5" customHeight="1">
      <c r="A1218" s="131">
        <v>46204.0</v>
      </c>
      <c r="B1218" s="84" t="str">
        <f t="shared" si="1"/>
        <v>Jul 2026</v>
      </c>
      <c r="C1218" s="84">
        <f t="shared" si="2"/>
        <v>27</v>
      </c>
      <c r="D1218" s="85" t="s">
        <v>129</v>
      </c>
      <c r="E1218" s="85" t="s">
        <v>167</v>
      </c>
      <c r="F1218" s="86" t="s">
        <v>249</v>
      </c>
      <c r="G1218" s="86" t="s">
        <v>220</v>
      </c>
      <c r="H1218" s="88">
        <f t="shared" si="3"/>
        <v>0.7337</v>
      </c>
      <c r="I1218" s="134">
        <v>0.667</v>
      </c>
      <c r="J1218" s="133"/>
      <c r="K1218" s="132">
        <f t="shared" si="4"/>
        <v>0.0667</v>
      </c>
      <c r="L1218" s="84">
        <f t="shared" si="5"/>
        <v>1217</v>
      </c>
      <c r="M1218" s="85" t="s">
        <v>133</v>
      </c>
    </row>
    <row r="1219" ht="22.5" customHeight="1">
      <c r="A1219" s="131">
        <v>46204.0</v>
      </c>
      <c r="B1219" s="84" t="str">
        <f t="shared" si="1"/>
        <v>Jul 2026</v>
      </c>
      <c r="C1219" s="84">
        <f t="shared" si="2"/>
        <v>27</v>
      </c>
      <c r="D1219" s="85" t="s">
        <v>160</v>
      </c>
      <c r="E1219" s="85" t="s">
        <v>167</v>
      </c>
      <c r="F1219" s="86" t="s">
        <v>251</v>
      </c>
      <c r="G1219" s="87" t="s">
        <v>218</v>
      </c>
      <c r="H1219" s="88">
        <f t="shared" si="3"/>
        <v>1.1</v>
      </c>
      <c r="I1219" s="134">
        <v>1.0</v>
      </c>
      <c r="J1219" s="133"/>
      <c r="K1219" s="132">
        <f t="shared" si="4"/>
        <v>0.1</v>
      </c>
      <c r="L1219" s="84">
        <f t="shared" si="5"/>
        <v>1218</v>
      </c>
      <c r="M1219" s="85" t="s">
        <v>175</v>
      </c>
    </row>
    <row r="1220" ht="22.5" customHeight="1">
      <c r="A1220" s="131">
        <v>46204.0</v>
      </c>
      <c r="B1220" s="84" t="str">
        <f t="shared" si="1"/>
        <v>Jul 2026</v>
      </c>
      <c r="C1220" s="84">
        <f t="shared" si="2"/>
        <v>27</v>
      </c>
      <c r="D1220" s="85" t="s">
        <v>162</v>
      </c>
      <c r="E1220" s="85" t="s">
        <v>167</v>
      </c>
      <c r="F1220" s="86" t="s">
        <v>244</v>
      </c>
      <c r="G1220" s="86" t="s">
        <v>216</v>
      </c>
      <c r="H1220" s="88">
        <f t="shared" si="3"/>
        <v>1.1</v>
      </c>
      <c r="I1220" s="134">
        <v>1.0</v>
      </c>
      <c r="J1220" s="133"/>
      <c r="K1220" s="132">
        <f t="shared" si="4"/>
        <v>0.1</v>
      </c>
      <c r="L1220" s="84">
        <f t="shared" si="5"/>
        <v>1219</v>
      </c>
      <c r="M1220" s="85" t="s">
        <v>175</v>
      </c>
    </row>
    <row r="1221" ht="22.5" customHeight="1">
      <c r="A1221" s="131">
        <v>46204.0</v>
      </c>
      <c r="B1221" s="84" t="str">
        <f t="shared" si="1"/>
        <v>Jul 2026</v>
      </c>
      <c r="C1221" s="84">
        <f t="shared" si="2"/>
        <v>27</v>
      </c>
      <c r="D1221" s="85" t="s">
        <v>161</v>
      </c>
      <c r="E1221" s="85" t="s">
        <v>167</v>
      </c>
      <c r="F1221" s="86" t="s">
        <v>232</v>
      </c>
      <c r="G1221" s="87" t="s">
        <v>75</v>
      </c>
      <c r="H1221" s="88">
        <f t="shared" si="3"/>
        <v>0.11</v>
      </c>
      <c r="I1221" s="134">
        <v>0.1</v>
      </c>
      <c r="J1221" s="133"/>
      <c r="K1221" s="132">
        <f t="shared" si="4"/>
        <v>0.01</v>
      </c>
      <c r="L1221" s="84">
        <f t="shared" si="5"/>
        <v>1220</v>
      </c>
      <c r="M1221" s="85" t="s">
        <v>133</v>
      </c>
    </row>
    <row r="1222" ht="22.5" customHeight="1">
      <c r="A1222" s="131">
        <v>46204.0</v>
      </c>
      <c r="B1222" s="84" t="str">
        <f t="shared" si="1"/>
        <v>Jul 2026</v>
      </c>
      <c r="C1222" s="84">
        <f t="shared" si="2"/>
        <v>27</v>
      </c>
      <c r="D1222" s="85" t="s">
        <v>160</v>
      </c>
      <c r="E1222" s="85" t="s">
        <v>167</v>
      </c>
      <c r="F1222" s="86" t="s">
        <v>248</v>
      </c>
      <c r="G1222" s="87" t="s">
        <v>227</v>
      </c>
      <c r="H1222" s="88">
        <f t="shared" si="3"/>
        <v>1.1</v>
      </c>
      <c r="I1222" s="134">
        <v>1.0</v>
      </c>
      <c r="J1222" s="133"/>
      <c r="K1222" s="132">
        <f t="shared" si="4"/>
        <v>0.1</v>
      </c>
      <c r="L1222" s="84">
        <f t="shared" si="5"/>
        <v>1221</v>
      </c>
      <c r="M1222" s="85" t="s">
        <v>175</v>
      </c>
    </row>
    <row r="1223" ht="22.5" customHeight="1">
      <c r="A1223" s="131">
        <v>46204.0</v>
      </c>
      <c r="B1223" s="84" t="str">
        <f t="shared" si="1"/>
        <v>Jul 2026</v>
      </c>
      <c r="C1223" s="84">
        <f t="shared" si="2"/>
        <v>27</v>
      </c>
      <c r="D1223" s="85" t="s">
        <v>163</v>
      </c>
      <c r="E1223" s="85" t="s">
        <v>167</v>
      </c>
      <c r="F1223" s="86" t="s">
        <v>269</v>
      </c>
      <c r="G1223" s="86" t="s">
        <v>77</v>
      </c>
      <c r="H1223" s="88">
        <f t="shared" si="3"/>
        <v>1.1</v>
      </c>
      <c r="I1223" s="134">
        <v>1.0</v>
      </c>
      <c r="J1223" s="133"/>
      <c r="K1223" s="132">
        <f t="shared" si="4"/>
        <v>0.1</v>
      </c>
      <c r="L1223" s="84">
        <f t="shared" si="5"/>
        <v>1222</v>
      </c>
      <c r="M1223" s="85" t="s">
        <v>175</v>
      </c>
    </row>
    <row r="1224" ht="22.5" customHeight="1">
      <c r="A1224" s="131">
        <v>46204.0</v>
      </c>
      <c r="B1224" s="84" t="str">
        <f t="shared" si="1"/>
        <v>Jul 2026</v>
      </c>
      <c r="C1224" s="84">
        <f t="shared" si="2"/>
        <v>27</v>
      </c>
      <c r="D1224" s="85" t="s">
        <v>129</v>
      </c>
      <c r="E1224" s="85" t="s">
        <v>130</v>
      </c>
      <c r="F1224" s="86" t="s">
        <v>270</v>
      </c>
      <c r="G1224" s="86" t="s">
        <v>219</v>
      </c>
      <c r="H1224" s="88">
        <f t="shared" si="3"/>
        <v>0.7337</v>
      </c>
      <c r="I1224" s="134">
        <v>0.667</v>
      </c>
      <c r="J1224" s="133"/>
      <c r="K1224" s="132">
        <f t="shared" si="4"/>
        <v>0.0667</v>
      </c>
      <c r="L1224" s="84">
        <f t="shared" si="5"/>
        <v>1223</v>
      </c>
      <c r="M1224" s="85" t="s">
        <v>133</v>
      </c>
    </row>
    <row r="1225" ht="22.5" customHeight="1">
      <c r="A1225" s="131">
        <v>46204.0</v>
      </c>
      <c r="B1225" s="84" t="str">
        <f t="shared" si="1"/>
        <v>Jul 2026</v>
      </c>
      <c r="C1225" s="84">
        <f t="shared" si="2"/>
        <v>27</v>
      </c>
      <c r="D1225" s="85" t="s">
        <v>129</v>
      </c>
      <c r="E1225" s="85" t="s">
        <v>130</v>
      </c>
      <c r="F1225" s="86" t="s">
        <v>268</v>
      </c>
      <c r="G1225" s="86" t="s">
        <v>222</v>
      </c>
      <c r="H1225" s="88">
        <f t="shared" si="3"/>
        <v>0.7337</v>
      </c>
      <c r="I1225" s="134">
        <v>0.667</v>
      </c>
      <c r="J1225" s="133"/>
      <c r="K1225" s="132">
        <f t="shared" si="4"/>
        <v>0.0667</v>
      </c>
      <c r="L1225" s="84">
        <f t="shared" si="5"/>
        <v>1224</v>
      </c>
      <c r="M1225" s="85" t="s">
        <v>133</v>
      </c>
    </row>
    <row r="1226" ht="22.5" customHeight="1">
      <c r="A1226" s="131">
        <v>46204.0</v>
      </c>
      <c r="B1226" s="84" t="str">
        <f t="shared" si="1"/>
        <v>Jul 2026</v>
      </c>
      <c r="C1226" s="84">
        <f t="shared" si="2"/>
        <v>27</v>
      </c>
      <c r="D1226" s="85" t="s">
        <v>162</v>
      </c>
      <c r="E1226" s="85" t="s">
        <v>130</v>
      </c>
      <c r="F1226" s="86" t="s">
        <v>244</v>
      </c>
      <c r="G1226" s="86" t="s">
        <v>216</v>
      </c>
      <c r="H1226" s="88">
        <f t="shared" si="3"/>
        <v>1.1</v>
      </c>
      <c r="I1226" s="134">
        <v>1.0</v>
      </c>
      <c r="J1226" s="133"/>
      <c r="K1226" s="132">
        <f t="shared" si="4"/>
        <v>0.1</v>
      </c>
      <c r="L1226" s="84">
        <f t="shared" si="5"/>
        <v>1225</v>
      </c>
      <c r="M1226" s="85" t="s">
        <v>175</v>
      </c>
    </row>
    <row r="1227" ht="22.5" customHeight="1">
      <c r="A1227" s="131">
        <v>46204.0</v>
      </c>
      <c r="B1227" s="84" t="str">
        <f t="shared" si="1"/>
        <v>Jul 2026</v>
      </c>
      <c r="C1227" s="84">
        <f t="shared" si="2"/>
        <v>27</v>
      </c>
      <c r="D1227" s="85" t="s">
        <v>160</v>
      </c>
      <c r="E1227" s="85" t="s">
        <v>130</v>
      </c>
      <c r="F1227" s="86" t="s">
        <v>251</v>
      </c>
      <c r="G1227" s="87" t="s">
        <v>218</v>
      </c>
      <c r="H1227" s="88">
        <f t="shared" si="3"/>
        <v>1.1</v>
      </c>
      <c r="I1227" s="134">
        <v>1.0</v>
      </c>
      <c r="J1227" s="133"/>
      <c r="K1227" s="132">
        <f t="shared" si="4"/>
        <v>0.1</v>
      </c>
      <c r="L1227" s="84">
        <f t="shared" si="5"/>
        <v>1226</v>
      </c>
      <c r="M1227" s="85" t="s">
        <v>175</v>
      </c>
    </row>
    <row r="1228" ht="22.5" customHeight="1">
      <c r="A1228" s="131">
        <v>46204.0</v>
      </c>
      <c r="B1228" s="84" t="str">
        <f t="shared" si="1"/>
        <v>Jul 2026</v>
      </c>
      <c r="C1228" s="84">
        <f t="shared" si="2"/>
        <v>27</v>
      </c>
      <c r="D1228" s="85" t="s">
        <v>129</v>
      </c>
      <c r="E1228" s="85" t="s">
        <v>130</v>
      </c>
      <c r="F1228" s="86" t="s">
        <v>134</v>
      </c>
      <c r="G1228" s="86" t="s">
        <v>224</v>
      </c>
      <c r="H1228" s="88">
        <f t="shared" si="3"/>
        <v>0.7337</v>
      </c>
      <c r="I1228" s="134">
        <v>0.667</v>
      </c>
      <c r="J1228" s="133"/>
      <c r="K1228" s="132">
        <f t="shared" si="4"/>
        <v>0.0667</v>
      </c>
      <c r="L1228" s="84">
        <f t="shared" si="5"/>
        <v>1227</v>
      </c>
      <c r="M1228" s="85" t="s">
        <v>133</v>
      </c>
    </row>
    <row r="1229" ht="22.5" customHeight="1">
      <c r="A1229" s="131">
        <v>46204.0</v>
      </c>
      <c r="B1229" s="84" t="str">
        <f t="shared" si="1"/>
        <v>Jul 2026</v>
      </c>
      <c r="C1229" s="84">
        <f t="shared" si="2"/>
        <v>27</v>
      </c>
      <c r="D1229" s="85" t="s">
        <v>129</v>
      </c>
      <c r="E1229" s="85" t="s">
        <v>130</v>
      </c>
      <c r="F1229" s="86" t="s">
        <v>249</v>
      </c>
      <c r="G1229" s="86" t="s">
        <v>220</v>
      </c>
      <c r="H1229" s="88">
        <f t="shared" si="3"/>
        <v>0.7337</v>
      </c>
      <c r="I1229" s="134">
        <v>0.667</v>
      </c>
      <c r="J1229" s="133"/>
      <c r="K1229" s="132">
        <f t="shared" si="4"/>
        <v>0.0667</v>
      </c>
      <c r="L1229" s="84">
        <f t="shared" si="5"/>
        <v>1228</v>
      </c>
      <c r="M1229" s="85" t="s">
        <v>133</v>
      </c>
    </row>
    <row r="1230" ht="22.5" customHeight="1">
      <c r="A1230" s="131">
        <v>46204.0</v>
      </c>
      <c r="B1230" s="84" t="str">
        <f t="shared" si="1"/>
        <v>Jul 2026</v>
      </c>
      <c r="C1230" s="84">
        <f t="shared" si="2"/>
        <v>27</v>
      </c>
      <c r="D1230" s="85" t="s">
        <v>129</v>
      </c>
      <c r="E1230" s="85" t="s">
        <v>130</v>
      </c>
      <c r="F1230" s="86" t="s">
        <v>262</v>
      </c>
      <c r="G1230" s="86" t="s">
        <v>223</v>
      </c>
      <c r="H1230" s="88">
        <f t="shared" si="3"/>
        <v>0.7337</v>
      </c>
      <c r="I1230" s="134">
        <v>0.667</v>
      </c>
      <c r="J1230" s="133"/>
      <c r="K1230" s="132">
        <f t="shared" si="4"/>
        <v>0.0667</v>
      </c>
      <c r="L1230" s="84">
        <f t="shared" si="5"/>
        <v>1229</v>
      </c>
      <c r="M1230" s="85" t="s">
        <v>133</v>
      </c>
    </row>
    <row r="1231" ht="22.5" customHeight="1">
      <c r="A1231" s="131">
        <v>46204.0</v>
      </c>
      <c r="B1231" s="84" t="str">
        <f t="shared" si="1"/>
        <v>Jul 2026</v>
      </c>
      <c r="C1231" s="84">
        <f t="shared" si="2"/>
        <v>27</v>
      </c>
      <c r="D1231" s="85" t="s">
        <v>161</v>
      </c>
      <c r="E1231" s="85" t="s">
        <v>130</v>
      </c>
      <c r="F1231" s="86" t="s">
        <v>232</v>
      </c>
      <c r="G1231" s="87" t="s">
        <v>75</v>
      </c>
      <c r="H1231" s="88">
        <f t="shared" si="3"/>
        <v>0.11</v>
      </c>
      <c r="I1231" s="134">
        <v>0.1</v>
      </c>
      <c r="J1231" s="133"/>
      <c r="K1231" s="132">
        <f t="shared" si="4"/>
        <v>0.01</v>
      </c>
      <c r="L1231" s="84">
        <f t="shared" si="5"/>
        <v>1230</v>
      </c>
      <c r="M1231" s="85" t="s">
        <v>133</v>
      </c>
    </row>
    <row r="1232" ht="22.5" customHeight="1">
      <c r="A1232" s="131">
        <v>46204.0</v>
      </c>
      <c r="B1232" s="84" t="str">
        <f t="shared" si="1"/>
        <v>Jul 2026</v>
      </c>
      <c r="C1232" s="84">
        <f t="shared" si="2"/>
        <v>27</v>
      </c>
      <c r="D1232" s="85" t="s">
        <v>160</v>
      </c>
      <c r="E1232" s="85" t="s">
        <v>130</v>
      </c>
      <c r="F1232" s="86" t="s">
        <v>248</v>
      </c>
      <c r="G1232" s="87" t="s">
        <v>227</v>
      </c>
      <c r="H1232" s="88">
        <f t="shared" si="3"/>
        <v>1.1</v>
      </c>
      <c r="I1232" s="134">
        <v>1.0</v>
      </c>
      <c r="J1232" s="133"/>
      <c r="K1232" s="132">
        <f t="shared" si="4"/>
        <v>0.1</v>
      </c>
      <c r="L1232" s="84">
        <f t="shared" si="5"/>
        <v>1231</v>
      </c>
      <c r="M1232" s="85" t="s">
        <v>175</v>
      </c>
    </row>
    <row r="1233" ht="22.5" customHeight="1">
      <c r="A1233" s="131">
        <v>46204.0</v>
      </c>
      <c r="B1233" s="84" t="str">
        <f t="shared" si="1"/>
        <v>Jul 2026</v>
      </c>
      <c r="C1233" s="84">
        <f t="shared" si="2"/>
        <v>27</v>
      </c>
      <c r="D1233" s="85" t="s">
        <v>163</v>
      </c>
      <c r="E1233" s="85" t="s">
        <v>130</v>
      </c>
      <c r="F1233" s="86" t="s">
        <v>269</v>
      </c>
      <c r="G1233" s="86" t="s">
        <v>77</v>
      </c>
      <c r="H1233" s="88">
        <f t="shared" si="3"/>
        <v>1.1</v>
      </c>
      <c r="I1233" s="134">
        <v>1.0</v>
      </c>
      <c r="J1233" s="133"/>
      <c r="K1233" s="132">
        <f t="shared" si="4"/>
        <v>0.1</v>
      </c>
      <c r="L1233" s="84">
        <f t="shared" si="5"/>
        <v>1232</v>
      </c>
      <c r="M1233" s="85" t="s">
        <v>175</v>
      </c>
    </row>
    <row r="1234" ht="22.5" customHeight="1">
      <c r="A1234" s="131">
        <v>46205.0</v>
      </c>
      <c r="B1234" s="84" t="str">
        <f t="shared" si="1"/>
        <v>Jul 2026</v>
      </c>
      <c r="C1234" s="84">
        <f t="shared" si="2"/>
        <v>27</v>
      </c>
      <c r="D1234" s="85" t="s">
        <v>129</v>
      </c>
      <c r="E1234" s="85" t="s">
        <v>164</v>
      </c>
      <c r="F1234" s="86" t="s">
        <v>270</v>
      </c>
      <c r="G1234" s="86" t="s">
        <v>219</v>
      </c>
      <c r="H1234" s="88">
        <f t="shared" si="3"/>
        <v>0.7337</v>
      </c>
      <c r="I1234" s="134">
        <v>0.667</v>
      </c>
      <c r="J1234" s="133"/>
      <c r="K1234" s="132">
        <f t="shared" si="4"/>
        <v>0.0667</v>
      </c>
      <c r="L1234" s="84">
        <f t="shared" si="5"/>
        <v>1233</v>
      </c>
      <c r="M1234" s="85" t="s">
        <v>133</v>
      </c>
    </row>
    <row r="1235" ht="22.5" customHeight="1">
      <c r="A1235" s="131">
        <v>46205.0</v>
      </c>
      <c r="B1235" s="84" t="str">
        <f t="shared" si="1"/>
        <v>Jul 2026</v>
      </c>
      <c r="C1235" s="84">
        <f t="shared" si="2"/>
        <v>27</v>
      </c>
      <c r="D1235" s="85" t="s">
        <v>129</v>
      </c>
      <c r="E1235" s="85" t="s">
        <v>164</v>
      </c>
      <c r="F1235" s="86" t="s">
        <v>268</v>
      </c>
      <c r="G1235" s="86" t="s">
        <v>222</v>
      </c>
      <c r="H1235" s="88">
        <f t="shared" si="3"/>
        <v>0.7337</v>
      </c>
      <c r="I1235" s="134">
        <v>0.667</v>
      </c>
      <c r="J1235" s="133"/>
      <c r="K1235" s="132">
        <f t="shared" si="4"/>
        <v>0.0667</v>
      </c>
      <c r="L1235" s="84">
        <f t="shared" si="5"/>
        <v>1234</v>
      </c>
      <c r="M1235" s="85" t="s">
        <v>133</v>
      </c>
    </row>
    <row r="1236" ht="22.5" customHeight="1">
      <c r="A1236" s="131">
        <v>46205.0</v>
      </c>
      <c r="B1236" s="84" t="str">
        <f t="shared" si="1"/>
        <v>Jul 2026</v>
      </c>
      <c r="C1236" s="84">
        <f t="shared" si="2"/>
        <v>27</v>
      </c>
      <c r="D1236" s="85" t="s">
        <v>160</v>
      </c>
      <c r="E1236" s="85" t="s">
        <v>164</v>
      </c>
      <c r="F1236" s="86" t="s">
        <v>248</v>
      </c>
      <c r="G1236" s="87" t="s">
        <v>227</v>
      </c>
      <c r="H1236" s="88">
        <f t="shared" si="3"/>
        <v>1.1</v>
      </c>
      <c r="I1236" s="134">
        <v>1.0</v>
      </c>
      <c r="J1236" s="133"/>
      <c r="K1236" s="132">
        <f t="shared" si="4"/>
        <v>0.1</v>
      </c>
      <c r="L1236" s="84">
        <f t="shared" si="5"/>
        <v>1235</v>
      </c>
      <c r="M1236" s="85" t="s">
        <v>175</v>
      </c>
    </row>
    <row r="1237" ht="22.5" customHeight="1">
      <c r="A1237" s="131">
        <v>46205.0</v>
      </c>
      <c r="B1237" s="84" t="str">
        <f t="shared" si="1"/>
        <v>Jul 2026</v>
      </c>
      <c r="C1237" s="84">
        <f t="shared" si="2"/>
        <v>27</v>
      </c>
      <c r="D1237" s="85" t="s">
        <v>160</v>
      </c>
      <c r="E1237" s="85" t="s">
        <v>164</v>
      </c>
      <c r="F1237" s="86" t="s">
        <v>251</v>
      </c>
      <c r="G1237" s="87" t="s">
        <v>218</v>
      </c>
      <c r="H1237" s="88">
        <f t="shared" si="3"/>
        <v>1.1</v>
      </c>
      <c r="I1237" s="134">
        <v>1.0</v>
      </c>
      <c r="J1237" s="133"/>
      <c r="K1237" s="132">
        <f t="shared" si="4"/>
        <v>0.1</v>
      </c>
      <c r="L1237" s="84">
        <f t="shared" si="5"/>
        <v>1236</v>
      </c>
      <c r="M1237" s="85" t="s">
        <v>175</v>
      </c>
    </row>
    <row r="1238" ht="22.5" customHeight="1">
      <c r="A1238" s="131">
        <v>46205.0</v>
      </c>
      <c r="B1238" s="84" t="str">
        <f t="shared" si="1"/>
        <v>Jul 2026</v>
      </c>
      <c r="C1238" s="84">
        <f t="shared" si="2"/>
        <v>27</v>
      </c>
      <c r="D1238" s="85" t="s">
        <v>161</v>
      </c>
      <c r="E1238" s="85" t="s">
        <v>164</v>
      </c>
      <c r="F1238" s="86" t="s">
        <v>232</v>
      </c>
      <c r="G1238" s="87" t="s">
        <v>75</v>
      </c>
      <c r="H1238" s="88">
        <f t="shared" si="3"/>
        <v>0.11</v>
      </c>
      <c r="I1238" s="134">
        <v>0.1</v>
      </c>
      <c r="J1238" s="133"/>
      <c r="K1238" s="132">
        <f t="shared" si="4"/>
        <v>0.01</v>
      </c>
      <c r="L1238" s="84">
        <f t="shared" si="5"/>
        <v>1237</v>
      </c>
      <c r="M1238" s="85" t="s">
        <v>133</v>
      </c>
    </row>
    <row r="1239" ht="22.5" customHeight="1">
      <c r="A1239" s="131">
        <v>46205.0</v>
      </c>
      <c r="B1239" s="84" t="str">
        <f t="shared" si="1"/>
        <v>Jul 2026</v>
      </c>
      <c r="C1239" s="84">
        <f t="shared" si="2"/>
        <v>27</v>
      </c>
      <c r="D1239" s="85" t="s">
        <v>129</v>
      </c>
      <c r="E1239" s="85" t="s">
        <v>164</v>
      </c>
      <c r="F1239" s="86" t="s">
        <v>134</v>
      </c>
      <c r="G1239" s="86" t="s">
        <v>224</v>
      </c>
      <c r="H1239" s="88">
        <f t="shared" si="3"/>
        <v>0.7337</v>
      </c>
      <c r="I1239" s="134">
        <v>0.667</v>
      </c>
      <c r="J1239" s="133"/>
      <c r="K1239" s="132">
        <f t="shared" si="4"/>
        <v>0.0667</v>
      </c>
      <c r="L1239" s="84">
        <f t="shared" si="5"/>
        <v>1238</v>
      </c>
      <c r="M1239" s="85" t="s">
        <v>133</v>
      </c>
    </row>
    <row r="1240" ht="22.5" customHeight="1">
      <c r="A1240" s="131">
        <v>46205.0</v>
      </c>
      <c r="B1240" s="84" t="str">
        <f t="shared" si="1"/>
        <v>Jul 2026</v>
      </c>
      <c r="C1240" s="84">
        <f t="shared" si="2"/>
        <v>27</v>
      </c>
      <c r="D1240" s="85" t="s">
        <v>129</v>
      </c>
      <c r="E1240" s="85" t="s">
        <v>164</v>
      </c>
      <c r="F1240" s="86" t="s">
        <v>249</v>
      </c>
      <c r="G1240" s="86" t="s">
        <v>220</v>
      </c>
      <c r="H1240" s="88">
        <f t="shared" si="3"/>
        <v>0.7337</v>
      </c>
      <c r="I1240" s="134">
        <v>0.667</v>
      </c>
      <c r="J1240" s="133"/>
      <c r="K1240" s="132">
        <f t="shared" si="4"/>
        <v>0.0667</v>
      </c>
      <c r="L1240" s="84">
        <f t="shared" si="5"/>
        <v>1239</v>
      </c>
      <c r="M1240" s="85" t="s">
        <v>133</v>
      </c>
    </row>
    <row r="1241" ht="22.5" customHeight="1">
      <c r="A1241" s="131">
        <v>46205.0</v>
      </c>
      <c r="B1241" s="84" t="str">
        <f t="shared" si="1"/>
        <v>Jul 2026</v>
      </c>
      <c r="C1241" s="84">
        <f t="shared" si="2"/>
        <v>27</v>
      </c>
      <c r="D1241" s="85" t="s">
        <v>160</v>
      </c>
      <c r="E1241" s="85" t="s">
        <v>164</v>
      </c>
      <c r="F1241" s="86" t="s">
        <v>248</v>
      </c>
      <c r="G1241" s="87" t="s">
        <v>227</v>
      </c>
      <c r="H1241" s="88">
        <f t="shared" si="3"/>
        <v>1.1</v>
      </c>
      <c r="I1241" s="134">
        <v>1.0</v>
      </c>
      <c r="J1241" s="133"/>
      <c r="K1241" s="132">
        <f t="shared" si="4"/>
        <v>0.1</v>
      </c>
      <c r="L1241" s="84">
        <f t="shared" si="5"/>
        <v>1240</v>
      </c>
      <c r="M1241" s="85" t="s">
        <v>175</v>
      </c>
    </row>
    <row r="1242" ht="22.5" customHeight="1">
      <c r="A1242" s="131">
        <v>46205.0</v>
      </c>
      <c r="B1242" s="84" t="str">
        <f t="shared" si="1"/>
        <v>Jul 2026</v>
      </c>
      <c r="C1242" s="84">
        <f t="shared" si="2"/>
        <v>27</v>
      </c>
      <c r="D1242" s="85" t="s">
        <v>161</v>
      </c>
      <c r="E1242" s="85" t="s">
        <v>164</v>
      </c>
      <c r="F1242" s="86" t="s">
        <v>232</v>
      </c>
      <c r="G1242" s="87" t="s">
        <v>75</v>
      </c>
      <c r="H1242" s="88">
        <f t="shared" si="3"/>
        <v>0.11</v>
      </c>
      <c r="I1242" s="134">
        <v>0.1</v>
      </c>
      <c r="J1242" s="133"/>
      <c r="K1242" s="132">
        <f t="shared" si="4"/>
        <v>0.01</v>
      </c>
      <c r="L1242" s="84">
        <f t="shared" si="5"/>
        <v>1241</v>
      </c>
      <c r="M1242" s="85" t="s">
        <v>133</v>
      </c>
    </row>
    <row r="1243" ht="22.5" customHeight="1">
      <c r="A1243" s="131">
        <v>46205.0</v>
      </c>
      <c r="B1243" s="84" t="str">
        <f t="shared" si="1"/>
        <v>Jul 2026</v>
      </c>
      <c r="C1243" s="84">
        <f t="shared" si="2"/>
        <v>27</v>
      </c>
      <c r="D1243" s="85" t="s">
        <v>129</v>
      </c>
      <c r="E1243" s="85" t="s">
        <v>164</v>
      </c>
      <c r="F1243" s="86" t="s">
        <v>262</v>
      </c>
      <c r="G1243" s="86" t="s">
        <v>223</v>
      </c>
      <c r="H1243" s="88">
        <f t="shared" si="3"/>
        <v>0.7337</v>
      </c>
      <c r="I1243" s="134">
        <v>0.667</v>
      </c>
      <c r="J1243" s="133"/>
      <c r="K1243" s="132">
        <f t="shared" si="4"/>
        <v>0.0667</v>
      </c>
      <c r="L1243" s="84">
        <f t="shared" si="5"/>
        <v>1242</v>
      </c>
      <c r="M1243" s="85" t="s">
        <v>133</v>
      </c>
    </row>
    <row r="1244" ht="22.5" customHeight="1">
      <c r="A1244" s="131">
        <v>46205.0</v>
      </c>
      <c r="B1244" s="84" t="str">
        <f t="shared" si="1"/>
        <v>Jul 2026</v>
      </c>
      <c r="C1244" s="84">
        <f t="shared" si="2"/>
        <v>27</v>
      </c>
      <c r="D1244" s="85" t="s">
        <v>161</v>
      </c>
      <c r="E1244" s="85" t="s">
        <v>165</v>
      </c>
      <c r="F1244" s="86" t="s">
        <v>232</v>
      </c>
      <c r="G1244" s="87" t="s">
        <v>75</v>
      </c>
      <c r="H1244" s="88">
        <f t="shared" si="3"/>
        <v>0.11</v>
      </c>
      <c r="I1244" s="134">
        <v>0.1</v>
      </c>
      <c r="J1244" s="133"/>
      <c r="K1244" s="132">
        <f t="shared" si="4"/>
        <v>0.01</v>
      </c>
      <c r="L1244" s="84">
        <f t="shared" si="5"/>
        <v>1243</v>
      </c>
      <c r="M1244" s="85" t="s">
        <v>133</v>
      </c>
    </row>
    <row r="1245" ht="22.5" customHeight="1">
      <c r="A1245" s="131">
        <v>46205.0</v>
      </c>
      <c r="B1245" s="84" t="str">
        <f t="shared" si="1"/>
        <v>Jul 2026</v>
      </c>
      <c r="C1245" s="84">
        <f t="shared" si="2"/>
        <v>27</v>
      </c>
      <c r="D1245" s="85" t="s">
        <v>129</v>
      </c>
      <c r="E1245" s="85" t="s">
        <v>165</v>
      </c>
      <c r="F1245" s="86" t="s">
        <v>270</v>
      </c>
      <c r="G1245" s="86" t="s">
        <v>219</v>
      </c>
      <c r="H1245" s="88">
        <f t="shared" si="3"/>
        <v>0.7337</v>
      </c>
      <c r="I1245" s="134">
        <v>0.667</v>
      </c>
      <c r="J1245" s="133"/>
      <c r="K1245" s="132">
        <f t="shared" si="4"/>
        <v>0.0667</v>
      </c>
      <c r="L1245" s="84">
        <f t="shared" si="5"/>
        <v>1244</v>
      </c>
      <c r="M1245" s="85" t="s">
        <v>133</v>
      </c>
    </row>
    <row r="1246" ht="22.5" customHeight="1">
      <c r="A1246" s="131">
        <v>46205.0</v>
      </c>
      <c r="B1246" s="84" t="str">
        <f t="shared" si="1"/>
        <v>Jul 2026</v>
      </c>
      <c r="C1246" s="84">
        <f t="shared" si="2"/>
        <v>27</v>
      </c>
      <c r="D1246" s="85" t="s">
        <v>160</v>
      </c>
      <c r="E1246" s="85" t="s">
        <v>165</v>
      </c>
      <c r="F1246" s="86" t="s">
        <v>251</v>
      </c>
      <c r="G1246" s="87" t="s">
        <v>218</v>
      </c>
      <c r="H1246" s="88">
        <f t="shared" si="3"/>
        <v>1.1</v>
      </c>
      <c r="I1246" s="134">
        <v>1.0</v>
      </c>
      <c r="J1246" s="133"/>
      <c r="K1246" s="132">
        <f t="shared" si="4"/>
        <v>0.1</v>
      </c>
      <c r="L1246" s="84">
        <f t="shared" si="5"/>
        <v>1245</v>
      </c>
      <c r="M1246" s="85" t="s">
        <v>175</v>
      </c>
    </row>
    <row r="1247" ht="22.5" customHeight="1">
      <c r="A1247" s="131">
        <v>46205.0</v>
      </c>
      <c r="B1247" s="84" t="str">
        <f t="shared" si="1"/>
        <v>Jul 2026</v>
      </c>
      <c r="C1247" s="84">
        <f t="shared" si="2"/>
        <v>27</v>
      </c>
      <c r="D1247" s="85" t="s">
        <v>129</v>
      </c>
      <c r="E1247" s="85" t="s">
        <v>165</v>
      </c>
      <c r="F1247" s="86" t="s">
        <v>268</v>
      </c>
      <c r="G1247" s="86" t="s">
        <v>222</v>
      </c>
      <c r="H1247" s="88">
        <f t="shared" si="3"/>
        <v>0.7337</v>
      </c>
      <c r="I1247" s="134">
        <v>0.667</v>
      </c>
      <c r="J1247" s="133"/>
      <c r="K1247" s="132">
        <f t="shared" si="4"/>
        <v>0.0667</v>
      </c>
      <c r="L1247" s="84">
        <f t="shared" si="5"/>
        <v>1246</v>
      </c>
      <c r="M1247" s="85" t="s">
        <v>133</v>
      </c>
    </row>
    <row r="1248" ht="22.5" customHeight="1">
      <c r="A1248" s="131">
        <v>46205.0</v>
      </c>
      <c r="B1248" s="84" t="str">
        <f t="shared" si="1"/>
        <v>Jul 2026</v>
      </c>
      <c r="C1248" s="84">
        <f t="shared" si="2"/>
        <v>27</v>
      </c>
      <c r="D1248" s="85" t="s">
        <v>160</v>
      </c>
      <c r="E1248" s="85" t="s">
        <v>165</v>
      </c>
      <c r="F1248" s="86" t="s">
        <v>248</v>
      </c>
      <c r="G1248" s="87" t="s">
        <v>227</v>
      </c>
      <c r="H1248" s="88">
        <f t="shared" si="3"/>
        <v>1.1</v>
      </c>
      <c r="I1248" s="134">
        <v>1.0</v>
      </c>
      <c r="J1248" s="133"/>
      <c r="K1248" s="132">
        <f t="shared" si="4"/>
        <v>0.1</v>
      </c>
      <c r="L1248" s="84">
        <f t="shared" si="5"/>
        <v>1247</v>
      </c>
      <c r="M1248" s="85" t="s">
        <v>175</v>
      </c>
    </row>
    <row r="1249" ht="22.5" customHeight="1">
      <c r="A1249" s="131">
        <v>46205.0</v>
      </c>
      <c r="B1249" s="84" t="str">
        <f t="shared" si="1"/>
        <v>Jul 2026</v>
      </c>
      <c r="C1249" s="84">
        <f t="shared" si="2"/>
        <v>27</v>
      </c>
      <c r="D1249" s="85" t="s">
        <v>129</v>
      </c>
      <c r="E1249" s="85" t="s">
        <v>165</v>
      </c>
      <c r="F1249" s="86" t="s">
        <v>262</v>
      </c>
      <c r="G1249" s="86" t="s">
        <v>223</v>
      </c>
      <c r="H1249" s="88">
        <f t="shared" si="3"/>
        <v>0.7337</v>
      </c>
      <c r="I1249" s="134">
        <v>0.667</v>
      </c>
      <c r="J1249" s="133"/>
      <c r="K1249" s="132">
        <f t="shared" si="4"/>
        <v>0.0667</v>
      </c>
      <c r="L1249" s="84">
        <f t="shared" si="5"/>
        <v>1248</v>
      </c>
      <c r="M1249" s="85" t="s">
        <v>133</v>
      </c>
    </row>
    <row r="1250" ht="22.5" customHeight="1">
      <c r="A1250" s="131">
        <v>46205.0</v>
      </c>
      <c r="B1250" s="84" t="str">
        <f t="shared" si="1"/>
        <v>Jul 2026</v>
      </c>
      <c r="C1250" s="84">
        <f t="shared" si="2"/>
        <v>27</v>
      </c>
      <c r="D1250" s="85" t="s">
        <v>129</v>
      </c>
      <c r="E1250" s="85" t="s">
        <v>165</v>
      </c>
      <c r="F1250" s="86" t="s">
        <v>134</v>
      </c>
      <c r="G1250" s="86" t="s">
        <v>224</v>
      </c>
      <c r="H1250" s="88">
        <f t="shared" si="3"/>
        <v>0.7337</v>
      </c>
      <c r="I1250" s="134">
        <v>0.667</v>
      </c>
      <c r="J1250" s="133"/>
      <c r="K1250" s="132">
        <f t="shared" si="4"/>
        <v>0.0667</v>
      </c>
      <c r="L1250" s="84">
        <f t="shared" si="5"/>
        <v>1249</v>
      </c>
      <c r="M1250" s="85" t="s">
        <v>133</v>
      </c>
    </row>
    <row r="1251" ht="22.5" customHeight="1">
      <c r="A1251" s="131">
        <v>46205.0</v>
      </c>
      <c r="B1251" s="84" t="str">
        <f t="shared" si="1"/>
        <v>Jul 2026</v>
      </c>
      <c r="C1251" s="84">
        <f t="shared" si="2"/>
        <v>27</v>
      </c>
      <c r="D1251" s="85" t="s">
        <v>161</v>
      </c>
      <c r="E1251" s="85" t="s">
        <v>165</v>
      </c>
      <c r="F1251" s="86" t="s">
        <v>232</v>
      </c>
      <c r="G1251" s="87" t="s">
        <v>75</v>
      </c>
      <c r="H1251" s="88">
        <f t="shared" si="3"/>
        <v>0.11</v>
      </c>
      <c r="I1251" s="134">
        <v>0.1</v>
      </c>
      <c r="J1251" s="133"/>
      <c r="K1251" s="132">
        <f t="shared" si="4"/>
        <v>0.01</v>
      </c>
      <c r="L1251" s="84">
        <f t="shared" si="5"/>
        <v>1250</v>
      </c>
      <c r="M1251" s="85" t="s">
        <v>133</v>
      </c>
    </row>
    <row r="1252" ht="22.5" customHeight="1">
      <c r="A1252" s="131">
        <v>46205.0</v>
      </c>
      <c r="B1252" s="84" t="str">
        <f t="shared" si="1"/>
        <v>Jul 2026</v>
      </c>
      <c r="C1252" s="84">
        <f t="shared" si="2"/>
        <v>27</v>
      </c>
      <c r="D1252" s="85" t="s">
        <v>129</v>
      </c>
      <c r="E1252" s="85" t="s">
        <v>165</v>
      </c>
      <c r="F1252" s="86" t="s">
        <v>249</v>
      </c>
      <c r="G1252" s="86" t="s">
        <v>217</v>
      </c>
      <c r="H1252" s="88">
        <f t="shared" si="3"/>
        <v>0.7337</v>
      </c>
      <c r="I1252" s="134">
        <v>0.667</v>
      </c>
      <c r="J1252" s="133"/>
      <c r="K1252" s="132">
        <f t="shared" si="4"/>
        <v>0.0667</v>
      </c>
      <c r="L1252" s="84">
        <f t="shared" si="5"/>
        <v>1251</v>
      </c>
      <c r="M1252" s="85" t="s">
        <v>133</v>
      </c>
    </row>
    <row r="1253" ht="22.5" customHeight="1">
      <c r="A1253" s="131">
        <v>46205.0</v>
      </c>
      <c r="B1253" s="84" t="str">
        <f t="shared" si="1"/>
        <v>Jul 2026</v>
      </c>
      <c r="C1253" s="84">
        <f t="shared" si="2"/>
        <v>27</v>
      </c>
      <c r="D1253" s="85" t="s">
        <v>161</v>
      </c>
      <c r="E1253" s="85" t="s">
        <v>165</v>
      </c>
      <c r="F1253" s="86" t="s">
        <v>232</v>
      </c>
      <c r="G1253" s="87" t="s">
        <v>75</v>
      </c>
      <c r="H1253" s="88">
        <f t="shared" si="3"/>
        <v>0.11</v>
      </c>
      <c r="I1253" s="134">
        <v>0.1</v>
      </c>
      <c r="J1253" s="133"/>
      <c r="K1253" s="132">
        <f t="shared" si="4"/>
        <v>0.01</v>
      </c>
      <c r="L1253" s="84">
        <f t="shared" si="5"/>
        <v>1252</v>
      </c>
      <c r="M1253" s="85" t="s">
        <v>133</v>
      </c>
    </row>
    <row r="1254" ht="22.5" customHeight="1">
      <c r="A1254" s="131">
        <v>46205.0</v>
      </c>
      <c r="B1254" s="84" t="str">
        <f t="shared" si="1"/>
        <v>Jul 2026</v>
      </c>
      <c r="C1254" s="84">
        <f t="shared" si="2"/>
        <v>27</v>
      </c>
      <c r="D1254" s="85" t="s">
        <v>129</v>
      </c>
      <c r="E1254" s="85" t="s">
        <v>167</v>
      </c>
      <c r="F1254" s="86" t="s">
        <v>134</v>
      </c>
      <c r="G1254" s="86" t="s">
        <v>224</v>
      </c>
      <c r="H1254" s="88">
        <f t="shared" si="3"/>
        <v>0.7337</v>
      </c>
      <c r="I1254" s="134">
        <v>0.667</v>
      </c>
      <c r="J1254" s="133"/>
      <c r="K1254" s="132">
        <f t="shared" si="4"/>
        <v>0.0667</v>
      </c>
      <c r="L1254" s="84">
        <f t="shared" si="5"/>
        <v>1253</v>
      </c>
      <c r="M1254" s="85" t="s">
        <v>133</v>
      </c>
    </row>
    <row r="1255" ht="22.5" customHeight="1">
      <c r="A1255" s="131">
        <v>46205.0</v>
      </c>
      <c r="B1255" s="84" t="str">
        <f t="shared" si="1"/>
        <v>Jul 2026</v>
      </c>
      <c r="C1255" s="84">
        <f t="shared" si="2"/>
        <v>27</v>
      </c>
      <c r="D1255" s="85" t="s">
        <v>129</v>
      </c>
      <c r="E1255" s="85" t="s">
        <v>167</v>
      </c>
      <c r="F1255" s="86" t="s">
        <v>270</v>
      </c>
      <c r="G1255" s="86" t="s">
        <v>219</v>
      </c>
      <c r="H1255" s="88">
        <f t="shared" si="3"/>
        <v>0.7337</v>
      </c>
      <c r="I1255" s="134">
        <v>0.667</v>
      </c>
      <c r="J1255" s="133"/>
      <c r="K1255" s="132">
        <f t="shared" si="4"/>
        <v>0.0667</v>
      </c>
      <c r="L1255" s="84">
        <f t="shared" si="5"/>
        <v>1254</v>
      </c>
      <c r="M1255" s="85" t="s">
        <v>133</v>
      </c>
    </row>
    <row r="1256" ht="22.5" customHeight="1">
      <c r="A1256" s="131">
        <v>46205.0</v>
      </c>
      <c r="B1256" s="84" t="str">
        <f t="shared" si="1"/>
        <v>Jul 2026</v>
      </c>
      <c r="C1256" s="84">
        <f t="shared" si="2"/>
        <v>27</v>
      </c>
      <c r="D1256" s="85" t="s">
        <v>161</v>
      </c>
      <c r="E1256" s="85" t="s">
        <v>167</v>
      </c>
      <c r="F1256" s="86" t="s">
        <v>232</v>
      </c>
      <c r="G1256" s="87" t="s">
        <v>75</v>
      </c>
      <c r="H1256" s="88">
        <f t="shared" si="3"/>
        <v>0.11</v>
      </c>
      <c r="I1256" s="134">
        <v>0.1</v>
      </c>
      <c r="J1256" s="133"/>
      <c r="K1256" s="132">
        <f t="shared" si="4"/>
        <v>0.01</v>
      </c>
      <c r="L1256" s="84">
        <f t="shared" si="5"/>
        <v>1255</v>
      </c>
      <c r="M1256" s="85" t="s">
        <v>133</v>
      </c>
    </row>
    <row r="1257" ht="22.5" customHeight="1">
      <c r="A1257" s="131">
        <v>46205.0</v>
      </c>
      <c r="B1257" s="84" t="str">
        <f t="shared" si="1"/>
        <v>Jul 2026</v>
      </c>
      <c r="C1257" s="84">
        <f t="shared" si="2"/>
        <v>27</v>
      </c>
      <c r="D1257" s="85" t="s">
        <v>161</v>
      </c>
      <c r="E1257" s="85" t="s">
        <v>167</v>
      </c>
      <c r="F1257" s="86" t="s">
        <v>232</v>
      </c>
      <c r="G1257" s="87" t="s">
        <v>75</v>
      </c>
      <c r="H1257" s="88">
        <f t="shared" si="3"/>
        <v>0.11</v>
      </c>
      <c r="I1257" s="134">
        <v>0.1</v>
      </c>
      <c r="J1257" s="133"/>
      <c r="K1257" s="132">
        <f t="shared" si="4"/>
        <v>0.01</v>
      </c>
      <c r="L1257" s="84">
        <f t="shared" si="5"/>
        <v>1256</v>
      </c>
      <c r="M1257" s="85" t="s">
        <v>133</v>
      </c>
    </row>
    <row r="1258" ht="22.5" customHeight="1">
      <c r="A1258" s="131">
        <v>46205.0</v>
      </c>
      <c r="B1258" s="84" t="str">
        <f t="shared" si="1"/>
        <v>Jul 2026</v>
      </c>
      <c r="C1258" s="84">
        <f t="shared" si="2"/>
        <v>27</v>
      </c>
      <c r="D1258" s="85" t="s">
        <v>129</v>
      </c>
      <c r="E1258" s="85" t="s">
        <v>167</v>
      </c>
      <c r="F1258" s="86" t="s">
        <v>268</v>
      </c>
      <c r="G1258" s="86" t="s">
        <v>222</v>
      </c>
      <c r="H1258" s="88">
        <f t="shared" si="3"/>
        <v>0.7337</v>
      </c>
      <c r="I1258" s="134">
        <v>0.667</v>
      </c>
      <c r="J1258" s="133"/>
      <c r="K1258" s="132">
        <f t="shared" si="4"/>
        <v>0.0667</v>
      </c>
      <c r="L1258" s="84">
        <f t="shared" si="5"/>
        <v>1257</v>
      </c>
      <c r="M1258" s="85" t="s">
        <v>133</v>
      </c>
    </row>
    <row r="1259" ht="22.5" customHeight="1">
      <c r="A1259" s="131">
        <v>46205.0</v>
      </c>
      <c r="B1259" s="84" t="str">
        <f t="shared" si="1"/>
        <v>Jul 2026</v>
      </c>
      <c r="C1259" s="84">
        <f t="shared" si="2"/>
        <v>27</v>
      </c>
      <c r="D1259" s="85" t="s">
        <v>160</v>
      </c>
      <c r="E1259" s="85" t="s">
        <v>167</v>
      </c>
      <c r="F1259" s="86" t="s">
        <v>251</v>
      </c>
      <c r="G1259" s="87" t="s">
        <v>218</v>
      </c>
      <c r="H1259" s="88">
        <f t="shared" si="3"/>
        <v>1.1</v>
      </c>
      <c r="I1259" s="134">
        <v>1.0</v>
      </c>
      <c r="J1259" s="133"/>
      <c r="K1259" s="132">
        <f t="shared" si="4"/>
        <v>0.1</v>
      </c>
      <c r="L1259" s="84">
        <f t="shared" si="5"/>
        <v>1258</v>
      </c>
      <c r="M1259" s="85" t="s">
        <v>175</v>
      </c>
    </row>
    <row r="1260" ht="22.5" customHeight="1">
      <c r="A1260" s="131">
        <v>46205.0</v>
      </c>
      <c r="B1260" s="84" t="str">
        <f t="shared" si="1"/>
        <v>Jul 2026</v>
      </c>
      <c r="C1260" s="84">
        <f t="shared" si="2"/>
        <v>27</v>
      </c>
      <c r="D1260" s="85" t="s">
        <v>160</v>
      </c>
      <c r="E1260" s="85" t="s">
        <v>167</v>
      </c>
      <c r="F1260" s="86" t="s">
        <v>248</v>
      </c>
      <c r="G1260" s="87" t="s">
        <v>227</v>
      </c>
      <c r="H1260" s="88">
        <f t="shared" si="3"/>
        <v>1.1</v>
      </c>
      <c r="I1260" s="134">
        <v>1.0</v>
      </c>
      <c r="J1260" s="133"/>
      <c r="K1260" s="132">
        <f t="shared" si="4"/>
        <v>0.1</v>
      </c>
      <c r="L1260" s="84">
        <f t="shared" si="5"/>
        <v>1259</v>
      </c>
      <c r="M1260" s="85" t="s">
        <v>175</v>
      </c>
    </row>
    <row r="1261" ht="22.5" customHeight="1">
      <c r="A1261" s="131">
        <v>46205.0</v>
      </c>
      <c r="B1261" s="84" t="str">
        <f t="shared" si="1"/>
        <v>Jul 2026</v>
      </c>
      <c r="C1261" s="84">
        <f t="shared" si="2"/>
        <v>27</v>
      </c>
      <c r="D1261" s="85" t="s">
        <v>129</v>
      </c>
      <c r="E1261" s="85" t="s">
        <v>167</v>
      </c>
      <c r="F1261" s="86" t="s">
        <v>249</v>
      </c>
      <c r="G1261" s="86" t="s">
        <v>217</v>
      </c>
      <c r="H1261" s="88">
        <f t="shared" si="3"/>
        <v>0.7337</v>
      </c>
      <c r="I1261" s="134">
        <v>0.667</v>
      </c>
      <c r="J1261" s="133"/>
      <c r="K1261" s="132">
        <f t="shared" si="4"/>
        <v>0.0667</v>
      </c>
      <c r="L1261" s="84">
        <f t="shared" si="5"/>
        <v>1260</v>
      </c>
      <c r="M1261" s="85" t="s">
        <v>133</v>
      </c>
    </row>
    <row r="1262" ht="22.5" customHeight="1">
      <c r="A1262" s="131">
        <v>46205.0</v>
      </c>
      <c r="B1262" s="84" t="str">
        <f t="shared" si="1"/>
        <v>Jul 2026</v>
      </c>
      <c r="C1262" s="84">
        <f t="shared" si="2"/>
        <v>27</v>
      </c>
      <c r="D1262" s="85" t="s">
        <v>129</v>
      </c>
      <c r="E1262" s="85" t="s">
        <v>167</v>
      </c>
      <c r="F1262" s="86" t="s">
        <v>262</v>
      </c>
      <c r="G1262" s="86" t="s">
        <v>223</v>
      </c>
      <c r="H1262" s="88">
        <f t="shared" si="3"/>
        <v>0.7337</v>
      </c>
      <c r="I1262" s="134">
        <v>0.667</v>
      </c>
      <c r="J1262" s="133"/>
      <c r="K1262" s="132">
        <f t="shared" si="4"/>
        <v>0.0667</v>
      </c>
      <c r="L1262" s="84">
        <f t="shared" si="5"/>
        <v>1261</v>
      </c>
      <c r="M1262" s="85" t="s">
        <v>133</v>
      </c>
    </row>
    <row r="1263" ht="22.5" customHeight="1">
      <c r="A1263" s="131">
        <v>46205.0</v>
      </c>
      <c r="B1263" s="84" t="str">
        <f t="shared" si="1"/>
        <v>Jul 2026</v>
      </c>
      <c r="C1263" s="84">
        <f t="shared" si="2"/>
        <v>27</v>
      </c>
      <c r="D1263" s="85" t="s">
        <v>161</v>
      </c>
      <c r="E1263" s="85" t="s">
        <v>167</v>
      </c>
      <c r="F1263" s="86" t="s">
        <v>232</v>
      </c>
      <c r="G1263" s="87" t="s">
        <v>75</v>
      </c>
      <c r="H1263" s="88">
        <f t="shared" si="3"/>
        <v>0.11</v>
      </c>
      <c r="I1263" s="134">
        <v>0.1</v>
      </c>
      <c r="J1263" s="133"/>
      <c r="K1263" s="132">
        <f t="shared" si="4"/>
        <v>0.01</v>
      </c>
      <c r="L1263" s="84">
        <f t="shared" si="5"/>
        <v>1262</v>
      </c>
      <c r="M1263" s="85" t="s">
        <v>133</v>
      </c>
    </row>
    <row r="1264" ht="22.5" customHeight="1">
      <c r="A1264" s="131">
        <v>46205.0</v>
      </c>
      <c r="B1264" s="84" t="str">
        <f t="shared" si="1"/>
        <v>Jul 2026</v>
      </c>
      <c r="C1264" s="84">
        <f t="shared" si="2"/>
        <v>27</v>
      </c>
      <c r="D1264" s="85" t="s">
        <v>129</v>
      </c>
      <c r="E1264" s="85" t="s">
        <v>130</v>
      </c>
      <c r="F1264" s="86" t="s">
        <v>270</v>
      </c>
      <c r="G1264" s="86" t="s">
        <v>219</v>
      </c>
      <c r="H1264" s="88">
        <f t="shared" si="3"/>
        <v>0.7337</v>
      </c>
      <c r="I1264" s="134">
        <v>0.667</v>
      </c>
      <c r="J1264" s="133"/>
      <c r="K1264" s="132">
        <f t="shared" si="4"/>
        <v>0.0667</v>
      </c>
      <c r="L1264" s="84">
        <f t="shared" si="5"/>
        <v>1263</v>
      </c>
      <c r="M1264" s="85" t="s">
        <v>133</v>
      </c>
    </row>
    <row r="1265" ht="22.5" customHeight="1">
      <c r="A1265" s="131">
        <v>46205.0</v>
      </c>
      <c r="B1265" s="84" t="str">
        <f t="shared" si="1"/>
        <v>Jul 2026</v>
      </c>
      <c r="C1265" s="84">
        <f t="shared" si="2"/>
        <v>27</v>
      </c>
      <c r="D1265" s="85" t="s">
        <v>161</v>
      </c>
      <c r="E1265" s="85" t="s">
        <v>130</v>
      </c>
      <c r="F1265" s="86" t="s">
        <v>232</v>
      </c>
      <c r="G1265" s="87" t="s">
        <v>75</v>
      </c>
      <c r="H1265" s="88">
        <f t="shared" si="3"/>
        <v>0.11</v>
      </c>
      <c r="I1265" s="134">
        <v>0.1</v>
      </c>
      <c r="J1265" s="133"/>
      <c r="K1265" s="132">
        <f t="shared" si="4"/>
        <v>0.01</v>
      </c>
      <c r="L1265" s="84">
        <f t="shared" si="5"/>
        <v>1264</v>
      </c>
      <c r="M1265" s="85" t="s">
        <v>133</v>
      </c>
    </row>
    <row r="1266" ht="22.5" customHeight="1">
      <c r="A1266" s="131">
        <v>46205.0</v>
      </c>
      <c r="B1266" s="84" t="str">
        <f t="shared" si="1"/>
        <v>Jul 2026</v>
      </c>
      <c r="C1266" s="84">
        <f t="shared" si="2"/>
        <v>27</v>
      </c>
      <c r="D1266" s="85" t="s">
        <v>129</v>
      </c>
      <c r="E1266" s="85" t="s">
        <v>130</v>
      </c>
      <c r="F1266" s="86" t="s">
        <v>268</v>
      </c>
      <c r="G1266" s="86" t="s">
        <v>222</v>
      </c>
      <c r="H1266" s="88">
        <f t="shared" si="3"/>
        <v>0.7337</v>
      </c>
      <c r="I1266" s="134">
        <v>0.667</v>
      </c>
      <c r="J1266" s="133"/>
      <c r="K1266" s="132">
        <f t="shared" si="4"/>
        <v>0.0667</v>
      </c>
      <c r="L1266" s="84">
        <f t="shared" si="5"/>
        <v>1265</v>
      </c>
      <c r="M1266" s="85" t="s">
        <v>133</v>
      </c>
    </row>
    <row r="1267" ht="22.5" customHeight="1">
      <c r="A1267" s="131">
        <v>46205.0</v>
      </c>
      <c r="B1267" s="84" t="str">
        <f t="shared" si="1"/>
        <v>Jul 2026</v>
      </c>
      <c r="C1267" s="84">
        <f t="shared" si="2"/>
        <v>27</v>
      </c>
      <c r="D1267" s="85" t="s">
        <v>160</v>
      </c>
      <c r="E1267" s="85" t="s">
        <v>130</v>
      </c>
      <c r="F1267" s="86" t="s">
        <v>251</v>
      </c>
      <c r="G1267" s="87" t="s">
        <v>218</v>
      </c>
      <c r="H1267" s="88">
        <f t="shared" si="3"/>
        <v>1.1</v>
      </c>
      <c r="I1267" s="134">
        <v>1.0</v>
      </c>
      <c r="J1267" s="133"/>
      <c r="K1267" s="132">
        <f t="shared" si="4"/>
        <v>0.1</v>
      </c>
      <c r="L1267" s="84">
        <f t="shared" si="5"/>
        <v>1266</v>
      </c>
      <c r="M1267" s="85" t="s">
        <v>175</v>
      </c>
    </row>
    <row r="1268" ht="22.5" customHeight="1">
      <c r="A1268" s="131">
        <v>46205.0</v>
      </c>
      <c r="B1268" s="84" t="str">
        <f t="shared" si="1"/>
        <v>Jul 2026</v>
      </c>
      <c r="C1268" s="84">
        <f t="shared" si="2"/>
        <v>27</v>
      </c>
      <c r="D1268" s="85" t="s">
        <v>160</v>
      </c>
      <c r="E1268" s="85" t="s">
        <v>130</v>
      </c>
      <c r="F1268" s="86" t="s">
        <v>248</v>
      </c>
      <c r="G1268" s="87" t="s">
        <v>227</v>
      </c>
      <c r="H1268" s="88">
        <f t="shared" si="3"/>
        <v>1.1</v>
      </c>
      <c r="I1268" s="134">
        <v>1.0</v>
      </c>
      <c r="J1268" s="133"/>
      <c r="K1268" s="132">
        <f t="shared" si="4"/>
        <v>0.1</v>
      </c>
      <c r="L1268" s="84">
        <f t="shared" si="5"/>
        <v>1267</v>
      </c>
      <c r="M1268" s="85" t="s">
        <v>175</v>
      </c>
    </row>
    <row r="1269" ht="22.5" customHeight="1">
      <c r="A1269" s="131">
        <v>46205.0</v>
      </c>
      <c r="B1269" s="84" t="str">
        <f t="shared" si="1"/>
        <v>Jul 2026</v>
      </c>
      <c r="C1269" s="84">
        <f t="shared" si="2"/>
        <v>27</v>
      </c>
      <c r="D1269" s="85" t="s">
        <v>129</v>
      </c>
      <c r="E1269" s="85" t="s">
        <v>130</v>
      </c>
      <c r="F1269" s="86" t="s">
        <v>134</v>
      </c>
      <c r="G1269" s="86" t="s">
        <v>224</v>
      </c>
      <c r="H1269" s="88">
        <f t="shared" si="3"/>
        <v>0.7337</v>
      </c>
      <c r="I1269" s="134">
        <v>0.667</v>
      </c>
      <c r="J1269" s="133"/>
      <c r="K1269" s="132">
        <f t="shared" si="4"/>
        <v>0.0667</v>
      </c>
      <c r="L1269" s="84">
        <f t="shared" si="5"/>
        <v>1268</v>
      </c>
      <c r="M1269" s="85" t="s">
        <v>133</v>
      </c>
    </row>
    <row r="1270" ht="22.5" customHeight="1">
      <c r="A1270" s="131">
        <v>46205.0</v>
      </c>
      <c r="B1270" s="84" t="str">
        <f t="shared" si="1"/>
        <v>Jul 2026</v>
      </c>
      <c r="C1270" s="84">
        <f t="shared" si="2"/>
        <v>27</v>
      </c>
      <c r="D1270" s="85" t="s">
        <v>129</v>
      </c>
      <c r="E1270" s="85" t="s">
        <v>130</v>
      </c>
      <c r="F1270" s="86" t="s">
        <v>249</v>
      </c>
      <c r="G1270" s="86" t="s">
        <v>217</v>
      </c>
      <c r="H1270" s="88">
        <f t="shared" si="3"/>
        <v>0.7337</v>
      </c>
      <c r="I1270" s="134">
        <v>0.667</v>
      </c>
      <c r="J1270" s="133"/>
      <c r="K1270" s="132">
        <f t="shared" si="4"/>
        <v>0.0667</v>
      </c>
      <c r="L1270" s="84">
        <f t="shared" si="5"/>
        <v>1269</v>
      </c>
      <c r="M1270" s="85" t="s">
        <v>133</v>
      </c>
    </row>
    <row r="1271" ht="22.5" customHeight="1">
      <c r="A1271" s="131">
        <v>46205.0</v>
      </c>
      <c r="B1271" s="84" t="str">
        <f t="shared" si="1"/>
        <v>Jul 2026</v>
      </c>
      <c r="C1271" s="84">
        <f t="shared" si="2"/>
        <v>27</v>
      </c>
      <c r="D1271" s="85" t="s">
        <v>161</v>
      </c>
      <c r="E1271" s="85" t="s">
        <v>130</v>
      </c>
      <c r="F1271" s="86" t="s">
        <v>232</v>
      </c>
      <c r="G1271" s="87" t="s">
        <v>75</v>
      </c>
      <c r="H1271" s="88">
        <f t="shared" si="3"/>
        <v>0.11</v>
      </c>
      <c r="I1271" s="134">
        <v>0.1</v>
      </c>
      <c r="J1271" s="133"/>
      <c r="K1271" s="132">
        <f t="shared" si="4"/>
        <v>0.01</v>
      </c>
      <c r="L1271" s="84">
        <f t="shared" si="5"/>
        <v>1270</v>
      </c>
      <c r="M1271" s="85" t="s">
        <v>133</v>
      </c>
    </row>
    <row r="1272" ht="22.5" customHeight="1">
      <c r="A1272" s="131">
        <v>46205.0</v>
      </c>
      <c r="B1272" s="84" t="str">
        <f t="shared" si="1"/>
        <v>Jul 2026</v>
      </c>
      <c r="C1272" s="84">
        <f t="shared" si="2"/>
        <v>27</v>
      </c>
      <c r="D1272" s="85" t="s">
        <v>129</v>
      </c>
      <c r="E1272" s="85" t="s">
        <v>130</v>
      </c>
      <c r="F1272" s="86" t="s">
        <v>262</v>
      </c>
      <c r="G1272" s="86" t="s">
        <v>223</v>
      </c>
      <c r="H1272" s="88">
        <f t="shared" si="3"/>
        <v>0.7337</v>
      </c>
      <c r="I1272" s="134">
        <v>0.667</v>
      </c>
      <c r="J1272" s="133"/>
      <c r="K1272" s="132">
        <f t="shared" si="4"/>
        <v>0.0667</v>
      </c>
      <c r="L1272" s="84">
        <f t="shared" si="5"/>
        <v>1271</v>
      </c>
      <c r="M1272" s="85" t="s">
        <v>133</v>
      </c>
    </row>
    <row r="1273" ht="22.5" customHeight="1">
      <c r="A1273" s="131">
        <v>46205.0</v>
      </c>
      <c r="B1273" s="84" t="str">
        <f t="shared" si="1"/>
        <v>Jul 2026</v>
      </c>
      <c r="C1273" s="84">
        <f t="shared" si="2"/>
        <v>27</v>
      </c>
      <c r="D1273" s="85" t="s">
        <v>161</v>
      </c>
      <c r="E1273" s="85" t="s">
        <v>130</v>
      </c>
      <c r="F1273" s="86" t="s">
        <v>232</v>
      </c>
      <c r="G1273" s="87" t="s">
        <v>75</v>
      </c>
      <c r="H1273" s="88">
        <f t="shared" si="3"/>
        <v>0.11</v>
      </c>
      <c r="I1273" s="134">
        <v>0.1</v>
      </c>
      <c r="J1273" s="133"/>
      <c r="K1273" s="132">
        <f t="shared" si="4"/>
        <v>0.01</v>
      </c>
      <c r="L1273" s="84">
        <f t="shared" si="5"/>
        <v>1272</v>
      </c>
      <c r="M1273" s="85" t="s">
        <v>133</v>
      </c>
    </row>
    <row r="1274" ht="22.5" customHeight="1">
      <c r="A1274" s="131">
        <v>46206.0</v>
      </c>
      <c r="B1274" s="84" t="str">
        <f t="shared" si="1"/>
        <v>Jul 2026</v>
      </c>
      <c r="C1274" s="84">
        <f t="shared" si="2"/>
        <v>27</v>
      </c>
      <c r="D1274" s="85" t="s">
        <v>129</v>
      </c>
      <c r="E1274" s="85" t="s">
        <v>164</v>
      </c>
      <c r="F1274" s="86" t="s">
        <v>268</v>
      </c>
      <c r="G1274" s="86" t="s">
        <v>222</v>
      </c>
      <c r="H1274" s="88">
        <f t="shared" si="3"/>
        <v>0.7337</v>
      </c>
      <c r="I1274" s="134">
        <v>0.667</v>
      </c>
      <c r="J1274" s="133"/>
      <c r="K1274" s="132">
        <f t="shared" si="4"/>
        <v>0.0667</v>
      </c>
      <c r="L1274" s="84">
        <f t="shared" si="5"/>
        <v>1273</v>
      </c>
      <c r="M1274" s="85" t="s">
        <v>133</v>
      </c>
    </row>
    <row r="1275" ht="22.5" customHeight="1">
      <c r="A1275" s="131">
        <v>46206.0</v>
      </c>
      <c r="B1275" s="84" t="str">
        <f t="shared" si="1"/>
        <v>Jul 2026</v>
      </c>
      <c r="C1275" s="84">
        <f t="shared" si="2"/>
        <v>27</v>
      </c>
      <c r="D1275" s="85" t="s">
        <v>161</v>
      </c>
      <c r="E1275" s="85" t="s">
        <v>164</v>
      </c>
      <c r="F1275" s="86" t="s">
        <v>232</v>
      </c>
      <c r="G1275" s="87" t="s">
        <v>75</v>
      </c>
      <c r="H1275" s="88">
        <f t="shared" si="3"/>
        <v>0.11</v>
      </c>
      <c r="I1275" s="134">
        <v>0.1</v>
      </c>
      <c r="J1275" s="133"/>
      <c r="K1275" s="132">
        <f t="shared" si="4"/>
        <v>0.01</v>
      </c>
      <c r="L1275" s="84">
        <f t="shared" si="5"/>
        <v>1274</v>
      </c>
      <c r="M1275" s="85" t="s">
        <v>133</v>
      </c>
    </row>
    <row r="1276" ht="22.5" customHeight="1">
      <c r="A1276" s="131">
        <v>46206.0</v>
      </c>
      <c r="B1276" s="84" t="str">
        <f t="shared" si="1"/>
        <v>Jul 2026</v>
      </c>
      <c r="C1276" s="84">
        <f t="shared" si="2"/>
        <v>27</v>
      </c>
      <c r="D1276" s="85" t="s">
        <v>162</v>
      </c>
      <c r="E1276" s="85" t="s">
        <v>164</v>
      </c>
      <c r="F1276" s="86" t="s">
        <v>244</v>
      </c>
      <c r="G1276" s="86" t="s">
        <v>216</v>
      </c>
      <c r="H1276" s="88">
        <f t="shared" si="3"/>
        <v>1.1</v>
      </c>
      <c r="I1276" s="134">
        <v>1.0</v>
      </c>
      <c r="J1276" s="133"/>
      <c r="K1276" s="132">
        <f t="shared" si="4"/>
        <v>0.1</v>
      </c>
      <c r="L1276" s="84">
        <f t="shared" si="5"/>
        <v>1275</v>
      </c>
      <c r="M1276" s="85" t="s">
        <v>175</v>
      </c>
    </row>
    <row r="1277" ht="22.5" customHeight="1">
      <c r="A1277" s="131">
        <v>46206.0</v>
      </c>
      <c r="B1277" s="84" t="str">
        <f t="shared" si="1"/>
        <v>Jul 2026</v>
      </c>
      <c r="C1277" s="84">
        <f t="shared" si="2"/>
        <v>27</v>
      </c>
      <c r="D1277" s="85" t="s">
        <v>129</v>
      </c>
      <c r="E1277" s="85" t="s">
        <v>164</v>
      </c>
      <c r="F1277" s="86" t="s">
        <v>262</v>
      </c>
      <c r="G1277" s="86" t="s">
        <v>223</v>
      </c>
      <c r="H1277" s="88">
        <f t="shared" si="3"/>
        <v>0.7337</v>
      </c>
      <c r="I1277" s="134">
        <v>0.667</v>
      </c>
      <c r="J1277" s="133"/>
      <c r="K1277" s="132">
        <f t="shared" si="4"/>
        <v>0.0667</v>
      </c>
      <c r="L1277" s="84">
        <f t="shared" si="5"/>
        <v>1276</v>
      </c>
      <c r="M1277" s="85" t="s">
        <v>133</v>
      </c>
    </row>
    <row r="1278" ht="22.5" customHeight="1">
      <c r="A1278" s="131">
        <v>46206.0</v>
      </c>
      <c r="B1278" s="84" t="str">
        <f t="shared" si="1"/>
        <v>Jul 2026</v>
      </c>
      <c r="C1278" s="84">
        <f t="shared" si="2"/>
        <v>27</v>
      </c>
      <c r="D1278" s="85" t="s">
        <v>160</v>
      </c>
      <c r="E1278" s="85" t="s">
        <v>164</v>
      </c>
      <c r="F1278" s="86" t="s">
        <v>248</v>
      </c>
      <c r="G1278" s="87" t="s">
        <v>227</v>
      </c>
      <c r="H1278" s="88">
        <f t="shared" si="3"/>
        <v>1.1</v>
      </c>
      <c r="I1278" s="134">
        <v>1.0</v>
      </c>
      <c r="J1278" s="133"/>
      <c r="K1278" s="132">
        <f t="shared" si="4"/>
        <v>0.1</v>
      </c>
      <c r="L1278" s="84">
        <f t="shared" si="5"/>
        <v>1277</v>
      </c>
      <c r="M1278" s="85" t="s">
        <v>175</v>
      </c>
    </row>
    <row r="1279" ht="22.5" customHeight="1">
      <c r="A1279" s="131">
        <v>46206.0</v>
      </c>
      <c r="B1279" s="84" t="str">
        <f t="shared" si="1"/>
        <v>Jul 2026</v>
      </c>
      <c r="C1279" s="84">
        <f t="shared" si="2"/>
        <v>27</v>
      </c>
      <c r="D1279" s="85" t="s">
        <v>129</v>
      </c>
      <c r="E1279" s="85" t="s">
        <v>164</v>
      </c>
      <c r="F1279" s="86" t="s">
        <v>249</v>
      </c>
      <c r="G1279" s="86" t="s">
        <v>217</v>
      </c>
      <c r="H1279" s="88">
        <f t="shared" si="3"/>
        <v>0.7337</v>
      </c>
      <c r="I1279" s="134">
        <v>0.667</v>
      </c>
      <c r="J1279" s="133"/>
      <c r="K1279" s="132">
        <f t="shared" si="4"/>
        <v>0.0667</v>
      </c>
      <c r="L1279" s="84">
        <f t="shared" si="5"/>
        <v>1278</v>
      </c>
      <c r="M1279" s="85" t="s">
        <v>133</v>
      </c>
    </row>
    <row r="1280" ht="22.5" customHeight="1">
      <c r="A1280" s="131">
        <v>46206.0</v>
      </c>
      <c r="B1280" s="84" t="str">
        <f t="shared" si="1"/>
        <v>Jul 2026</v>
      </c>
      <c r="C1280" s="84">
        <f t="shared" si="2"/>
        <v>27</v>
      </c>
      <c r="D1280" s="85" t="s">
        <v>160</v>
      </c>
      <c r="E1280" s="85" t="s">
        <v>164</v>
      </c>
      <c r="F1280" s="86" t="s">
        <v>251</v>
      </c>
      <c r="G1280" s="87" t="s">
        <v>218</v>
      </c>
      <c r="H1280" s="88">
        <f t="shared" si="3"/>
        <v>1.1</v>
      </c>
      <c r="I1280" s="134">
        <v>1.0</v>
      </c>
      <c r="J1280" s="133"/>
      <c r="K1280" s="132">
        <f t="shared" si="4"/>
        <v>0.1</v>
      </c>
      <c r="L1280" s="84">
        <f t="shared" si="5"/>
        <v>1279</v>
      </c>
      <c r="M1280" s="85" t="s">
        <v>175</v>
      </c>
    </row>
    <row r="1281" ht="22.5" customHeight="1">
      <c r="A1281" s="131">
        <v>46206.0</v>
      </c>
      <c r="B1281" s="84" t="str">
        <f t="shared" si="1"/>
        <v>Jul 2026</v>
      </c>
      <c r="C1281" s="84">
        <f t="shared" si="2"/>
        <v>27</v>
      </c>
      <c r="D1281" s="85" t="s">
        <v>161</v>
      </c>
      <c r="E1281" s="85" t="s">
        <v>164</v>
      </c>
      <c r="F1281" s="86" t="s">
        <v>232</v>
      </c>
      <c r="G1281" s="87" t="s">
        <v>75</v>
      </c>
      <c r="H1281" s="88">
        <f t="shared" si="3"/>
        <v>0.11</v>
      </c>
      <c r="I1281" s="134">
        <v>0.1</v>
      </c>
      <c r="J1281" s="133"/>
      <c r="K1281" s="132">
        <f t="shared" si="4"/>
        <v>0.01</v>
      </c>
      <c r="L1281" s="84">
        <f t="shared" si="5"/>
        <v>1280</v>
      </c>
      <c r="M1281" s="85" t="s">
        <v>133</v>
      </c>
    </row>
    <row r="1282" ht="22.5" customHeight="1">
      <c r="A1282" s="131">
        <v>46206.0</v>
      </c>
      <c r="B1282" s="84" t="str">
        <f t="shared" si="1"/>
        <v>Jul 2026</v>
      </c>
      <c r="C1282" s="84">
        <f t="shared" si="2"/>
        <v>27</v>
      </c>
      <c r="D1282" s="85" t="s">
        <v>161</v>
      </c>
      <c r="E1282" s="85" t="s">
        <v>164</v>
      </c>
      <c r="F1282" s="86" t="s">
        <v>232</v>
      </c>
      <c r="G1282" s="87" t="s">
        <v>75</v>
      </c>
      <c r="H1282" s="88">
        <f t="shared" si="3"/>
        <v>0.11</v>
      </c>
      <c r="I1282" s="134">
        <v>0.1</v>
      </c>
      <c r="J1282" s="133"/>
      <c r="K1282" s="132">
        <f t="shared" si="4"/>
        <v>0.01</v>
      </c>
      <c r="L1282" s="84">
        <f t="shared" si="5"/>
        <v>1281</v>
      </c>
      <c r="M1282" s="85" t="s">
        <v>133</v>
      </c>
    </row>
    <row r="1283" ht="22.5" customHeight="1">
      <c r="A1283" s="131">
        <v>46206.0</v>
      </c>
      <c r="B1283" s="84" t="str">
        <f t="shared" si="1"/>
        <v>Jul 2026</v>
      </c>
      <c r="C1283" s="84">
        <f t="shared" si="2"/>
        <v>27</v>
      </c>
      <c r="D1283" s="85" t="s">
        <v>129</v>
      </c>
      <c r="E1283" s="85" t="s">
        <v>164</v>
      </c>
      <c r="F1283" s="86" t="s">
        <v>134</v>
      </c>
      <c r="G1283" s="86" t="s">
        <v>224</v>
      </c>
      <c r="H1283" s="88">
        <f t="shared" si="3"/>
        <v>0.7337</v>
      </c>
      <c r="I1283" s="134">
        <v>0.667</v>
      </c>
      <c r="J1283" s="133"/>
      <c r="K1283" s="132">
        <f t="shared" si="4"/>
        <v>0.0667</v>
      </c>
      <c r="L1283" s="84">
        <f t="shared" si="5"/>
        <v>1282</v>
      </c>
      <c r="M1283" s="85" t="s">
        <v>133</v>
      </c>
    </row>
    <row r="1284" ht="22.5" customHeight="1">
      <c r="A1284" s="131">
        <v>46206.0</v>
      </c>
      <c r="B1284" s="84" t="str">
        <f t="shared" si="1"/>
        <v>Jul 2026</v>
      </c>
      <c r="C1284" s="84">
        <f t="shared" si="2"/>
        <v>27</v>
      </c>
      <c r="D1284" s="85" t="s">
        <v>160</v>
      </c>
      <c r="E1284" s="85" t="s">
        <v>165</v>
      </c>
      <c r="F1284" s="86" t="s">
        <v>251</v>
      </c>
      <c r="G1284" s="87" t="s">
        <v>218</v>
      </c>
      <c r="H1284" s="88">
        <f t="shared" si="3"/>
        <v>1.1</v>
      </c>
      <c r="I1284" s="134">
        <v>1.0</v>
      </c>
      <c r="J1284" s="133"/>
      <c r="K1284" s="132">
        <f t="shared" si="4"/>
        <v>0.1</v>
      </c>
      <c r="L1284" s="84">
        <f t="shared" si="5"/>
        <v>1283</v>
      </c>
      <c r="M1284" s="85" t="s">
        <v>175</v>
      </c>
    </row>
    <row r="1285" ht="22.5" customHeight="1">
      <c r="A1285" s="131">
        <v>46206.0</v>
      </c>
      <c r="B1285" s="84" t="str">
        <f t="shared" si="1"/>
        <v>Jul 2026</v>
      </c>
      <c r="C1285" s="84">
        <f t="shared" si="2"/>
        <v>27</v>
      </c>
      <c r="D1285" s="85" t="s">
        <v>129</v>
      </c>
      <c r="E1285" s="85" t="s">
        <v>165</v>
      </c>
      <c r="F1285" s="86" t="s">
        <v>262</v>
      </c>
      <c r="G1285" s="86" t="s">
        <v>223</v>
      </c>
      <c r="H1285" s="88">
        <f t="shared" si="3"/>
        <v>0.7337</v>
      </c>
      <c r="I1285" s="134">
        <v>0.667</v>
      </c>
      <c r="J1285" s="133"/>
      <c r="K1285" s="132">
        <f t="shared" si="4"/>
        <v>0.0667</v>
      </c>
      <c r="L1285" s="84">
        <f t="shared" si="5"/>
        <v>1284</v>
      </c>
      <c r="M1285" s="85" t="s">
        <v>133</v>
      </c>
    </row>
    <row r="1286" ht="22.5" customHeight="1">
      <c r="A1286" s="131">
        <v>46206.0</v>
      </c>
      <c r="B1286" s="84" t="str">
        <f t="shared" si="1"/>
        <v>Jul 2026</v>
      </c>
      <c r="C1286" s="84">
        <f t="shared" si="2"/>
        <v>27</v>
      </c>
      <c r="D1286" s="85" t="s">
        <v>161</v>
      </c>
      <c r="E1286" s="85" t="s">
        <v>165</v>
      </c>
      <c r="F1286" s="86" t="s">
        <v>232</v>
      </c>
      <c r="G1286" s="87" t="s">
        <v>75</v>
      </c>
      <c r="H1286" s="88">
        <f t="shared" si="3"/>
        <v>0.11</v>
      </c>
      <c r="I1286" s="134">
        <v>0.1</v>
      </c>
      <c r="J1286" s="133"/>
      <c r="K1286" s="132">
        <f t="shared" si="4"/>
        <v>0.01</v>
      </c>
      <c r="L1286" s="84">
        <f t="shared" si="5"/>
        <v>1285</v>
      </c>
      <c r="M1286" s="85" t="s">
        <v>133</v>
      </c>
    </row>
    <row r="1287" ht="22.5" customHeight="1">
      <c r="A1287" s="131">
        <v>46206.0</v>
      </c>
      <c r="B1287" s="84" t="str">
        <f t="shared" si="1"/>
        <v>Jul 2026</v>
      </c>
      <c r="C1287" s="84">
        <f t="shared" si="2"/>
        <v>27</v>
      </c>
      <c r="D1287" s="85" t="s">
        <v>129</v>
      </c>
      <c r="E1287" s="85" t="s">
        <v>165</v>
      </c>
      <c r="F1287" s="86" t="s">
        <v>268</v>
      </c>
      <c r="G1287" s="86" t="s">
        <v>222</v>
      </c>
      <c r="H1287" s="88">
        <f t="shared" si="3"/>
        <v>0.7337</v>
      </c>
      <c r="I1287" s="134">
        <v>0.667</v>
      </c>
      <c r="J1287" s="133"/>
      <c r="K1287" s="132">
        <f t="shared" si="4"/>
        <v>0.0667</v>
      </c>
      <c r="L1287" s="84">
        <f t="shared" si="5"/>
        <v>1286</v>
      </c>
      <c r="M1287" s="85" t="s">
        <v>133</v>
      </c>
    </row>
    <row r="1288" ht="22.5" customHeight="1">
      <c r="A1288" s="131">
        <v>46206.0</v>
      </c>
      <c r="B1288" s="84" t="str">
        <f t="shared" si="1"/>
        <v>Jul 2026</v>
      </c>
      <c r="C1288" s="84">
        <f t="shared" si="2"/>
        <v>27</v>
      </c>
      <c r="D1288" s="85" t="s">
        <v>129</v>
      </c>
      <c r="E1288" s="85" t="s">
        <v>165</v>
      </c>
      <c r="F1288" s="86" t="s">
        <v>270</v>
      </c>
      <c r="G1288" s="86" t="s">
        <v>219</v>
      </c>
      <c r="H1288" s="88">
        <f t="shared" si="3"/>
        <v>0.7337</v>
      </c>
      <c r="I1288" s="134">
        <v>0.667</v>
      </c>
      <c r="J1288" s="133"/>
      <c r="K1288" s="132">
        <f t="shared" si="4"/>
        <v>0.0667</v>
      </c>
      <c r="L1288" s="84">
        <f t="shared" si="5"/>
        <v>1287</v>
      </c>
      <c r="M1288" s="85" t="s">
        <v>133</v>
      </c>
    </row>
    <row r="1289" ht="22.5" customHeight="1">
      <c r="A1289" s="131">
        <v>46206.0</v>
      </c>
      <c r="B1289" s="84" t="str">
        <f t="shared" si="1"/>
        <v>Jul 2026</v>
      </c>
      <c r="C1289" s="84">
        <f t="shared" si="2"/>
        <v>27</v>
      </c>
      <c r="D1289" s="85" t="s">
        <v>160</v>
      </c>
      <c r="E1289" s="85" t="s">
        <v>165</v>
      </c>
      <c r="F1289" s="86" t="s">
        <v>248</v>
      </c>
      <c r="G1289" s="87" t="s">
        <v>227</v>
      </c>
      <c r="H1289" s="88">
        <f t="shared" si="3"/>
        <v>1.1</v>
      </c>
      <c r="I1289" s="134">
        <v>1.0</v>
      </c>
      <c r="J1289" s="133"/>
      <c r="K1289" s="132">
        <f t="shared" si="4"/>
        <v>0.1</v>
      </c>
      <c r="L1289" s="84">
        <f t="shared" si="5"/>
        <v>1288</v>
      </c>
      <c r="M1289" s="85" t="s">
        <v>175</v>
      </c>
    </row>
    <row r="1290" ht="22.5" customHeight="1">
      <c r="A1290" s="131">
        <v>46206.0</v>
      </c>
      <c r="B1290" s="84" t="str">
        <f t="shared" si="1"/>
        <v>Jul 2026</v>
      </c>
      <c r="C1290" s="84">
        <f t="shared" si="2"/>
        <v>27</v>
      </c>
      <c r="D1290" s="85" t="s">
        <v>161</v>
      </c>
      <c r="E1290" s="85" t="s">
        <v>165</v>
      </c>
      <c r="F1290" s="86" t="s">
        <v>232</v>
      </c>
      <c r="G1290" s="87" t="s">
        <v>75</v>
      </c>
      <c r="H1290" s="88">
        <f t="shared" si="3"/>
        <v>0.11</v>
      </c>
      <c r="I1290" s="134">
        <v>0.1</v>
      </c>
      <c r="J1290" s="133"/>
      <c r="K1290" s="132">
        <f t="shared" si="4"/>
        <v>0.01</v>
      </c>
      <c r="L1290" s="84">
        <f t="shared" si="5"/>
        <v>1289</v>
      </c>
      <c r="M1290" s="85" t="s">
        <v>133</v>
      </c>
    </row>
    <row r="1291" ht="22.5" customHeight="1">
      <c r="A1291" s="131">
        <v>46206.0</v>
      </c>
      <c r="B1291" s="84" t="str">
        <f t="shared" si="1"/>
        <v>Jul 2026</v>
      </c>
      <c r="C1291" s="84">
        <f t="shared" si="2"/>
        <v>27</v>
      </c>
      <c r="D1291" s="85" t="s">
        <v>129</v>
      </c>
      <c r="E1291" s="85" t="s">
        <v>165</v>
      </c>
      <c r="F1291" s="86" t="s">
        <v>249</v>
      </c>
      <c r="G1291" s="86" t="s">
        <v>217</v>
      </c>
      <c r="H1291" s="88">
        <f t="shared" si="3"/>
        <v>0.7337</v>
      </c>
      <c r="I1291" s="134">
        <v>0.667</v>
      </c>
      <c r="J1291" s="133"/>
      <c r="K1291" s="132">
        <f t="shared" si="4"/>
        <v>0.0667</v>
      </c>
      <c r="L1291" s="84">
        <f t="shared" si="5"/>
        <v>1290</v>
      </c>
      <c r="M1291" s="85" t="s">
        <v>133</v>
      </c>
    </row>
    <row r="1292" ht="22.5" customHeight="1">
      <c r="A1292" s="131">
        <v>46206.0</v>
      </c>
      <c r="B1292" s="84" t="str">
        <f t="shared" si="1"/>
        <v>Jul 2026</v>
      </c>
      <c r="C1292" s="84">
        <f t="shared" si="2"/>
        <v>27</v>
      </c>
      <c r="D1292" s="85" t="s">
        <v>161</v>
      </c>
      <c r="E1292" s="85" t="s">
        <v>165</v>
      </c>
      <c r="F1292" s="86" t="s">
        <v>232</v>
      </c>
      <c r="G1292" s="87" t="s">
        <v>75</v>
      </c>
      <c r="H1292" s="88">
        <f t="shared" si="3"/>
        <v>0.11</v>
      </c>
      <c r="I1292" s="134">
        <v>0.1</v>
      </c>
      <c r="J1292" s="133"/>
      <c r="K1292" s="132">
        <f t="shared" si="4"/>
        <v>0.01</v>
      </c>
      <c r="L1292" s="84">
        <f t="shared" si="5"/>
        <v>1291</v>
      </c>
      <c r="M1292" s="85" t="s">
        <v>133</v>
      </c>
    </row>
    <row r="1293" ht="22.5" customHeight="1">
      <c r="A1293" s="131">
        <v>46206.0</v>
      </c>
      <c r="B1293" s="84" t="str">
        <f t="shared" si="1"/>
        <v>Jul 2026</v>
      </c>
      <c r="C1293" s="84">
        <f t="shared" si="2"/>
        <v>27</v>
      </c>
      <c r="D1293" s="85" t="s">
        <v>129</v>
      </c>
      <c r="E1293" s="85" t="s">
        <v>165</v>
      </c>
      <c r="F1293" s="86" t="s">
        <v>134</v>
      </c>
      <c r="G1293" s="86" t="s">
        <v>224</v>
      </c>
      <c r="H1293" s="88">
        <f t="shared" si="3"/>
        <v>0.7337</v>
      </c>
      <c r="I1293" s="134">
        <v>0.667</v>
      </c>
      <c r="J1293" s="133"/>
      <c r="K1293" s="132">
        <f t="shared" si="4"/>
        <v>0.0667</v>
      </c>
      <c r="L1293" s="84">
        <f t="shared" si="5"/>
        <v>1292</v>
      </c>
      <c r="M1293" s="85" t="s">
        <v>133</v>
      </c>
    </row>
    <row r="1294" ht="22.5" customHeight="1">
      <c r="A1294" s="131">
        <v>46206.0</v>
      </c>
      <c r="B1294" s="84" t="str">
        <f t="shared" si="1"/>
        <v>Jul 2026</v>
      </c>
      <c r="C1294" s="84">
        <f t="shared" si="2"/>
        <v>27</v>
      </c>
      <c r="D1294" s="85" t="s">
        <v>129</v>
      </c>
      <c r="E1294" s="85" t="s">
        <v>167</v>
      </c>
      <c r="F1294" s="86" t="s">
        <v>270</v>
      </c>
      <c r="G1294" s="86" t="s">
        <v>219</v>
      </c>
      <c r="H1294" s="88">
        <f t="shared" si="3"/>
        <v>0.7337</v>
      </c>
      <c r="I1294" s="134">
        <v>0.667</v>
      </c>
      <c r="J1294" s="133"/>
      <c r="K1294" s="132">
        <f t="shared" si="4"/>
        <v>0.0667</v>
      </c>
      <c r="L1294" s="84">
        <f t="shared" si="5"/>
        <v>1293</v>
      </c>
      <c r="M1294" s="85" t="s">
        <v>133</v>
      </c>
    </row>
    <row r="1295" ht="22.5" customHeight="1">
      <c r="A1295" s="131">
        <v>46206.0</v>
      </c>
      <c r="B1295" s="84" t="str">
        <f t="shared" si="1"/>
        <v>Jul 2026</v>
      </c>
      <c r="C1295" s="84">
        <f t="shared" si="2"/>
        <v>27</v>
      </c>
      <c r="D1295" s="85" t="s">
        <v>129</v>
      </c>
      <c r="E1295" s="85" t="s">
        <v>167</v>
      </c>
      <c r="F1295" s="86" t="s">
        <v>268</v>
      </c>
      <c r="G1295" s="86" t="s">
        <v>222</v>
      </c>
      <c r="H1295" s="88">
        <f t="shared" si="3"/>
        <v>0.7337</v>
      </c>
      <c r="I1295" s="134">
        <v>0.667</v>
      </c>
      <c r="J1295" s="133"/>
      <c r="K1295" s="132">
        <f t="shared" si="4"/>
        <v>0.0667</v>
      </c>
      <c r="L1295" s="84">
        <f t="shared" si="5"/>
        <v>1294</v>
      </c>
      <c r="M1295" s="85" t="s">
        <v>133</v>
      </c>
    </row>
    <row r="1296" ht="22.5" customHeight="1">
      <c r="A1296" s="131">
        <v>46206.0</v>
      </c>
      <c r="B1296" s="84" t="str">
        <f t="shared" si="1"/>
        <v>Jul 2026</v>
      </c>
      <c r="C1296" s="84">
        <f t="shared" si="2"/>
        <v>27</v>
      </c>
      <c r="D1296" s="85" t="s">
        <v>129</v>
      </c>
      <c r="E1296" s="85" t="s">
        <v>167</v>
      </c>
      <c r="F1296" s="86" t="s">
        <v>262</v>
      </c>
      <c r="G1296" s="86" t="s">
        <v>223</v>
      </c>
      <c r="H1296" s="88">
        <f t="shared" si="3"/>
        <v>0.7337</v>
      </c>
      <c r="I1296" s="134">
        <v>0.667</v>
      </c>
      <c r="J1296" s="133"/>
      <c r="K1296" s="132">
        <f t="shared" si="4"/>
        <v>0.0667</v>
      </c>
      <c r="L1296" s="84">
        <f t="shared" si="5"/>
        <v>1295</v>
      </c>
      <c r="M1296" s="85" t="s">
        <v>133</v>
      </c>
    </row>
    <row r="1297" ht="22.5" customHeight="1">
      <c r="A1297" s="131">
        <v>46206.0</v>
      </c>
      <c r="B1297" s="84" t="str">
        <f t="shared" si="1"/>
        <v>Jul 2026</v>
      </c>
      <c r="C1297" s="84">
        <f t="shared" si="2"/>
        <v>27</v>
      </c>
      <c r="D1297" s="85" t="s">
        <v>161</v>
      </c>
      <c r="E1297" s="85" t="s">
        <v>167</v>
      </c>
      <c r="F1297" s="86" t="s">
        <v>232</v>
      </c>
      <c r="G1297" s="87" t="s">
        <v>75</v>
      </c>
      <c r="H1297" s="88">
        <f t="shared" si="3"/>
        <v>0.11</v>
      </c>
      <c r="I1297" s="134">
        <v>0.1</v>
      </c>
      <c r="J1297" s="133"/>
      <c r="K1297" s="132">
        <f t="shared" si="4"/>
        <v>0.01</v>
      </c>
      <c r="L1297" s="84">
        <f t="shared" si="5"/>
        <v>1296</v>
      </c>
      <c r="M1297" s="85" t="s">
        <v>133</v>
      </c>
    </row>
    <row r="1298" ht="22.5" customHeight="1">
      <c r="A1298" s="131">
        <v>46206.0</v>
      </c>
      <c r="B1298" s="84" t="str">
        <f t="shared" si="1"/>
        <v>Jul 2026</v>
      </c>
      <c r="C1298" s="84">
        <f t="shared" si="2"/>
        <v>27</v>
      </c>
      <c r="D1298" s="85" t="s">
        <v>129</v>
      </c>
      <c r="E1298" s="85" t="s">
        <v>167</v>
      </c>
      <c r="F1298" s="86" t="s">
        <v>249</v>
      </c>
      <c r="G1298" s="86" t="s">
        <v>217</v>
      </c>
      <c r="H1298" s="88">
        <f t="shared" si="3"/>
        <v>0.7337</v>
      </c>
      <c r="I1298" s="134">
        <v>0.667</v>
      </c>
      <c r="J1298" s="133"/>
      <c r="K1298" s="132">
        <f t="shared" si="4"/>
        <v>0.0667</v>
      </c>
      <c r="L1298" s="84">
        <f t="shared" si="5"/>
        <v>1297</v>
      </c>
      <c r="M1298" s="85" t="s">
        <v>133</v>
      </c>
    </row>
    <row r="1299" ht="22.5" customHeight="1">
      <c r="A1299" s="131">
        <v>46206.0</v>
      </c>
      <c r="B1299" s="84" t="str">
        <f t="shared" si="1"/>
        <v>Jul 2026</v>
      </c>
      <c r="C1299" s="84">
        <f t="shared" si="2"/>
        <v>27</v>
      </c>
      <c r="D1299" s="85" t="s">
        <v>160</v>
      </c>
      <c r="E1299" s="85" t="s">
        <v>167</v>
      </c>
      <c r="F1299" s="86" t="s">
        <v>248</v>
      </c>
      <c r="G1299" s="87" t="s">
        <v>227</v>
      </c>
      <c r="H1299" s="88">
        <f t="shared" si="3"/>
        <v>1.1</v>
      </c>
      <c r="I1299" s="134">
        <v>1.0</v>
      </c>
      <c r="J1299" s="133"/>
      <c r="K1299" s="132">
        <f t="shared" si="4"/>
        <v>0.1</v>
      </c>
      <c r="L1299" s="84">
        <f t="shared" si="5"/>
        <v>1298</v>
      </c>
      <c r="M1299" s="85" t="s">
        <v>175</v>
      </c>
    </row>
    <row r="1300" ht="22.5" customHeight="1">
      <c r="A1300" s="131">
        <v>46206.0</v>
      </c>
      <c r="B1300" s="84" t="str">
        <f t="shared" si="1"/>
        <v>Jul 2026</v>
      </c>
      <c r="C1300" s="84">
        <f t="shared" si="2"/>
        <v>27</v>
      </c>
      <c r="D1300" s="85" t="s">
        <v>160</v>
      </c>
      <c r="E1300" s="85" t="s">
        <v>167</v>
      </c>
      <c r="F1300" s="86" t="s">
        <v>251</v>
      </c>
      <c r="G1300" s="87" t="s">
        <v>218</v>
      </c>
      <c r="H1300" s="88">
        <f t="shared" si="3"/>
        <v>1.1</v>
      </c>
      <c r="I1300" s="134">
        <v>1.0</v>
      </c>
      <c r="J1300" s="133"/>
      <c r="K1300" s="132">
        <f t="shared" si="4"/>
        <v>0.1</v>
      </c>
      <c r="L1300" s="84">
        <f t="shared" si="5"/>
        <v>1299</v>
      </c>
      <c r="M1300" s="85" t="s">
        <v>175</v>
      </c>
    </row>
    <row r="1301" ht="22.5" customHeight="1">
      <c r="A1301" s="131">
        <v>46206.0</v>
      </c>
      <c r="B1301" s="84" t="str">
        <f t="shared" si="1"/>
        <v>Jul 2026</v>
      </c>
      <c r="C1301" s="84">
        <f t="shared" si="2"/>
        <v>27</v>
      </c>
      <c r="D1301" s="85" t="s">
        <v>161</v>
      </c>
      <c r="E1301" s="85" t="s">
        <v>167</v>
      </c>
      <c r="F1301" s="86" t="s">
        <v>232</v>
      </c>
      <c r="G1301" s="87" t="s">
        <v>75</v>
      </c>
      <c r="H1301" s="88">
        <f t="shared" si="3"/>
        <v>0.11</v>
      </c>
      <c r="I1301" s="134">
        <v>0.1</v>
      </c>
      <c r="J1301" s="133"/>
      <c r="K1301" s="132">
        <f t="shared" si="4"/>
        <v>0.01</v>
      </c>
      <c r="L1301" s="84">
        <f t="shared" si="5"/>
        <v>1300</v>
      </c>
      <c r="M1301" s="85" t="s">
        <v>133</v>
      </c>
    </row>
    <row r="1302" ht="22.5" customHeight="1">
      <c r="A1302" s="131">
        <v>46206.0</v>
      </c>
      <c r="B1302" s="84" t="str">
        <f t="shared" si="1"/>
        <v>Jul 2026</v>
      </c>
      <c r="C1302" s="84">
        <f t="shared" si="2"/>
        <v>27</v>
      </c>
      <c r="D1302" s="85" t="s">
        <v>129</v>
      </c>
      <c r="E1302" s="85" t="s">
        <v>167</v>
      </c>
      <c r="F1302" s="86" t="s">
        <v>134</v>
      </c>
      <c r="G1302" s="86" t="s">
        <v>224</v>
      </c>
      <c r="H1302" s="88">
        <f t="shared" si="3"/>
        <v>0.7337</v>
      </c>
      <c r="I1302" s="134">
        <v>0.667</v>
      </c>
      <c r="J1302" s="133"/>
      <c r="K1302" s="132">
        <f t="shared" si="4"/>
        <v>0.0667</v>
      </c>
      <c r="L1302" s="84">
        <f t="shared" si="5"/>
        <v>1301</v>
      </c>
      <c r="M1302" s="85" t="s">
        <v>133</v>
      </c>
    </row>
    <row r="1303" ht="22.5" customHeight="1">
      <c r="A1303" s="131">
        <v>46206.0</v>
      </c>
      <c r="B1303" s="84" t="str">
        <f t="shared" si="1"/>
        <v>Jul 2026</v>
      </c>
      <c r="C1303" s="84">
        <f t="shared" si="2"/>
        <v>27</v>
      </c>
      <c r="D1303" s="85" t="s">
        <v>161</v>
      </c>
      <c r="E1303" s="85" t="s">
        <v>167</v>
      </c>
      <c r="F1303" s="86" t="s">
        <v>232</v>
      </c>
      <c r="G1303" s="87" t="s">
        <v>75</v>
      </c>
      <c r="H1303" s="88">
        <f t="shared" si="3"/>
        <v>0.11</v>
      </c>
      <c r="I1303" s="134">
        <v>0.1</v>
      </c>
      <c r="J1303" s="133"/>
      <c r="K1303" s="132">
        <f t="shared" si="4"/>
        <v>0.01</v>
      </c>
      <c r="L1303" s="84">
        <f t="shared" si="5"/>
        <v>1302</v>
      </c>
      <c r="M1303" s="85" t="s">
        <v>133</v>
      </c>
    </row>
    <row r="1304" ht="22.5" customHeight="1">
      <c r="A1304" s="131">
        <v>46206.0</v>
      </c>
      <c r="B1304" s="84" t="str">
        <f t="shared" si="1"/>
        <v>Jul 2026</v>
      </c>
      <c r="C1304" s="84">
        <f t="shared" si="2"/>
        <v>27</v>
      </c>
      <c r="D1304" s="85" t="s">
        <v>161</v>
      </c>
      <c r="E1304" s="85" t="s">
        <v>130</v>
      </c>
      <c r="F1304" s="86" t="s">
        <v>232</v>
      </c>
      <c r="G1304" s="87" t="s">
        <v>75</v>
      </c>
      <c r="H1304" s="88">
        <f t="shared" si="3"/>
        <v>0.11</v>
      </c>
      <c r="I1304" s="134">
        <v>0.1</v>
      </c>
      <c r="J1304" s="133"/>
      <c r="K1304" s="132">
        <f t="shared" si="4"/>
        <v>0.01</v>
      </c>
      <c r="L1304" s="84">
        <f t="shared" si="5"/>
        <v>1303</v>
      </c>
      <c r="M1304" s="85" t="s">
        <v>133</v>
      </c>
    </row>
    <row r="1305" ht="22.5" customHeight="1">
      <c r="A1305" s="131">
        <v>46206.0</v>
      </c>
      <c r="B1305" s="84" t="str">
        <f t="shared" si="1"/>
        <v>Jul 2026</v>
      </c>
      <c r="C1305" s="84">
        <f t="shared" si="2"/>
        <v>27</v>
      </c>
      <c r="D1305" s="85" t="s">
        <v>129</v>
      </c>
      <c r="E1305" s="85" t="s">
        <v>130</v>
      </c>
      <c r="F1305" s="86" t="s">
        <v>268</v>
      </c>
      <c r="G1305" s="86" t="s">
        <v>222</v>
      </c>
      <c r="H1305" s="88">
        <f t="shared" si="3"/>
        <v>0.7337</v>
      </c>
      <c r="I1305" s="134">
        <v>0.667</v>
      </c>
      <c r="J1305" s="133"/>
      <c r="K1305" s="132">
        <f t="shared" si="4"/>
        <v>0.0667</v>
      </c>
      <c r="L1305" s="84">
        <f t="shared" si="5"/>
        <v>1304</v>
      </c>
      <c r="M1305" s="85" t="s">
        <v>133</v>
      </c>
    </row>
    <row r="1306" ht="22.5" customHeight="1">
      <c r="A1306" s="131">
        <v>46206.0</v>
      </c>
      <c r="B1306" s="84" t="str">
        <f t="shared" si="1"/>
        <v>Jul 2026</v>
      </c>
      <c r="C1306" s="84">
        <f t="shared" si="2"/>
        <v>27</v>
      </c>
      <c r="D1306" s="85" t="s">
        <v>162</v>
      </c>
      <c r="E1306" s="85" t="s">
        <v>130</v>
      </c>
      <c r="F1306" s="86" t="s">
        <v>244</v>
      </c>
      <c r="G1306" s="86" t="s">
        <v>216</v>
      </c>
      <c r="H1306" s="88">
        <f t="shared" si="3"/>
        <v>1.1</v>
      </c>
      <c r="I1306" s="134">
        <v>1.0</v>
      </c>
      <c r="J1306" s="133"/>
      <c r="K1306" s="132">
        <f t="shared" si="4"/>
        <v>0.1</v>
      </c>
      <c r="L1306" s="84">
        <f t="shared" si="5"/>
        <v>1305</v>
      </c>
      <c r="M1306" s="85" t="s">
        <v>175</v>
      </c>
    </row>
    <row r="1307" ht="22.5" customHeight="1">
      <c r="A1307" s="131">
        <v>46206.0</v>
      </c>
      <c r="B1307" s="84" t="str">
        <f t="shared" si="1"/>
        <v>Jul 2026</v>
      </c>
      <c r="C1307" s="84">
        <f t="shared" si="2"/>
        <v>27</v>
      </c>
      <c r="D1307" s="85" t="s">
        <v>129</v>
      </c>
      <c r="E1307" s="85" t="s">
        <v>130</v>
      </c>
      <c r="F1307" s="86" t="s">
        <v>249</v>
      </c>
      <c r="G1307" s="86" t="s">
        <v>217</v>
      </c>
      <c r="H1307" s="88">
        <f t="shared" si="3"/>
        <v>0.7337</v>
      </c>
      <c r="I1307" s="134">
        <v>0.667</v>
      </c>
      <c r="J1307" s="133"/>
      <c r="K1307" s="132">
        <f t="shared" si="4"/>
        <v>0.0667</v>
      </c>
      <c r="L1307" s="84">
        <f t="shared" si="5"/>
        <v>1306</v>
      </c>
      <c r="M1307" s="85" t="s">
        <v>133</v>
      </c>
    </row>
    <row r="1308" ht="22.5" customHeight="1">
      <c r="A1308" s="131">
        <v>46206.0</v>
      </c>
      <c r="B1308" s="84" t="str">
        <f t="shared" si="1"/>
        <v>Jul 2026</v>
      </c>
      <c r="C1308" s="84">
        <f t="shared" si="2"/>
        <v>27</v>
      </c>
      <c r="D1308" s="85" t="s">
        <v>161</v>
      </c>
      <c r="E1308" s="85" t="s">
        <v>130</v>
      </c>
      <c r="F1308" s="86" t="s">
        <v>232</v>
      </c>
      <c r="G1308" s="87" t="s">
        <v>75</v>
      </c>
      <c r="H1308" s="88">
        <f t="shared" si="3"/>
        <v>0.11</v>
      </c>
      <c r="I1308" s="134">
        <v>0.1</v>
      </c>
      <c r="J1308" s="133"/>
      <c r="K1308" s="132">
        <f t="shared" si="4"/>
        <v>0.01</v>
      </c>
      <c r="L1308" s="84">
        <f t="shared" si="5"/>
        <v>1307</v>
      </c>
      <c r="M1308" s="85" t="s">
        <v>133</v>
      </c>
    </row>
    <row r="1309" ht="22.5" customHeight="1">
      <c r="A1309" s="131">
        <v>46206.0</v>
      </c>
      <c r="B1309" s="84" t="str">
        <f t="shared" si="1"/>
        <v>Jul 2026</v>
      </c>
      <c r="C1309" s="84">
        <f t="shared" si="2"/>
        <v>27</v>
      </c>
      <c r="D1309" s="85" t="s">
        <v>160</v>
      </c>
      <c r="E1309" s="85" t="s">
        <v>130</v>
      </c>
      <c r="F1309" s="86" t="s">
        <v>251</v>
      </c>
      <c r="G1309" s="87" t="s">
        <v>218</v>
      </c>
      <c r="H1309" s="88">
        <f t="shared" si="3"/>
        <v>1.1</v>
      </c>
      <c r="I1309" s="134">
        <v>1.0</v>
      </c>
      <c r="J1309" s="133"/>
      <c r="K1309" s="132">
        <f t="shared" si="4"/>
        <v>0.1</v>
      </c>
      <c r="L1309" s="84">
        <f t="shared" si="5"/>
        <v>1308</v>
      </c>
      <c r="M1309" s="85" t="s">
        <v>175</v>
      </c>
    </row>
    <row r="1310" ht="22.5" customHeight="1">
      <c r="A1310" s="131">
        <v>46206.0</v>
      </c>
      <c r="B1310" s="84" t="str">
        <f t="shared" si="1"/>
        <v>Jul 2026</v>
      </c>
      <c r="C1310" s="84">
        <f t="shared" si="2"/>
        <v>27</v>
      </c>
      <c r="D1310" s="85" t="s">
        <v>129</v>
      </c>
      <c r="E1310" s="85" t="s">
        <v>130</v>
      </c>
      <c r="F1310" s="86" t="s">
        <v>262</v>
      </c>
      <c r="G1310" s="86" t="s">
        <v>223</v>
      </c>
      <c r="H1310" s="88">
        <f t="shared" si="3"/>
        <v>0.7337</v>
      </c>
      <c r="I1310" s="134">
        <v>0.667</v>
      </c>
      <c r="J1310" s="133"/>
      <c r="K1310" s="132">
        <f t="shared" si="4"/>
        <v>0.0667</v>
      </c>
      <c r="L1310" s="84">
        <f t="shared" si="5"/>
        <v>1309</v>
      </c>
      <c r="M1310" s="85" t="s">
        <v>133</v>
      </c>
    </row>
    <row r="1311" ht="22.5" customHeight="1">
      <c r="A1311" s="131">
        <v>46206.0</v>
      </c>
      <c r="B1311" s="84" t="str">
        <f t="shared" si="1"/>
        <v>Jul 2026</v>
      </c>
      <c r="C1311" s="84">
        <f t="shared" si="2"/>
        <v>27</v>
      </c>
      <c r="D1311" s="85" t="s">
        <v>129</v>
      </c>
      <c r="E1311" s="85" t="s">
        <v>130</v>
      </c>
      <c r="F1311" s="86" t="s">
        <v>134</v>
      </c>
      <c r="G1311" s="86" t="s">
        <v>224</v>
      </c>
      <c r="H1311" s="88">
        <f t="shared" si="3"/>
        <v>0.7337</v>
      </c>
      <c r="I1311" s="134">
        <v>0.667</v>
      </c>
      <c r="J1311" s="133"/>
      <c r="K1311" s="132">
        <f t="shared" si="4"/>
        <v>0.0667</v>
      </c>
      <c r="L1311" s="84">
        <f t="shared" si="5"/>
        <v>1310</v>
      </c>
      <c r="M1311" s="85" t="s">
        <v>133</v>
      </c>
    </row>
    <row r="1312" ht="22.5" customHeight="1">
      <c r="A1312" s="131">
        <v>46206.0</v>
      </c>
      <c r="B1312" s="84" t="str">
        <f t="shared" si="1"/>
        <v>Jul 2026</v>
      </c>
      <c r="C1312" s="84">
        <f t="shared" si="2"/>
        <v>27</v>
      </c>
      <c r="D1312" s="85" t="s">
        <v>160</v>
      </c>
      <c r="E1312" s="85" t="s">
        <v>130</v>
      </c>
      <c r="F1312" s="86" t="s">
        <v>248</v>
      </c>
      <c r="G1312" s="87" t="s">
        <v>227</v>
      </c>
      <c r="H1312" s="88">
        <f t="shared" si="3"/>
        <v>1.1</v>
      </c>
      <c r="I1312" s="134">
        <v>1.0</v>
      </c>
      <c r="J1312" s="133"/>
      <c r="K1312" s="132">
        <f t="shared" si="4"/>
        <v>0.1</v>
      </c>
      <c r="L1312" s="84">
        <f t="shared" si="5"/>
        <v>1311</v>
      </c>
      <c r="M1312" s="85" t="s">
        <v>175</v>
      </c>
    </row>
    <row r="1313" ht="22.5" customHeight="1">
      <c r="A1313" s="131">
        <v>46206.0</v>
      </c>
      <c r="B1313" s="84" t="str">
        <f t="shared" si="1"/>
        <v>Jul 2026</v>
      </c>
      <c r="C1313" s="84">
        <f t="shared" si="2"/>
        <v>27</v>
      </c>
      <c r="D1313" s="85" t="s">
        <v>161</v>
      </c>
      <c r="E1313" s="85" t="s">
        <v>130</v>
      </c>
      <c r="F1313" s="86" t="s">
        <v>232</v>
      </c>
      <c r="G1313" s="87" t="s">
        <v>75</v>
      </c>
      <c r="H1313" s="88">
        <f t="shared" si="3"/>
        <v>0.11</v>
      </c>
      <c r="I1313" s="134">
        <v>0.1</v>
      </c>
      <c r="J1313" s="133"/>
      <c r="K1313" s="132">
        <f t="shared" si="4"/>
        <v>0.01</v>
      </c>
      <c r="L1313" s="84">
        <f t="shared" si="5"/>
        <v>1312</v>
      </c>
      <c r="M1313" s="85" t="s">
        <v>133</v>
      </c>
    </row>
    <row r="1314" ht="22.5" customHeight="1">
      <c r="A1314" s="131">
        <v>46207.0</v>
      </c>
      <c r="B1314" s="84" t="str">
        <f t="shared" si="1"/>
        <v>Jul 2026</v>
      </c>
      <c r="C1314" s="84">
        <f t="shared" si="2"/>
        <v>27</v>
      </c>
      <c r="D1314" s="85" t="s">
        <v>129</v>
      </c>
      <c r="E1314" s="85" t="s">
        <v>164</v>
      </c>
      <c r="F1314" s="86" t="s">
        <v>270</v>
      </c>
      <c r="G1314" s="86" t="s">
        <v>219</v>
      </c>
      <c r="H1314" s="88">
        <f t="shared" si="3"/>
        <v>0.7337</v>
      </c>
      <c r="I1314" s="134">
        <v>0.667</v>
      </c>
      <c r="J1314" s="133"/>
      <c r="K1314" s="132">
        <f t="shared" si="4"/>
        <v>0.0667</v>
      </c>
      <c r="L1314" s="84">
        <f t="shared" si="5"/>
        <v>1313</v>
      </c>
      <c r="M1314" s="85" t="s">
        <v>133</v>
      </c>
    </row>
    <row r="1315" ht="22.5" customHeight="1">
      <c r="A1315" s="131">
        <v>46207.0</v>
      </c>
      <c r="B1315" s="84" t="str">
        <f t="shared" si="1"/>
        <v>Jul 2026</v>
      </c>
      <c r="C1315" s="84">
        <f t="shared" si="2"/>
        <v>27</v>
      </c>
      <c r="D1315" s="85" t="s">
        <v>129</v>
      </c>
      <c r="E1315" s="85" t="s">
        <v>164</v>
      </c>
      <c r="F1315" s="86" t="s">
        <v>268</v>
      </c>
      <c r="G1315" s="86" t="s">
        <v>222</v>
      </c>
      <c r="H1315" s="88">
        <f t="shared" si="3"/>
        <v>0.7337</v>
      </c>
      <c r="I1315" s="134">
        <v>0.667</v>
      </c>
      <c r="J1315" s="133"/>
      <c r="K1315" s="132">
        <f t="shared" si="4"/>
        <v>0.0667</v>
      </c>
      <c r="L1315" s="84">
        <f t="shared" si="5"/>
        <v>1314</v>
      </c>
      <c r="M1315" s="85" t="s">
        <v>133</v>
      </c>
    </row>
    <row r="1316" ht="22.5" customHeight="1">
      <c r="A1316" s="131">
        <v>46207.0</v>
      </c>
      <c r="B1316" s="84" t="str">
        <f t="shared" si="1"/>
        <v>Jul 2026</v>
      </c>
      <c r="C1316" s="84">
        <f t="shared" si="2"/>
        <v>27</v>
      </c>
      <c r="D1316" s="85" t="s">
        <v>161</v>
      </c>
      <c r="E1316" s="85" t="s">
        <v>164</v>
      </c>
      <c r="F1316" s="86" t="s">
        <v>232</v>
      </c>
      <c r="G1316" s="87" t="s">
        <v>75</v>
      </c>
      <c r="H1316" s="88">
        <f t="shared" si="3"/>
        <v>0.11</v>
      </c>
      <c r="I1316" s="134">
        <v>0.1</v>
      </c>
      <c r="J1316" s="133"/>
      <c r="K1316" s="132">
        <f t="shared" si="4"/>
        <v>0.01</v>
      </c>
      <c r="L1316" s="84">
        <f t="shared" si="5"/>
        <v>1315</v>
      </c>
      <c r="M1316" s="85" t="s">
        <v>133</v>
      </c>
    </row>
    <row r="1317" ht="22.5" customHeight="1">
      <c r="A1317" s="131">
        <v>46207.0</v>
      </c>
      <c r="B1317" s="84" t="str">
        <f t="shared" si="1"/>
        <v>Jul 2026</v>
      </c>
      <c r="C1317" s="84">
        <f t="shared" si="2"/>
        <v>27</v>
      </c>
      <c r="D1317" s="85" t="s">
        <v>160</v>
      </c>
      <c r="E1317" s="85" t="s">
        <v>164</v>
      </c>
      <c r="F1317" s="86" t="s">
        <v>248</v>
      </c>
      <c r="G1317" s="87" t="s">
        <v>227</v>
      </c>
      <c r="H1317" s="88">
        <f t="shared" si="3"/>
        <v>1.1</v>
      </c>
      <c r="I1317" s="134">
        <v>1.0</v>
      </c>
      <c r="J1317" s="133"/>
      <c r="K1317" s="132">
        <f t="shared" si="4"/>
        <v>0.1</v>
      </c>
      <c r="L1317" s="84">
        <f t="shared" si="5"/>
        <v>1316</v>
      </c>
      <c r="M1317" s="85" t="s">
        <v>175</v>
      </c>
    </row>
    <row r="1318" ht="22.5" customHeight="1">
      <c r="A1318" s="131">
        <v>46207.0</v>
      </c>
      <c r="B1318" s="84" t="str">
        <f t="shared" si="1"/>
        <v>Jul 2026</v>
      </c>
      <c r="C1318" s="84">
        <f t="shared" si="2"/>
        <v>27</v>
      </c>
      <c r="D1318" s="85" t="s">
        <v>161</v>
      </c>
      <c r="E1318" s="85" t="s">
        <v>164</v>
      </c>
      <c r="F1318" s="86" t="s">
        <v>232</v>
      </c>
      <c r="G1318" s="87" t="s">
        <v>75</v>
      </c>
      <c r="H1318" s="88">
        <f t="shared" si="3"/>
        <v>0.11</v>
      </c>
      <c r="I1318" s="134">
        <v>0.1</v>
      </c>
      <c r="J1318" s="133"/>
      <c r="K1318" s="132">
        <f t="shared" si="4"/>
        <v>0.01</v>
      </c>
      <c r="L1318" s="84">
        <f t="shared" si="5"/>
        <v>1317</v>
      </c>
      <c r="M1318" s="85" t="s">
        <v>133</v>
      </c>
    </row>
    <row r="1319" ht="22.5" customHeight="1">
      <c r="A1319" s="131">
        <v>46207.0</v>
      </c>
      <c r="B1319" s="84" t="str">
        <f t="shared" si="1"/>
        <v>Jul 2026</v>
      </c>
      <c r="C1319" s="84">
        <f t="shared" si="2"/>
        <v>27</v>
      </c>
      <c r="D1319" s="85" t="s">
        <v>160</v>
      </c>
      <c r="E1319" s="85" t="s">
        <v>164</v>
      </c>
      <c r="F1319" s="86" t="s">
        <v>251</v>
      </c>
      <c r="G1319" s="87" t="s">
        <v>218</v>
      </c>
      <c r="H1319" s="88">
        <f t="shared" si="3"/>
        <v>1.1</v>
      </c>
      <c r="I1319" s="134">
        <v>1.0</v>
      </c>
      <c r="J1319" s="133"/>
      <c r="K1319" s="132">
        <f t="shared" si="4"/>
        <v>0.1</v>
      </c>
      <c r="L1319" s="84">
        <f t="shared" si="5"/>
        <v>1318</v>
      </c>
      <c r="M1319" s="85" t="s">
        <v>175</v>
      </c>
    </row>
    <row r="1320" ht="22.5" customHeight="1">
      <c r="A1320" s="131">
        <v>46207.0</v>
      </c>
      <c r="B1320" s="84" t="str">
        <f t="shared" si="1"/>
        <v>Jul 2026</v>
      </c>
      <c r="C1320" s="84">
        <f t="shared" si="2"/>
        <v>27</v>
      </c>
      <c r="D1320" s="85" t="s">
        <v>129</v>
      </c>
      <c r="E1320" s="85" t="s">
        <v>164</v>
      </c>
      <c r="F1320" s="86" t="s">
        <v>249</v>
      </c>
      <c r="G1320" s="86" t="s">
        <v>217</v>
      </c>
      <c r="H1320" s="88">
        <f t="shared" si="3"/>
        <v>0.7337</v>
      </c>
      <c r="I1320" s="134">
        <v>0.667</v>
      </c>
      <c r="J1320" s="133"/>
      <c r="K1320" s="132">
        <f t="shared" si="4"/>
        <v>0.0667</v>
      </c>
      <c r="L1320" s="84">
        <f t="shared" si="5"/>
        <v>1319</v>
      </c>
      <c r="M1320" s="85" t="s">
        <v>133</v>
      </c>
    </row>
    <row r="1321" ht="22.5" customHeight="1">
      <c r="A1321" s="131">
        <v>46207.0</v>
      </c>
      <c r="B1321" s="84" t="str">
        <f t="shared" si="1"/>
        <v>Jul 2026</v>
      </c>
      <c r="C1321" s="84">
        <f t="shared" si="2"/>
        <v>27</v>
      </c>
      <c r="D1321" s="85" t="s">
        <v>161</v>
      </c>
      <c r="E1321" s="85" t="s">
        <v>164</v>
      </c>
      <c r="F1321" s="86" t="s">
        <v>232</v>
      </c>
      <c r="G1321" s="87" t="s">
        <v>75</v>
      </c>
      <c r="H1321" s="88">
        <f t="shared" si="3"/>
        <v>0.11</v>
      </c>
      <c r="I1321" s="134">
        <v>0.1</v>
      </c>
      <c r="J1321" s="133"/>
      <c r="K1321" s="132">
        <f t="shared" si="4"/>
        <v>0.01</v>
      </c>
      <c r="L1321" s="84">
        <f t="shared" si="5"/>
        <v>1320</v>
      </c>
      <c r="M1321" s="85" t="s">
        <v>133</v>
      </c>
    </row>
    <row r="1322" ht="22.5" customHeight="1">
      <c r="A1322" s="131">
        <v>46207.0</v>
      </c>
      <c r="B1322" s="84" t="str">
        <f t="shared" si="1"/>
        <v>Jul 2026</v>
      </c>
      <c r="C1322" s="84">
        <f t="shared" si="2"/>
        <v>27</v>
      </c>
      <c r="D1322" s="85" t="s">
        <v>129</v>
      </c>
      <c r="E1322" s="85" t="s">
        <v>164</v>
      </c>
      <c r="F1322" s="86" t="s">
        <v>134</v>
      </c>
      <c r="G1322" s="86" t="s">
        <v>224</v>
      </c>
      <c r="H1322" s="88">
        <f t="shared" si="3"/>
        <v>0.7337</v>
      </c>
      <c r="I1322" s="134">
        <v>0.667</v>
      </c>
      <c r="J1322" s="133"/>
      <c r="K1322" s="132">
        <f t="shared" si="4"/>
        <v>0.0667</v>
      </c>
      <c r="L1322" s="84">
        <f t="shared" si="5"/>
        <v>1321</v>
      </c>
      <c r="M1322" s="85" t="s">
        <v>133</v>
      </c>
    </row>
    <row r="1323" ht="22.5" customHeight="1">
      <c r="A1323" s="131">
        <v>46207.0</v>
      </c>
      <c r="B1323" s="84" t="str">
        <f t="shared" si="1"/>
        <v>Jul 2026</v>
      </c>
      <c r="C1323" s="84">
        <f t="shared" si="2"/>
        <v>27</v>
      </c>
      <c r="D1323" s="85" t="s">
        <v>129</v>
      </c>
      <c r="E1323" s="85" t="s">
        <v>164</v>
      </c>
      <c r="F1323" s="86" t="s">
        <v>262</v>
      </c>
      <c r="G1323" s="86" t="s">
        <v>223</v>
      </c>
      <c r="H1323" s="88">
        <f t="shared" si="3"/>
        <v>0.7337</v>
      </c>
      <c r="I1323" s="134">
        <v>0.667</v>
      </c>
      <c r="J1323" s="133"/>
      <c r="K1323" s="132">
        <f t="shared" si="4"/>
        <v>0.0667</v>
      </c>
      <c r="L1323" s="84">
        <f t="shared" si="5"/>
        <v>1322</v>
      </c>
      <c r="M1323" s="85" t="s">
        <v>133</v>
      </c>
    </row>
    <row r="1324" ht="22.5" customHeight="1">
      <c r="A1324" s="131">
        <v>46207.0</v>
      </c>
      <c r="B1324" s="84" t="str">
        <f t="shared" si="1"/>
        <v>Jul 2026</v>
      </c>
      <c r="C1324" s="84">
        <f t="shared" si="2"/>
        <v>27</v>
      </c>
      <c r="D1324" s="85" t="s">
        <v>129</v>
      </c>
      <c r="E1324" s="85" t="s">
        <v>165</v>
      </c>
      <c r="F1324" s="86" t="s">
        <v>270</v>
      </c>
      <c r="G1324" s="86" t="s">
        <v>219</v>
      </c>
      <c r="H1324" s="88">
        <f t="shared" si="3"/>
        <v>0.7337</v>
      </c>
      <c r="I1324" s="134">
        <v>0.667</v>
      </c>
      <c r="J1324" s="133"/>
      <c r="K1324" s="132">
        <f t="shared" si="4"/>
        <v>0.0667</v>
      </c>
      <c r="L1324" s="84">
        <f t="shared" si="5"/>
        <v>1323</v>
      </c>
      <c r="M1324" s="85" t="s">
        <v>133</v>
      </c>
    </row>
    <row r="1325" ht="22.5" customHeight="1">
      <c r="A1325" s="131">
        <v>46207.0</v>
      </c>
      <c r="B1325" s="84" t="str">
        <f t="shared" si="1"/>
        <v>Jul 2026</v>
      </c>
      <c r="C1325" s="84">
        <f t="shared" si="2"/>
        <v>27</v>
      </c>
      <c r="D1325" s="85" t="s">
        <v>161</v>
      </c>
      <c r="E1325" s="85" t="s">
        <v>165</v>
      </c>
      <c r="F1325" s="86" t="s">
        <v>232</v>
      </c>
      <c r="G1325" s="87" t="s">
        <v>75</v>
      </c>
      <c r="H1325" s="88">
        <f t="shared" si="3"/>
        <v>0.11</v>
      </c>
      <c r="I1325" s="134">
        <v>0.1</v>
      </c>
      <c r="J1325" s="133"/>
      <c r="K1325" s="132">
        <f t="shared" si="4"/>
        <v>0.01</v>
      </c>
      <c r="L1325" s="84">
        <f t="shared" si="5"/>
        <v>1324</v>
      </c>
      <c r="M1325" s="85" t="s">
        <v>133</v>
      </c>
    </row>
    <row r="1326" ht="22.5" customHeight="1">
      <c r="A1326" s="131">
        <v>46207.0</v>
      </c>
      <c r="B1326" s="84" t="str">
        <f t="shared" si="1"/>
        <v>Jul 2026</v>
      </c>
      <c r="C1326" s="84">
        <f t="shared" si="2"/>
        <v>27</v>
      </c>
      <c r="D1326" s="85" t="s">
        <v>129</v>
      </c>
      <c r="E1326" s="85" t="s">
        <v>165</v>
      </c>
      <c r="F1326" s="86" t="s">
        <v>268</v>
      </c>
      <c r="G1326" s="86" t="s">
        <v>222</v>
      </c>
      <c r="H1326" s="88">
        <f t="shared" si="3"/>
        <v>0.7337</v>
      </c>
      <c r="I1326" s="134">
        <v>0.667</v>
      </c>
      <c r="J1326" s="133"/>
      <c r="K1326" s="132">
        <f t="shared" si="4"/>
        <v>0.0667</v>
      </c>
      <c r="L1326" s="84">
        <f t="shared" si="5"/>
        <v>1325</v>
      </c>
      <c r="M1326" s="85" t="s">
        <v>133</v>
      </c>
    </row>
    <row r="1327" ht="22.5" customHeight="1">
      <c r="A1327" s="131">
        <v>46207.0</v>
      </c>
      <c r="B1327" s="84" t="str">
        <f t="shared" si="1"/>
        <v>Jul 2026</v>
      </c>
      <c r="C1327" s="84">
        <f t="shared" si="2"/>
        <v>27</v>
      </c>
      <c r="D1327" s="85" t="s">
        <v>160</v>
      </c>
      <c r="E1327" s="85" t="s">
        <v>165</v>
      </c>
      <c r="F1327" s="86" t="s">
        <v>251</v>
      </c>
      <c r="G1327" s="87" t="s">
        <v>218</v>
      </c>
      <c r="H1327" s="88">
        <f t="shared" si="3"/>
        <v>1.1</v>
      </c>
      <c r="I1327" s="134">
        <v>1.0</v>
      </c>
      <c r="J1327" s="133"/>
      <c r="K1327" s="132">
        <f t="shared" si="4"/>
        <v>0.1</v>
      </c>
      <c r="L1327" s="84">
        <f t="shared" si="5"/>
        <v>1326</v>
      </c>
      <c r="M1327" s="85" t="s">
        <v>175</v>
      </c>
    </row>
    <row r="1328" ht="22.5" customHeight="1">
      <c r="A1328" s="131">
        <v>46207.0</v>
      </c>
      <c r="B1328" s="84" t="str">
        <f t="shared" si="1"/>
        <v>Jul 2026</v>
      </c>
      <c r="C1328" s="84">
        <f t="shared" si="2"/>
        <v>27</v>
      </c>
      <c r="D1328" s="85" t="s">
        <v>160</v>
      </c>
      <c r="E1328" s="85" t="s">
        <v>165</v>
      </c>
      <c r="F1328" s="86" t="s">
        <v>251</v>
      </c>
      <c r="G1328" s="87" t="s">
        <v>218</v>
      </c>
      <c r="H1328" s="88">
        <f t="shared" si="3"/>
        <v>1.1</v>
      </c>
      <c r="I1328" s="134">
        <v>1.0</v>
      </c>
      <c r="J1328" s="133"/>
      <c r="K1328" s="132">
        <f t="shared" si="4"/>
        <v>0.1</v>
      </c>
      <c r="L1328" s="84">
        <f t="shared" si="5"/>
        <v>1327</v>
      </c>
      <c r="M1328" s="85" t="s">
        <v>175</v>
      </c>
    </row>
    <row r="1329" ht="22.5" customHeight="1">
      <c r="A1329" s="131">
        <v>46207.0</v>
      </c>
      <c r="B1329" s="84" t="str">
        <f t="shared" si="1"/>
        <v>Jul 2026</v>
      </c>
      <c r="C1329" s="84">
        <f t="shared" si="2"/>
        <v>27</v>
      </c>
      <c r="D1329" s="85" t="s">
        <v>129</v>
      </c>
      <c r="E1329" s="85" t="s">
        <v>165</v>
      </c>
      <c r="F1329" s="86" t="s">
        <v>134</v>
      </c>
      <c r="G1329" s="86" t="s">
        <v>224</v>
      </c>
      <c r="H1329" s="88">
        <f t="shared" si="3"/>
        <v>0.7337</v>
      </c>
      <c r="I1329" s="134">
        <v>0.667</v>
      </c>
      <c r="J1329" s="133"/>
      <c r="K1329" s="132">
        <f t="shared" si="4"/>
        <v>0.0667</v>
      </c>
      <c r="L1329" s="84">
        <f t="shared" si="5"/>
        <v>1328</v>
      </c>
      <c r="M1329" s="85" t="s">
        <v>133</v>
      </c>
    </row>
    <row r="1330" ht="22.5" customHeight="1">
      <c r="A1330" s="131">
        <v>46207.0</v>
      </c>
      <c r="B1330" s="84" t="str">
        <f t="shared" si="1"/>
        <v>Jul 2026</v>
      </c>
      <c r="C1330" s="84">
        <f t="shared" si="2"/>
        <v>27</v>
      </c>
      <c r="D1330" s="85" t="s">
        <v>161</v>
      </c>
      <c r="E1330" s="85" t="s">
        <v>165</v>
      </c>
      <c r="F1330" s="86" t="s">
        <v>232</v>
      </c>
      <c r="G1330" s="87" t="s">
        <v>75</v>
      </c>
      <c r="H1330" s="88">
        <f t="shared" si="3"/>
        <v>0.11</v>
      </c>
      <c r="I1330" s="134">
        <v>0.1</v>
      </c>
      <c r="J1330" s="133"/>
      <c r="K1330" s="132">
        <f t="shared" si="4"/>
        <v>0.01</v>
      </c>
      <c r="L1330" s="84">
        <f t="shared" si="5"/>
        <v>1329</v>
      </c>
      <c r="M1330" s="85" t="s">
        <v>133</v>
      </c>
    </row>
    <row r="1331" ht="22.5" customHeight="1">
      <c r="A1331" s="131">
        <v>46207.0</v>
      </c>
      <c r="B1331" s="84" t="str">
        <f t="shared" si="1"/>
        <v>Jul 2026</v>
      </c>
      <c r="C1331" s="84">
        <f t="shared" si="2"/>
        <v>27</v>
      </c>
      <c r="D1331" s="85" t="s">
        <v>129</v>
      </c>
      <c r="E1331" s="85" t="s">
        <v>165</v>
      </c>
      <c r="F1331" s="86" t="s">
        <v>249</v>
      </c>
      <c r="G1331" s="86" t="s">
        <v>217</v>
      </c>
      <c r="H1331" s="88">
        <f t="shared" si="3"/>
        <v>0.7337</v>
      </c>
      <c r="I1331" s="134">
        <v>0.667</v>
      </c>
      <c r="J1331" s="133"/>
      <c r="K1331" s="132">
        <f t="shared" si="4"/>
        <v>0.0667</v>
      </c>
      <c r="L1331" s="84">
        <f t="shared" si="5"/>
        <v>1330</v>
      </c>
      <c r="M1331" s="85" t="s">
        <v>133</v>
      </c>
    </row>
    <row r="1332" ht="22.5" customHeight="1">
      <c r="A1332" s="131">
        <v>46207.0</v>
      </c>
      <c r="B1332" s="84" t="str">
        <f t="shared" si="1"/>
        <v>Jul 2026</v>
      </c>
      <c r="C1332" s="84">
        <f t="shared" si="2"/>
        <v>27</v>
      </c>
      <c r="D1332" s="85" t="s">
        <v>161</v>
      </c>
      <c r="E1332" s="85" t="s">
        <v>165</v>
      </c>
      <c r="F1332" s="86" t="s">
        <v>232</v>
      </c>
      <c r="G1332" s="87" t="s">
        <v>75</v>
      </c>
      <c r="H1332" s="88">
        <f t="shared" si="3"/>
        <v>0.11</v>
      </c>
      <c r="I1332" s="134">
        <v>0.1</v>
      </c>
      <c r="J1332" s="133"/>
      <c r="K1332" s="132">
        <f t="shared" si="4"/>
        <v>0.01</v>
      </c>
      <c r="L1332" s="84">
        <f t="shared" si="5"/>
        <v>1331</v>
      </c>
      <c r="M1332" s="85" t="s">
        <v>133</v>
      </c>
    </row>
    <row r="1333" ht="22.5" customHeight="1">
      <c r="A1333" s="131">
        <v>46207.0</v>
      </c>
      <c r="B1333" s="84" t="str">
        <f t="shared" si="1"/>
        <v>Jul 2026</v>
      </c>
      <c r="C1333" s="84">
        <f t="shared" si="2"/>
        <v>27</v>
      </c>
      <c r="D1333" s="85" t="s">
        <v>129</v>
      </c>
      <c r="E1333" s="85" t="s">
        <v>165</v>
      </c>
      <c r="F1333" s="86" t="s">
        <v>262</v>
      </c>
      <c r="G1333" s="86" t="s">
        <v>223</v>
      </c>
      <c r="H1333" s="88">
        <f t="shared" si="3"/>
        <v>0.7337</v>
      </c>
      <c r="I1333" s="134">
        <v>0.667</v>
      </c>
      <c r="J1333" s="133"/>
      <c r="K1333" s="132">
        <f t="shared" si="4"/>
        <v>0.0667</v>
      </c>
      <c r="L1333" s="84">
        <f t="shared" si="5"/>
        <v>1332</v>
      </c>
      <c r="M1333" s="85" t="s">
        <v>133</v>
      </c>
    </row>
    <row r="1334" ht="22.5" customHeight="1">
      <c r="A1334" s="131">
        <v>46207.0</v>
      </c>
      <c r="B1334" s="84" t="str">
        <f t="shared" si="1"/>
        <v>Jul 2026</v>
      </c>
      <c r="C1334" s="84">
        <f t="shared" si="2"/>
        <v>27</v>
      </c>
      <c r="D1334" s="85" t="s">
        <v>129</v>
      </c>
      <c r="E1334" s="85" t="s">
        <v>167</v>
      </c>
      <c r="F1334" s="86" t="s">
        <v>270</v>
      </c>
      <c r="G1334" s="86" t="s">
        <v>219</v>
      </c>
      <c r="H1334" s="88">
        <f t="shared" si="3"/>
        <v>0.7337</v>
      </c>
      <c r="I1334" s="134">
        <v>0.667</v>
      </c>
      <c r="J1334" s="133"/>
      <c r="K1334" s="132">
        <f t="shared" si="4"/>
        <v>0.0667</v>
      </c>
      <c r="L1334" s="84">
        <f t="shared" si="5"/>
        <v>1333</v>
      </c>
      <c r="M1334" s="85" t="s">
        <v>133</v>
      </c>
    </row>
    <row r="1335" ht="22.5" customHeight="1">
      <c r="A1335" s="131">
        <v>46207.0</v>
      </c>
      <c r="B1335" s="84" t="str">
        <f t="shared" si="1"/>
        <v>Jul 2026</v>
      </c>
      <c r="C1335" s="84">
        <f t="shared" si="2"/>
        <v>27</v>
      </c>
      <c r="D1335" s="85" t="s">
        <v>161</v>
      </c>
      <c r="E1335" s="85" t="s">
        <v>167</v>
      </c>
      <c r="F1335" s="86" t="s">
        <v>232</v>
      </c>
      <c r="G1335" s="87" t="s">
        <v>75</v>
      </c>
      <c r="H1335" s="88">
        <f t="shared" si="3"/>
        <v>0.11</v>
      </c>
      <c r="I1335" s="134">
        <v>0.1</v>
      </c>
      <c r="J1335" s="133"/>
      <c r="K1335" s="132">
        <f t="shared" si="4"/>
        <v>0.01</v>
      </c>
      <c r="L1335" s="84">
        <f t="shared" si="5"/>
        <v>1334</v>
      </c>
      <c r="M1335" s="85" t="s">
        <v>133</v>
      </c>
    </row>
    <row r="1336" ht="22.5" customHeight="1">
      <c r="A1336" s="131">
        <v>46207.0</v>
      </c>
      <c r="B1336" s="84" t="str">
        <f t="shared" si="1"/>
        <v>Jul 2026</v>
      </c>
      <c r="C1336" s="84">
        <f t="shared" si="2"/>
        <v>27</v>
      </c>
      <c r="D1336" s="85" t="s">
        <v>129</v>
      </c>
      <c r="E1336" s="85" t="s">
        <v>167</v>
      </c>
      <c r="F1336" s="86" t="s">
        <v>268</v>
      </c>
      <c r="G1336" s="86" t="s">
        <v>222</v>
      </c>
      <c r="H1336" s="88">
        <f t="shared" si="3"/>
        <v>0.7337</v>
      </c>
      <c r="I1336" s="134">
        <v>0.667</v>
      </c>
      <c r="J1336" s="133"/>
      <c r="K1336" s="132">
        <f t="shared" si="4"/>
        <v>0.0667</v>
      </c>
      <c r="L1336" s="84">
        <f t="shared" si="5"/>
        <v>1335</v>
      </c>
      <c r="M1336" s="85" t="s">
        <v>133</v>
      </c>
    </row>
    <row r="1337" ht="22.5" customHeight="1">
      <c r="A1337" s="131">
        <v>46207.0</v>
      </c>
      <c r="B1337" s="84" t="str">
        <f t="shared" si="1"/>
        <v>Jul 2026</v>
      </c>
      <c r="C1337" s="84">
        <f t="shared" si="2"/>
        <v>27</v>
      </c>
      <c r="D1337" s="85" t="s">
        <v>160</v>
      </c>
      <c r="E1337" s="85" t="s">
        <v>167</v>
      </c>
      <c r="F1337" s="86" t="s">
        <v>251</v>
      </c>
      <c r="G1337" s="87" t="s">
        <v>218</v>
      </c>
      <c r="H1337" s="88">
        <f t="shared" si="3"/>
        <v>1.1</v>
      </c>
      <c r="I1337" s="134">
        <v>1.0</v>
      </c>
      <c r="J1337" s="133"/>
      <c r="K1337" s="132">
        <f t="shared" si="4"/>
        <v>0.1</v>
      </c>
      <c r="L1337" s="84">
        <f t="shared" si="5"/>
        <v>1336</v>
      </c>
      <c r="M1337" s="85" t="s">
        <v>175</v>
      </c>
    </row>
    <row r="1338" ht="22.5" customHeight="1">
      <c r="A1338" s="131">
        <v>46207.0</v>
      </c>
      <c r="B1338" s="84" t="str">
        <f t="shared" si="1"/>
        <v>Jul 2026</v>
      </c>
      <c r="C1338" s="84">
        <f t="shared" si="2"/>
        <v>27</v>
      </c>
      <c r="D1338" s="85" t="s">
        <v>129</v>
      </c>
      <c r="E1338" s="85" t="s">
        <v>167</v>
      </c>
      <c r="F1338" s="86" t="s">
        <v>134</v>
      </c>
      <c r="G1338" s="86" t="s">
        <v>224</v>
      </c>
      <c r="H1338" s="88">
        <f t="shared" si="3"/>
        <v>0.7337</v>
      </c>
      <c r="I1338" s="134">
        <v>0.667</v>
      </c>
      <c r="J1338" s="133"/>
      <c r="K1338" s="132">
        <f t="shared" si="4"/>
        <v>0.0667</v>
      </c>
      <c r="L1338" s="84">
        <f t="shared" si="5"/>
        <v>1337</v>
      </c>
      <c r="M1338" s="85" t="s">
        <v>133</v>
      </c>
    </row>
    <row r="1339" ht="22.5" customHeight="1">
      <c r="A1339" s="131">
        <v>46207.0</v>
      </c>
      <c r="B1339" s="84" t="str">
        <f t="shared" si="1"/>
        <v>Jul 2026</v>
      </c>
      <c r="C1339" s="84">
        <f t="shared" si="2"/>
        <v>27</v>
      </c>
      <c r="D1339" s="85" t="s">
        <v>160</v>
      </c>
      <c r="E1339" s="85" t="s">
        <v>167</v>
      </c>
      <c r="F1339" s="86" t="s">
        <v>251</v>
      </c>
      <c r="G1339" s="87" t="s">
        <v>218</v>
      </c>
      <c r="H1339" s="88">
        <f t="shared" si="3"/>
        <v>1.1</v>
      </c>
      <c r="I1339" s="134">
        <v>1.0</v>
      </c>
      <c r="J1339" s="133"/>
      <c r="K1339" s="132">
        <f t="shared" si="4"/>
        <v>0.1</v>
      </c>
      <c r="L1339" s="84">
        <f t="shared" si="5"/>
        <v>1338</v>
      </c>
      <c r="M1339" s="85" t="s">
        <v>175</v>
      </c>
    </row>
    <row r="1340" ht="22.5" customHeight="1">
      <c r="A1340" s="131">
        <v>46207.0</v>
      </c>
      <c r="B1340" s="84" t="str">
        <f t="shared" si="1"/>
        <v>Jul 2026</v>
      </c>
      <c r="C1340" s="84">
        <f t="shared" si="2"/>
        <v>27</v>
      </c>
      <c r="D1340" s="85" t="s">
        <v>129</v>
      </c>
      <c r="E1340" s="85" t="s">
        <v>167</v>
      </c>
      <c r="F1340" s="86" t="s">
        <v>249</v>
      </c>
      <c r="G1340" s="86" t="s">
        <v>217</v>
      </c>
      <c r="H1340" s="88">
        <f t="shared" si="3"/>
        <v>0.7337</v>
      </c>
      <c r="I1340" s="134">
        <v>0.667</v>
      </c>
      <c r="J1340" s="133"/>
      <c r="K1340" s="132">
        <f t="shared" si="4"/>
        <v>0.0667</v>
      </c>
      <c r="L1340" s="84">
        <f t="shared" si="5"/>
        <v>1339</v>
      </c>
      <c r="M1340" s="85" t="s">
        <v>133</v>
      </c>
    </row>
    <row r="1341" ht="22.5" customHeight="1">
      <c r="A1341" s="131">
        <v>46207.0</v>
      </c>
      <c r="B1341" s="84" t="str">
        <f t="shared" si="1"/>
        <v>Jul 2026</v>
      </c>
      <c r="C1341" s="84">
        <f t="shared" si="2"/>
        <v>27</v>
      </c>
      <c r="D1341" s="85" t="s">
        <v>161</v>
      </c>
      <c r="E1341" s="85" t="s">
        <v>167</v>
      </c>
      <c r="F1341" s="86" t="s">
        <v>232</v>
      </c>
      <c r="G1341" s="87" t="s">
        <v>75</v>
      </c>
      <c r="H1341" s="88">
        <f t="shared" si="3"/>
        <v>0.11</v>
      </c>
      <c r="I1341" s="134">
        <v>0.1</v>
      </c>
      <c r="J1341" s="133"/>
      <c r="K1341" s="132">
        <f t="shared" si="4"/>
        <v>0.01</v>
      </c>
      <c r="L1341" s="84">
        <f t="shared" si="5"/>
        <v>1340</v>
      </c>
      <c r="M1341" s="85" t="s">
        <v>133</v>
      </c>
    </row>
    <row r="1342" ht="22.5" customHeight="1">
      <c r="A1342" s="131">
        <v>46207.0</v>
      </c>
      <c r="B1342" s="84" t="str">
        <f t="shared" si="1"/>
        <v>Jul 2026</v>
      </c>
      <c r="C1342" s="84">
        <f t="shared" si="2"/>
        <v>27</v>
      </c>
      <c r="D1342" s="85" t="s">
        <v>161</v>
      </c>
      <c r="E1342" s="85" t="s">
        <v>167</v>
      </c>
      <c r="F1342" s="86" t="s">
        <v>232</v>
      </c>
      <c r="G1342" s="87" t="s">
        <v>75</v>
      </c>
      <c r="H1342" s="88">
        <f t="shared" si="3"/>
        <v>0.11</v>
      </c>
      <c r="I1342" s="134">
        <v>0.1</v>
      </c>
      <c r="J1342" s="133"/>
      <c r="K1342" s="132">
        <f t="shared" si="4"/>
        <v>0.01</v>
      </c>
      <c r="L1342" s="84">
        <f t="shared" si="5"/>
        <v>1341</v>
      </c>
      <c r="M1342" s="85" t="s">
        <v>133</v>
      </c>
    </row>
    <row r="1343" ht="22.5" customHeight="1">
      <c r="A1343" s="131">
        <v>46207.0</v>
      </c>
      <c r="B1343" s="84" t="str">
        <f t="shared" si="1"/>
        <v>Jul 2026</v>
      </c>
      <c r="C1343" s="84">
        <f t="shared" si="2"/>
        <v>27</v>
      </c>
      <c r="D1343" s="85" t="s">
        <v>129</v>
      </c>
      <c r="E1343" s="85" t="s">
        <v>167</v>
      </c>
      <c r="F1343" s="86" t="s">
        <v>262</v>
      </c>
      <c r="G1343" s="86" t="s">
        <v>223</v>
      </c>
      <c r="H1343" s="88">
        <f t="shared" si="3"/>
        <v>0.7337</v>
      </c>
      <c r="I1343" s="134">
        <v>0.667</v>
      </c>
      <c r="J1343" s="133"/>
      <c r="K1343" s="132">
        <f t="shared" si="4"/>
        <v>0.0667</v>
      </c>
      <c r="L1343" s="84">
        <f t="shared" si="5"/>
        <v>1342</v>
      </c>
      <c r="M1343" s="85" t="s">
        <v>133</v>
      </c>
    </row>
    <row r="1344" ht="22.5" customHeight="1">
      <c r="A1344" s="131">
        <v>46207.0</v>
      </c>
      <c r="B1344" s="84" t="str">
        <f t="shared" si="1"/>
        <v>Jul 2026</v>
      </c>
      <c r="C1344" s="84">
        <f t="shared" si="2"/>
        <v>27</v>
      </c>
      <c r="D1344" s="85" t="s">
        <v>161</v>
      </c>
      <c r="E1344" s="85" t="s">
        <v>130</v>
      </c>
      <c r="F1344" s="86" t="s">
        <v>232</v>
      </c>
      <c r="G1344" s="87" t="s">
        <v>75</v>
      </c>
      <c r="H1344" s="88">
        <f t="shared" si="3"/>
        <v>0.11</v>
      </c>
      <c r="I1344" s="134">
        <v>0.1</v>
      </c>
      <c r="J1344" s="133"/>
      <c r="K1344" s="132">
        <f t="shared" si="4"/>
        <v>0.01</v>
      </c>
      <c r="L1344" s="84">
        <f t="shared" si="5"/>
        <v>1343</v>
      </c>
      <c r="M1344" s="85" t="s">
        <v>133</v>
      </c>
    </row>
    <row r="1345" ht="22.5" customHeight="1">
      <c r="A1345" s="131">
        <v>46207.0</v>
      </c>
      <c r="B1345" s="84" t="str">
        <f t="shared" si="1"/>
        <v>Jul 2026</v>
      </c>
      <c r="C1345" s="84">
        <f t="shared" si="2"/>
        <v>27</v>
      </c>
      <c r="D1345" s="85" t="s">
        <v>129</v>
      </c>
      <c r="E1345" s="85" t="s">
        <v>130</v>
      </c>
      <c r="F1345" s="86" t="s">
        <v>270</v>
      </c>
      <c r="G1345" s="86" t="s">
        <v>219</v>
      </c>
      <c r="H1345" s="88">
        <f t="shared" si="3"/>
        <v>0.7337</v>
      </c>
      <c r="I1345" s="134">
        <v>0.667</v>
      </c>
      <c r="J1345" s="133"/>
      <c r="K1345" s="132">
        <f t="shared" si="4"/>
        <v>0.0667</v>
      </c>
      <c r="L1345" s="84">
        <f t="shared" si="5"/>
        <v>1344</v>
      </c>
      <c r="M1345" s="85" t="s">
        <v>133</v>
      </c>
    </row>
    <row r="1346" ht="22.5" customHeight="1">
      <c r="A1346" s="131">
        <v>46207.0</v>
      </c>
      <c r="B1346" s="84" t="str">
        <f t="shared" si="1"/>
        <v>Jul 2026</v>
      </c>
      <c r="C1346" s="84">
        <f t="shared" si="2"/>
        <v>27</v>
      </c>
      <c r="D1346" s="85" t="s">
        <v>129</v>
      </c>
      <c r="E1346" s="85" t="s">
        <v>130</v>
      </c>
      <c r="F1346" s="86" t="s">
        <v>268</v>
      </c>
      <c r="G1346" s="86" t="s">
        <v>222</v>
      </c>
      <c r="H1346" s="88">
        <f t="shared" si="3"/>
        <v>0.7337</v>
      </c>
      <c r="I1346" s="134">
        <v>0.667</v>
      </c>
      <c r="J1346" s="133"/>
      <c r="K1346" s="132">
        <f t="shared" si="4"/>
        <v>0.0667</v>
      </c>
      <c r="L1346" s="84">
        <f t="shared" si="5"/>
        <v>1345</v>
      </c>
      <c r="M1346" s="85" t="s">
        <v>133</v>
      </c>
    </row>
    <row r="1347" ht="22.5" customHeight="1">
      <c r="A1347" s="131">
        <v>46207.0</v>
      </c>
      <c r="B1347" s="84" t="str">
        <f t="shared" si="1"/>
        <v>Jul 2026</v>
      </c>
      <c r="C1347" s="84">
        <f t="shared" si="2"/>
        <v>27</v>
      </c>
      <c r="D1347" s="85" t="s">
        <v>129</v>
      </c>
      <c r="E1347" s="85" t="s">
        <v>130</v>
      </c>
      <c r="F1347" s="86" t="s">
        <v>134</v>
      </c>
      <c r="G1347" s="86" t="s">
        <v>224</v>
      </c>
      <c r="H1347" s="88">
        <f t="shared" si="3"/>
        <v>0.7337</v>
      </c>
      <c r="I1347" s="134">
        <v>0.667</v>
      </c>
      <c r="J1347" s="133"/>
      <c r="K1347" s="132">
        <f t="shared" si="4"/>
        <v>0.0667</v>
      </c>
      <c r="L1347" s="84">
        <f t="shared" si="5"/>
        <v>1346</v>
      </c>
      <c r="M1347" s="85" t="s">
        <v>133</v>
      </c>
    </row>
    <row r="1348" ht="22.5" customHeight="1">
      <c r="A1348" s="131">
        <v>46207.0</v>
      </c>
      <c r="B1348" s="84" t="str">
        <f t="shared" si="1"/>
        <v>Jul 2026</v>
      </c>
      <c r="C1348" s="84">
        <f t="shared" si="2"/>
        <v>27</v>
      </c>
      <c r="D1348" s="85" t="s">
        <v>129</v>
      </c>
      <c r="E1348" s="85" t="s">
        <v>130</v>
      </c>
      <c r="F1348" s="86" t="s">
        <v>249</v>
      </c>
      <c r="G1348" s="86" t="s">
        <v>217</v>
      </c>
      <c r="H1348" s="88">
        <f t="shared" si="3"/>
        <v>0.7337</v>
      </c>
      <c r="I1348" s="134">
        <v>0.667</v>
      </c>
      <c r="J1348" s="133"/>
      <c r="K1348" s="132">
        <f t="shared" si="4"/>
        <v>0.0667</v>
      </c>
      <c r="L1348" s="84">
        <f t="shared" si="5"/>
        <v>1347</v>
      </c>
      <c r="M1348" s="85" t="s">
        <v>133</v>
      </c>
    </row>
    <row r="1349" ht="22.5" customHeight="1">
      <c r="A1349" s="131">
        <v>46207.0</v>
      </c>
      <c r="B1349" s="84" t="str">
        <f t="shared" si="1"/>
        <v>Jul 2026</v>
      </c>
      <c r="C1349" s="84">
        <f t="shared" si="2"/>
        <v>27</v>
      </c>
      <c r="D1349" s="85" t="s">
        <v>160</v>
      </c>
      <c r="E1349" s="85" t="s">
        <v>130</v>
      </c>
      <c r="F1349" s="86" t="s">
        <v>251</v>
      </c>
      <c r="G1349" s="87" t="s">
        <v>218</v>
      </c>
      <c r="H1349" s="88">
        <f t="shared" si="3"/>
        <v>1.1</v>
      </c>
      <c r="I1349" s="134">
        <v>1.0</v>
      </c>
      <c r="J1349" s="133"/>
      <c r="K1349" s="132">
        <f t="shared" si="4"/>
        <v>0.1</v>
      </c>
      <c r="L1349" s="84">
        <f t="shared" si="5"/>
        <v>1348</v>
      </c>
      <c r="M1349" s="85" t="s">
        <v>175</v>
      </c>
    </row>
    <row r="1350" ht="22.5" customHeight="1">
      <c r="A1350" s="131">
        <v>46207.0</v>
      </c>
      <c r="B1350" s="84" t="str">
        <f t="shared" si="1"/>
        <v>Jul 2026</v>
      </c>
      <c r="C1350" s="84">
        <f t="shared" si="2"/>
        <v>27</v>
      </c>
      <c r="D1350" s="85" t="s">
        <v>160</v>
      </c>
      <c r="E1350" s="85" t="s">
        <v>130</v>
      </c>
      <c r="F1350" s="86" t="s">
        <v>251</v>
      </c>
      <c r="G1350" s="87" t="s">
        <v>218</v>
      </c>
      <c r="H1350" s="88">
        <f t="shared" si="3"/>
        <v>1.1</v>
      </c>
      <c r="I1350" s="134">
        <v>1.0</v>
      </c>
      <c r="J1350" s="133"/>
      <c r="K1350" s="132">
        <f t="shared" si="4"/>
        <v>0.1</v>
      </c>
      <c r="L1350" s="84">
        <f t="shared" si="5"/>
        <v>1349</v>
      </c>
      <c r="M1350" s="85" t="s">
        <v>175</v>
      </c>
    </row>
    <row r="1351" ht="22.5" customHeight="1">
      <c r="A1351" s="131">
        <v>46207.0</v>
      </c>
      <c r="B1351" s="84" t="str">
        <f t="shared" si="1"/>
        <v>Jul 2026</v>
      </c>
      <c r="C1351" s="84">
        <f t="shared" si="2"/>
        <v>27</v>
      </c>
      <c r="D1351" s="85" t="s">
        <v>161</v>
      </c>
      <c r="E1351" s="85" t="s">
        <v>130</v>
      </c>
      <c r="F1351" s="86" t="s">
        <v>232</v>
      </c>
      <c r="G1351" s="87" t="s">
        <v>75</v>
      </c>
      <c r="H1351" s="88">
        <f t="shared" si="3"/>
        <v>0.11</v>
      </c>
      <c r="I1351" s="134">
        <v>0.1</v>
      </c>
      <c r="J1351" s="133"/>
      <c r="K1351" s="132">
        <f t="shared" si="4"/>
        <v>0.01</v>
      </c>
      <c r="L1351" s="84">
        <f t="shared" si="5"/>
        <v>1350</v>
      </c>
      <c r="M1351" s="85" t="s">
        <v>133</v>
      </c>
    </row>
    <row r="1352" ht="22.5" customHeight="1">
      <c r="A1352" s="131">
        <v>46207.0</v>
      </c>
      <c r="B1352" s="84" t="str">
        <f t="shared" si="1"/>
        <v>Jul 2026</v>
      </c>
      <c r="C1352" s="84">
        <f t="shared" si="2"/>
        <v>27</v>
      </c>
      <c r="D1352" s="85" t="s">
        <v>161</v>
      </c>
      <c r="E1352" s="85" t="s">
        <v>130</v>
      </c>
      <c r="F1352" s="86" t="s">
        <v>232</v>
      </c>
      <c r="G1352" s="87" t="s">
        <v>75</v>
      </c>
      <c r="H1352" s="88">
        <f t="shared" si="3"/>
        <v>0.11</v>
      </c>
      <c r="I1352" s="134">
        <v>0.1</v>
      </c>
      <c r="J1352" s="133"/>
      <c r="K1352" s="132">
        <f t="shared" si="4"/>
        <v>0.01</v>
      </c>
      <c r="L1352" s="84">
        <f t="shared" si="5"/>
        <v>1351</v>
      </c>
      <c r="M1352" s="85" t="s">
        <v>133</v>
      </c>
    </row>
    <row r="1353" ht="22.5" customHeight="1">
      <c r="A1353" s="131">
        <v>46207.0</v>
      </c>
      <c r="B1353" s="84" t="str">
        <f t="shared" si="1"/>
        <v>Jul 2026</v>
      </c>
      <c r="C1353" s="84">
        <f t="shared" si="2"/>
        <v>27</v>
      </c>
      <c r="D1353" s="85" t="s">
        <v>129</v>
      </c>
      <c r="E1353" s="85" t="s">
        <v>130</v>
      </c>
      <c r="F1353" s="86" t="s">
        <v>262</v>
      </c>
      <c r="G1353" s="86" t="s">
        <v>223</v>
      </c>
      <c r="H1353" s="88">
        <f t="shared" si="3"/>
        <v>0.7337</v>
      </c>
      <c r="I1353" s="134">
        <v>0.667</v>
      </c>
      <c r="J1353" s="133"/>
      <c r="K1353" s="132">
        <f t="shared" si="4"/>
        <v>0.0667</v>
      </c>
      <c r="L1353" s="84">
        <f t="shared" si="5"/>
        <v>1352</v>
      </c>
      <c r="M1353" s="85" t="s">
        <v>133</v>
      </c>
    </row>
    <row r="1354" ht="22.5" customHeight="1">
      <c r="A1354" s="131">
        <v>46208.0</v>
      </c>
      <c r="B1354" s="84" t="str">
        <f t="shared" si="1"/>
        <v>Jul 2026</v>
      </c>
      <c r="C1354" s="84">
        <f t="shared" si="2"/>
        <v>28</v>
      </c>
      <c r="D1354" s="85" t="s">
        <v>129</v>
      </c>
      <c r="E1354" s="85" t="s">
        <v>164</v>
      </c>
      <c r="F1354" s="86" t="s">
        <v>270</v>
      </c>
      <c r="G1354" s="86" t="s">
        <v>219</v>
      </c>
      <c r="H1354" s="88">
        <f t="shared" si="3"/>
        <v>0.7337</v>
      </c>
      <c r="I1354" s="134">
        <v>0.667</v>
      </c>
      <c r="J1354" s="133"/>
      <c r="K1354" s="132">
        <f t="shared" si="4"/>
        <v>0.0667</v>
      </c>
      <c r="L1354" s="84">
        <f t="shared" si="5"/>
        <v>1353</v>
      </c>
      <c r="M1354" s="85" t="s">
        <v>133</v>
      </c>
    </row>
    <row r="1355" ht="22.5" customHeight="1">
      <c r="A1355" s="131">
        <v>46208.0</v>
      </c>
      <c r="B1355" s="84" t="str">
        <f t="shared" si="1"/>
        <v>Jul 2026</v>
      </c>
      <c r="C1355" s="84">
        <f t="shared" si="2"/>
        <v>28</v>
      </c>
      <c r="D1355" s="85" t="s">
        <v>161</v>
      </c>
      <c r="E1355" s="85" t="s">
        <v>164</v>
      </c>
      <c r="F1355" s="86" t="s">
        <v>232</v>
      </c>
      <c r="G1355" s="87" t="s">
        <v>75</v>
      </c>
      <c r="H1355" s="88">
        <f t="shared" si="3"/>
        <v>0.11</v>
      </c>
      <c r="I1355" s="134">
        <v>0.1</v>
      </c>
      <c r="J1355" s="133"/>
      <c r="K1355" s="132">
        <f t="shared" si="4"/>
        <v>0.01</v>
      </c>
      <c r="L1355" s="84">
        <f t="shared" si="5"/>
        <v>1354</v>
      </c>
      <c r="M1355" s="85" t="s">
        <v>133</v>
      </c>
    </row>
    <row r="1356" ht="22.5" customHeight="1">
      <c r="A1356" s="131">
        <v>46208.0</v>
      </c>
      <c r="B1356" s="84" t="str">
        <f t="shared" si="1"/>
        <v>Jul 2026</v>
      </c>
      <c r="C1356" s="84">
        <f t="shared" si="2"/>
        <v>28</v>
      </c>
      <c r="D1356" s="85" t="s">
        <v>129</v>
      </c>
      <c r="E1356" s="85" t="s">
        <v>164</v>
      </c>
      <c r="F1356" s="86" t="s">
        <v>268</v>
      </c>
      <c r="G1356" s="86" t="s">
        <v>222</v>
      </c>
      <c r="H1356" s="88">
        <f t="shared" si="3"/>
        <v>0.7337</v>
      </c>
      <c r="I1356" s="134">
        <v>0.667</v>
      </c>
      <c r="J1356" s="133"/>
      <c r="K1356" s="132">
        <f t="shared" si="4"/>
        <v>0.0667</v>
      </c>
      <c r="L1356" s="84">
        <f t="shared" si="5"/>
        <v>1355</v>
      </c>
      <c r="M1356" s="85" t="s">
        <v>133</v>
      </c>
    </row>
    <row r="1357" ht="22.5" customHeight="1">
      <c r="A1357" s="131">
        <v>46208.0</v>
      </c>
      <c r="B1357" s="84" t="str">
        <f t="shared" si="1"/>
        <v>Jul 2026</v>
      </c>
      <c r="C1357" s="84">
        <f t="shared" si="2"/>
        <v>28</v>
      </c>
      <c r="D1357" s="85" t="s">
        <v>160</v>
      </c>
      <c r="E1357" s="85" t="s">
        <v>164</v>
      </c>
      <c r="F1357" s="86" t="s">
        <v>251</v>
      </c>
      <c r="G1357" s="87" t="s">
        <v>218</v>
      </c>
      <c r="H1357" s="88">
        <f t="shared" si="3"/>
        <v>1.1</v>
      </c>
      <c r="I1357" s="134">
        <v>1.0</v>
      </c>
      <c r="J1357" s="133"/>
      <c r="K1357" s="132">
        <f t="shared" si="4"/>
        <v>0.1</v>
      </c>
      <c r="L1357" s="84">
        <f t="shared" si="5"/>
        <v>1356</v>
      </c>
      <c r="M1357" s="85" t="s">
        <v>175</v>
      </c>
    </row>
    <row r="1358" ht="22.5" customHeight="1">
      <c r="A1358" s="131">
        <v>46208.0</v>
      </c>
      <c r="B1358" s="84" t="str">
        <f t="shared" si="1"/>
        <v>Jul 2026</v>
      </c>
      <c r="C1358" s="84">
        <f t="shared" si="2"/>
        <v>28</v>
      </c>
      <c r="D1358" s="85" t="s">
        <v>160</v>
      </c>
      <c r="E1358" s="85" t="s">
        <v>164</v>
      </c>
      <c r="F1358" s="86" t="s">
        <v>251</v>
      </c>
      <c r="G1358" s="87" t="s">
        <v>218</v>
      </c>
      <c r="H1358" s="88">
        <f t="shared" si="3"/>
        <v>1.1</v>
      </c>
      <c r="I1358" s="134">
        <v>1.0</v>
      </c>
      <c r="J1358" s="133"/>
      <c r="K1358" s="132">
        <f t="shared" si="4"/>
        <v>0.1</v>
      </c>
      <c r="L1358" s="84">
        <f t="shared" si="5"/>
        <v>1357</v>
      </c>
      <c r="M1358" s="85" t="s">
        <v>175</v>
      </c>
    </row>
    <row r="1359" ht="22.5" customHeight="1">
      <c r="A1359" s="131">
        <v>46208.0</v>
      </c>
      <c r="B1359" s="84" t="str">
        <f t="shared" si="1"/>
        <v>Jul 2026</v>
      </c>
      <c r="C1359" s="84">
        <f t="shared" si="2"/>
        <v>28</v>
      </c>
      <c r="D1359" s="85" t="s">
        <v>129</v>
      </c>
      <c r="E1359" s="85" t="s">
        <v>164</v>
      </c>
      <c r="F1359" s="86" t="s">
        <v>134</v>
      </c>
      <c r="G1359" s="86" t="s">
        <v>224</v>
      </c>
      <c r="H1359" s="88">
        <f t="shared" si="3"/>
        <v>0.7337</v>
      </c>
      <c r="I1359" s="134">
        <v>0.667</v>
      </c>
      <c r="J1359" s="133"/>
      <c r="K1359" s="132">
        <f t="shared" si="4"/>
        <v>0.0667</v>
      </c>
      <c r="L1359" s="84">
        <f t="shared" si="5"/>
        <v>1358</v>
      </c>
      <c r="M1359" s="85" t="s">
        <v>133</v>
      </c>
    </row>
    <row r="1360" ht="22.5" customHeight="1">
      <c r="A1360" s="131">
        <v>46208.0</v>
      </c>
      <c r="B1360" s="84" t="str">
        <f t="shared" si="1"/>
        <v>Jul 2026</v>
      </c>
      <c r="C1360" s="84">
        <f t="shared" si="2"/>
        <v>28</v>
      </c>
      <c r="D1360" s="85" t="s">
        <v>161</v>
      </c>
      <c r="E1360" s="85" t="s">
        <v>164</v>
      </c>
      <c r="F1360" s="86" t="s">
        <v>232</v>
      </c>
      <c r="G1360" s="87" t="s">
        <v>75</v>
      </c>
      <c r="H1360" s="88">
        <f t="shared" si="3"/>
        <v>0.11</v>
      </c>
      <c r="I1360" s="134">
        <v>0.1</v>
      </c>
      <c r="J1360" s="133"/>
      <c r="K1360" s="132">
        <f t="shared" si="4"/>
        <v>0.01</v>
      </c>
      <c r="L1360" s="84">
        <f t="shared" si="5"/>
        <v>1359</v>
      </c>
      <c r="M1360" s="85" t="s">
        <v>133</v>
      </c>
    </row>
    <row r="1361" ht="22.5" customHeight="1">
      <c r="A1361" s="131">
        <v>46208.0</v>
      </c>
      <c r="B1361" s="84" t="str">
        <f t="shared" si="1"/>
        <v>Jul 2026</v>
      </c>
      <c r="C1361" s="84">
        <f t="shared" si="2"/>
        <v>28</v>
      </c>
      <c r="D1361" s="85" t="s">
        <v>129</v>
      </c>
      <c r="E1361" s="85" t="s">
        <v>164</v>
      </c>
      <c r="F1361" s="86" t="s">
        <v>249</v>
      </c>
      <c r="G1361" s="86" t="s">
        <v>217</v>
      </c>
      <c r="H1361" s="88">
        <f t="shared" si="3"/>
        <v>0.7337</v>
      </c>
      <c r="I1361" s="134">
        <v>0.667</v>
      </c>
      <c r="J1361" s="133"/>
      <c r="K1361" s="132">
        <f t="shared" si="4"/>
        <v>0.0667</v>
      </c>
      <c r="L1361" s="84">
        <f t="shared" si="5"/>
        <v>1360</v>
      </c>
      <c r="M1361" s="85" t="s">
        <v>133</v>
      </c>
    </row>
    <row r="1362" ht="22.5" customHeight="1">
      <c r="A1362" s="131">
        <v>46208.0</v>
      </c>
      <c r="B1362" s="84" t="str">
        <f t="shared" si="1"/>
        <v>Jul 2026</v>
      </c>
      <c r="C1362" s="84">
        <f t="shared" si="2"/>
        <v>28</v>
      </c>
      <c r="D1362" s="85" t="s">
        <v>129</v>
      </c>
      <c r="E1362" s="85" t="s">
        <v>164</v>
      </c>
      <c r="F1362" s="86" t="s">
        <v>262</v>
      </c>
      <c r="G1362" s="86" t="s">
        <v>223</v>
      </c>
      <c r="H1362" s="88">
        <f t="shared" si="3"/>
        <v>0.7337</v>
      </c>
      <c r="I1362" s="134">
        <v>0.667</v>
      </c>
      <c r="J1362" s="133"/>
      <c r="K1362" s="132">
        <f t="shared" si="4"/>
        <v>0.0667</v>
      </c>
      <c r="L1362" s="84">
        <f t="shared" si="5"/>
        <v>1361</v>
      </c>
      <c r="M1362" s="85" t="s">
        <v>133</v>
      </c>
    </row>
    <row r="1363" ht="22.5" customHeight="1">
      <c r="A1363" s="131">
        <v>46208.0</v>
      </c>
      <c r="B1363" s="84" t="str">
        <f t="shared" si="1"/>
        <v>Jul 2026</v>
      </c>
      <c r="C1363" s="84">
        <f t="shared" si="2"/>
        <v>28</v>
      </c>
      <c r="D1363" s="85" t="s">
        <v>161</v>
      </c>
      <c r="E1363" s="85" t="s">
        <v>164</v>
      </c>
      <c r="F1363" s="86" t="s">
        <v>232</v>
      </c>
      <c r="G1363" s="87" t="s">
        <v>75</v>
      </c>
      <c r="H1363" s="88">
        <f t="shared" si="3"/>
        <v>0.11</v>
      </c>
      <c r="I1363" s="134">
        <v>0.1</v>
      </c>
      <c r="J1363" s="133"/>
      <c r="K1363" s="132">
        <f t="shared" si="4"/>
        <v>0.01</v>
      </c>
      <c r="L1363" s="84">
        <f t="shared" si="5"/>
        <v>1362</v>
      </c>
      <c r="M1363" s="85" t="s">
        <v>133</v>
      </c>
    </row>
    <row r="1364" ht="22.5" customHeight="1">
      <c r="A1364" s="131">
        <v>46208.0</v>
      </c>
      <c r="B1364" s="84" t="str">
        <f t="shared" si="1"/>
        <v>Jul 2026</v>
      </c>
      <c r="C1364" s="84">
        <f t="shared" si="2"/>
        <v>28</v>
      </c>
      <c r="D1364" s="85" t="s">
        <v>129</v>
      </c>
      <c r="E1364" s="85" t="s">
        <v>165</v>
      </c>
      <c r="F1364" s="86" t="s">
        <v>270</v>
      </c>
      <c r="G1364" s="86" t="s">
        <v>219</v>
      </c>
      <c r="H1364" s="88">
        <f t="shared" si="3"/>
        <v>0.7337</v>
      </c>
      <c r="I1364" s="134">
        <v>0.667</v>
      </c>
      <c r="J1364" s="133"/>
      <c r="K1364" s="132">
        <f t="shared" si="4"/>
        <v>0.0667</v>
      </c>
      <c r="L1364" s="84">
        <f t="shared" si="5"/>
        <v>1363</v>
      </c>
      <c r="M1364" s="85" t="s">
        <v>133</v>
      </c>
    </row>
    <row r="1365" ht="22.5" customHeight="1">
      <c r="A1365" s="131">
        <v>46208.0</v>
      </c>
      <c r="B1365" s="84" t="str">
        <f t="shared" si="1"/>
        <v>Jul 2026</v>
      </c>
      <c r="C1365" s="84">
        <f t="shared" si="2"/>
        <v>28</v>
      </c>
      <c r="D1365" s="85" t="s">
        <v>161</v>
      </c>
      <c r="E1365" s="85" t="s">
        <v>165</v>
      </c>
      <c r="F1365" s="86" t="s">
        <v>232</v>
      </c>
      <c r="G1365" s="87" t="s">
        <v>75</v>
      </c>
      <c r="H1365" s="88">
        <f t="shared" si="3"/>
        <v>0.11</v>
      </c>
      <c r="I1365" s="134">
        <v>0.1</v>
      </c>
      <c r="J1365" s="133"/>
      <c r="K1365" s="132">
        <f t="shared" si="4"/>
        <v>0.01</v>
      </c>
      <c r="L1365" s="84">
        <f t="shared" si="5"/>
        <v>1364</v>
      </c>
      <c r="M1365" s="85" t="s">
        <v>133</v>
      </c>
    </row>
    <row r="1366" ht="22.5" customHeight="1">
      <c r="A1366" s="131">
        <v>46208.0</v>
      </c>
      <c r="B1366" s="84" t="str">
        <f t="shared" si="1"/>
        <v>Jul 2026</v>
      </c>
      <c r="C1366" s="84">
        <f t="shared" si="2"/>
        <v>28</v>
      </c>
      <c r="D1366" s="85" t="s">
        <v>129</v>
      </c>
      <c r="E1366" s="85" t="s">
        <v>165</v>
      </c>
      <c r="F1366" s="86" t="s">
        <v>268</v>
      </c>
      <c r="G1366" s="86" t="s">
        <v>222</v>
      </c>
      <c r="H1366" s="88">
        <f t="shared" si="3"/>
        <v>0.7337</v>
      </c>
      <c r="I1366" s="134">
        <v>0.667</v>
      </c>
      <c r="J1366" s="133"/>
      <c r="K1366" s="132">
        <f t="shared" si="4"/>
        <v>0.0667</v>
      </c>
      <c r="L1366" s="84">
        <f t="shared" si="5"/>
        <v>1365</v>
      </c>
      <c r="M1366" s="85" t="s">
        <v>133</v>
      </c>
    </row>
    <row r="1367" ht="22.5" customHeight="1">
      <c r="A1367" s="131">
        <v>46208.0</v>
      </c>
      <c r="B1367" s="84" t="str">
        <f t="shared" si="1"/>
        <v>Jul 2026</v>
      </c>
      <c r="C1367" s="84">
        <f t="shared" si="2"/>
        <v>28</v>
      </c>
      <c r="D1367" s="85" t="s">
        <v>160</v>
      </c>
      <c r="E1367" s="85" t="s">
        <v>165</v>
      </c>
      <c r="F1367" s="86" t="s">
        <v>251</v>
      </c>
      <c r="G1367" s="87" t="s">
        <v>218</v>
      </c>
      <c r="H1367" s="88">
        <f t="shared" si="3"/>
        <v>1.1</v>
      </c>
      <c r="I1367" s="134">
        <v>1.0</v>
      </c>
      <c r="J1367" s="133"/>
      <c r="K1367" s="132">
        <f t="shared" si="4"/>
        <v>0.1</v>
      </c>
      <c r="L1367" s="84">
        <f t="shared" si="5"/>
        <v>1366</v>
      </c>
      <c r="M1367" s="85" t="s">
        <v>175</v>
      </c>
    </row>
    <row r="1368" ht="22.5" customHeight="1">
      <c r="A1368" s="131">
        <v>46208.0</v>
      </c>
      <c r="B1368" s="84" t="str">
        <f t="shared" si="1"/>
        <v>Jul 2026</v>
      </c>
      <c r="C1368" s="84">
        <f t="shared" si="2"/>
        <v>28</v>
      </c>
      <c r="D1368" s="85" t="s">
        <v>129</v>
      </c>
      <c r="E1368" s="85" t="s">
        <v>165</v>
      </c>
      <c r="F1368" s="86" t="s">
        <v>134</v>
      </c>
      <c r="G1368" s="86" t="s">
        <v>224</v>
      </c>
      <c r="H1368" s="88">
        <f t="shared" si="3"/>
        <v>0.7337</v>
      </c>
      <c r="I1368" s="134">
        <v>0.667</v>
      </c>
      <c r="J1368" s="133"/>
      <c r="K1368" s="132">
        <f t="shared" si="4"/>
        <v>0.0667</v>
      </c>
      <c r="L1368" s="84">
        <f t="shared" si="5"/>
        <v>1367</v>
      </c>
      <c r="M1368" s="85" t="s">
        <v>133</v>
      </c>
    </row>
    <row r="1369" ht="22.5" customHeight="1">
      <c r="A1369" s="131">
        <v>46208.0</v>
      </c>
      <c r="B1369" s="84" t="str">
        <f t="shared" si="1"/>
        <v>Jul 2026</v>
      </c>
      <c r="C1369" s="84">
        <f t="shared" si="2"/>
        <v>28</v>
      </c>
      <c r="D1369" s="85" t="s">
        <v>129</v>
      </c>
      <c r="E1369" s="85" t="s">
        <v>165</v>
      </c>
      <c r="F1369" s="86" t="s">
        <v>134</v>
      </c>
      <c r="G1369" s="86" t="s">
        <v>224</v>
      </c>
      <c r="H1369" s="88">
        <f t="shared" si="3"/>
        <v>0.7337</v>
      </c>
      <c r="I1369" s="134">
        <v>0.667</v>
      </c>
      <c r="J1369" s="133"/>
      <c r="K1369" s="132">
        <f t="shared" si="4"/>
        <v>0.0667</v>
      </c>
      <c r="L1369" s="84">
        <f t="shared" si="5"/>
        <v>1368</v>
      </c>
      <c r="M1369" s="85" t="s">
        <v>133</v>
      </c>
    </row>
    <row r="1370" ht="22.5" customHeight="1">
      <c r="A1370" s="131">
        <v>46208.0</v>
      </c>
      <c r="B1370" s="84" t="str">
        <f t="shared" si="1"/>
        <v>Jul 2026</v>
      </c>
      <c r="C1370" s="84">
        <f t="shared" si="2"/>
        <v>28</v>
      </c>
      <c r="D1370" s="85" t="s">
        <v>129</v>
      </c>
      <c r="E1370" s="85" t="s">
        <v>165</v>
      </c>
      <c r="F1370" s="86" t="s">
        <v>249</v>
      </c>
      <c r="G1370" s="86" t="s">
        <v>217</v>
      </c>
      <c r="H1370" s="88">
        <f t="shared" si="3"/>
        <v>0.7337</v>
      </c>
      <c r="I1370" s="134">
        <v>0.667</v>
      </c>
      <c r="J1370" s="133"/>
      <c r="K1370" s="132">
        <f t="shared" si="4"/>
        <v>0.0667</v>
      </c>
      <c r="L1370" s="84">
        <f t="shared" si="5"/>
        <v>1369</v>
      </c>
      <c r="M1370" s="85" t="s">
        <v>133</v>
      </c>
    </row>
    <row r="1371" ht="22.5" customHeight="1">
      <c r="A1371" s="131">
        <v>46208.0</v>
      </c>
      <c r="B1371" s="84" t="str">
        <f t="shared" si="1"/>
        <v>Jul 2026</v>
      </c>
      <c r="C1371" s="84">
        <f t="shared" si="2"/>
        <v>28</v>
      </c>
      <c r="D1371" s="85" t="s">
        <v>161</v>
      </c>
      <c r="E1371" s="85" t="s">
        <v>165</v>
      </c>
      <c r="F1371" s="86" t="s">
        <v>232</v>
      </c>
      <c r="G1371" s="87" t="s">
        <v>75</v>
      </c>
      <c r="H1371" s="88">
        <f t="shared" si="3"/>
        <v>0.11</v>
      </c>
      <c r="I1371" s="134">
        <v>0.1</v>
      </c>
      <c r="J1371" s="133"/>
      <c r="K1371" s="132">
        <f t="shared" si="4"/>
        <v>0.01</v>
      </c>
      <c r="L1371" s="84">
        <f t="shared" si="5"/>
        <v>1370</v>
      </c>
      <c r="M1371" s="85" t="s">
        <v>133</v>
      </c>
    </row>
    <row r="1372" ht="22.5" customHeight="1">
      <c r="A1372" s="131">
        <v>46208.0</v>
      </c>
      <c r="B1372" s="84" t="str">
        <f t="shared" si="1"/>
        <v>Jul 2026</v>
      </c>
      <c r="C1372" s="84">
        <f t="shared" si="2"/>
        <v>28</v>
      </c>
      <c r="D1372" s="85" t="s">
        <v>129</v>
      </c>
      <c r="E1372" s="85" t="s">
        <v>165</v>
      </c>
      <c r="F1372" s="86" t="s">
        <v>262</v>
      </c>
      <c r="G1372" s="86" t="s">
        <v>223</v>
      </c>
      <c r="H1372" s="88">
        <f t="shared" si="3"/>
        <v>0.7337</v>
      </c>
      <c r="I1372" s="134">
        <v>0.667</v>
      </c>
      <c r="J1372" s="133"/>
      <c r="K1372" s="132">
        <f t="shared" si="4"/>
        <v>0.0667</v>
      </c>
      <c r="L1372" s="84">
        <f t="shared" si="5"/>
        <v>1371</v>
      </c>
      <c r="M1372" s="85" t="s">
        <v>133</v>
      </c>
    </row>
    <row r="1373" ht="22.5" customHeight="1">
      <c r="A1373" s="131">
        <v>46208.0</v>
      </c>
      <c r="B1373" s="84" t="str">
        <f t="shared" si="1"/>
        <v>Jul 2026</v>
      </c>
      <c r="C1373" s="84">
        <f t="shared" si="2"/>
        <v>28</v>
      </c>
      <c r="D1373" s="85" t="s">
        <v>161</v>
      </c>
      <c r="E1373" s="85" t="s">
        <v>165</v>
      </c>
      <c r="F1373" s="86" t="s">
        <v>232</v>
      </c>
      <c r="G1373" s="87" t="s">
        <v>75</v>
      </c>
      <c r="H1373" s="88">
        <f t="shared" si="3"/>
        <v>0.11</v>
      </c>
      <c r="I1373" s="134">
        <v>0.1</v>
      </c>
      <c r="J1373" s="133"/>
      <c r="K1373" s="132">
        <f t="shared" si="4"/>
        <v>0.01</v>
      </c>
      <c r="L1373" s="84">
        <f t="shared" si="5"/>
        <v>1372</v>
      </c>
      <c r="M1373" s="85" t="s">
        <v>133</v>
      </c>
    </row>
    <row r="1374" ht="22.5" customHeight="1">
      <c r="A1374" s="131">
        <v>46208.0</v>
      </c>
      <c r="B1374" s="84" t="str">
        <f t="shared" si="1"/>
        <v>Jul 2026</v>
      </c>
      <c r="C1374" s="84">
        <f t="shared" si="2"/>
        <v>28</v>
      </c>
      <c r="D1374" s="85" t="s">
        <v>129</v>
      </c>
      <c r="E1374" s="85" t="s">
        <v>167</v>
      </c>
      <c r="F1374" s="86" t="s">
        <v>270</v>
      </c>
      <c r="G1374" s="86" t="s">
        <v>219</v>
      </c>
      <c r="H1374" s="88">
        <f t="shared" si="3"/>
        <v>0.7337</v>
      </c>
      <c r="I1374" s="134">
        <v>0.667</v>
      </c>
      <c r="J1374" s="133"/>
      <c r="K1374" s="132">
        <f t="shared" si="4"/>
        <v>0.0667</v>
      </c>
      <c r="L1374" s="84">
        <f t="shared" si="5"/>
        <v>1373</v>
      </c>
      <c r="M1374" s="85" t="s">
        <v>133</v>
      </c>
    </row>
    <row r="1375" ht="22.5" customHeight="1">
      <c r="A1375" s="131">
        <v>46208.0</v>
      </c>
      <c r="B1375" s="84" t="str">
        <f t="shared" si="1"/>
        <v>Jul 2026</v>
      </c>
      <c r="C1375" s="84">
        <f t="shared" si="2"/>
        <v>28</v>
      </c>
      <c r="D1375" s="85" t="s">
        <v>161</v>
      </c>
      <c r="E1375" s="85" t="s">
        <v>167</v>
      </c>
      <c r="F1375" s="86" t="s">
        <v>232</v>
      </c>
      <c r="G1375" s="87" t="s">
        <v>75</v>
      </c>
      <c r="H1375" s="88">
        <f t="shared" si="3"/>
        <v>0.11</v>
      </c>
      <c r="I1375" s="134">
        <v>0.1</v>
      </c>
      <c r="J1375" s="133"/>
      <c r="K1375" s="132">
        <f t="shared" si="4"/>
        <v>0.01</v>
      </c>
      <c r="L1375" s="84">
        <f t="shared" si="5"/>
        <v>1374</v>
      </c>
      <c r="M1375" s="85" t="s">
        <v>133</v>
      </c>
    </row>
    <row r="1376" ht="22.5" customHeight="1">
      <c r="A1376" s="131">
        <v>46208.0</v>
      </c>
      <c r="B1376" s="84" t="str">
        <f t="shared" si="1"/>
        <v>Jul 2026</v>
      </c>
      <c r="C1376" s="84">
        <f t="shared" si="2"/>
        <v>28</v>
      </c>
      <c r="D1376" s="85" t="s">
        <v>161</v>
      </c>
      <c r="E1376" s="85" t="s">
        <v>167</v>
      </c>
      <c r="F1376" s="86" t="s">
        <v>232</v>
      </c>
      <c r="G1376" s="87" t="s">
        <v>75</v>
      </c>
      <c r="H1376" s="88">
        <f t="shared" si="3"/>
        <v>0.11</v>
      </c>
      <c r="I1376" s="134">
        <v>0.1</v>
      </c>
      <c r="J1376" s="133"/>
      <c r="K1376" s="132">
        <f t="shared" si="4"/>
        <v>0.01</v>
      </c>
      <c r="L1376" s="84">
        <f t="shared" si="5"/>
        <v>1375</v>
      </c>
      <c r="M1376" s="85" t="s">
        <v>133</v>
      </c>
    </row>
    <row r="1377" ht="22.5" customHeight="1">
      <c r="A1377" s="131">
        <v>46208.0</v>
      </c>
      <c r="B1377" s="84" t="str">
        <f t="shared" si="1"/>
        <v>Jul 2026</v>
      </c>
      <c r="C1377" s="84">
        <f t="shared" si="2"/>
        <v>28</v>
      </c>
      <c r="D1377" s="85" t="s">
        <v>129</v>
      </c>
      <c r="E1377" s="85" t="s">
        <v>167</v>
      </c>
      <c r="F1377" s="86" t="s">
        <v>268</v>
      </c>
      <c r="G1377" s="86" t="s">
        <v>222</v>
      </c>
      <c r="H1377" s="88">
        <f t="shared" si="3"/>
        <v>0.7337</v>
      </c>
      <c r="I1377" s="134">
        <v>0.667</v>
      </c>
      <c r="J1377" s="133"/>
      <c r="K1377" s="132">
        <f t="shared" si="4"/>
        <v>0.0667</v>
      </c>
      <c r="L1377" s="84">
        <f t="shared" si="5"/>
        <v>1376</v>
      </c>
      <c r="M1377" s="85" t="s">
        <v>133</v>
      </c>
    </row>
    <row r="1378" ht="22.5" customHeight="1">
      <c r="A1378" s="131">
        <v>46208.0</v>
      </c>
      <c r="B1378" s="84" t="str">
        <f t="shared" si="1"/>
        <v>Jul 2026</v>
      </c>
      <c r="C1378" s="84">
        <f t="shared" si="2"/>
        <v>28</v>
      </c>
      <c r="D1378" s="85" t="s">
        <v>160</v>
      </c>
      <c r="E1378" s="85" t="s">
        <v>167</v>
      </c>
      <c r="F1378" s="86" t="s">
        <v>251</v>
      </c>
      <c r="G1378" s="87" t="s">
        <v>218</v>
      </c>
      <c r="H1378" s="88">
        <f t="shared" si="3"/>
        <v>1.1</v>
      </c>
      <c r="I1378" s="134">
        <v>1.0</v>
      </c>
      <c r="J1378" s="133"/>
      <c r="K1378" s="132">
        <f t="shared" si="4"/>
        <v>0.1</v>
      </c>
      <c r="L1378" s="84">
        <f t="shared" si="5"/>
        <v>1377</v>
      </c>
      <c r="M1378" s="85" t="s">
        <v>175</v>
      </c>
    </row>
    <row r="1379" ht="22.5" customHeight="1">
      <c r="A1379" s="131">
        <v>46208.0</v>
      </c>
      <c r="B1379" s="84" t="str">
        <f t="shared" si="1"/>
        <v>Jul 2026</v>
      </c>
      <c r="C1379" s="84">
        <f t="shared" si="2"/>
        <v>28</v>
      </c>
      <c r="D1379" s="85" t="s">
        <v>129</v>
      </c>
      <c r="E1379" s="85" t="s">
        <v>167</v>
      </c>
      <c r="F1379" s="86" t="s">
        <v>134</v>
      </c>
      <c r="G1379" s="86" t="s">
        <v>224</v>
      </c>
      <c r="H1379" s="88">
        <f t="shared" si="3"/>
        <v>0.7337</v>
      </c>
      <c r="I1379" s="134">
        <v>0.667</v>
      </c>
      <c r="J1379" s="133"/>
      <c r="K1379" s="132">
        <f t="shared" si="4"/>
        <v>0.0667</v>
      </c>
      <c r="L1379" s="84">
        <f t="shared" si="5"/>
        <v>1378</v>
      </c>
      <c r="M1379" s="85" t="s">
        <v>133</v>
      </c>
    </row>
    <row r="1380" ht="22.5" customHeight="1">
      <c r="A1380" s="131">
        <v>46208.0</v>
      </c>
      <c r="B1380" s="84" t="str">
        <f t="shared" si="1"/>
        <v>Jul 2026</v>
      </c>
      <c r="C1380" s="84">
        <f t="shared" si="2"/>
        <v>28</v>
      </c>
      <c r="D1380" s="85" t="s">
        <v>161</v>
      </c>
      <c r="E1380" s="85" t="s">
        <v>167</v>
      </c>
      <c r="F1380" s="86" t="s">
        <v>232</v>
      </c>
      <c r="G1380" s="87" t="s">
        <v>75</v>
      </c>
      <c r="H1380" s="88">
        <f t="shared" si="3"/>
        <v>0.11</v>
      </c>
      <c r="I1380" s="134">
        <v>0.1</v>
      </c>
      <c r="J1380" s="133"/>
      <c r="K1380" s="132">
        <f t="shared" si="4"/>
        <v>0.01</v>
      </c>
      <c r="L1380" s="84">
        <f t="shared" si="5"/>
        <v>1379</v>
      </c>
      <c r="M1380" s="85" t="s">
        <v>133</v>
      </c>
    </row>
    <row r="1381" ht="22.5" customHeight="1">
      <c r="A1381" s="131">
        <v>46208.0</v>
      </c>
      <c r="B1381" s="84" t="str">
        <f t="shared" si="1"/>
        <v>Jul 2026</v>
      </c>
      <c r="C1381" s="84">
        <f t="shared" si="2"/>
        <v>28</v>
      </c>
      <c r="D1381" s="85" t="s">
        <v>129</v>
      </c>
      <c r="E1381" s="85" t="s">
        <v>167</v>
      </c>
      <c r="F1381" s="86" t="s">
        <v>249</v>
      </c>
      <c r="G1381" s="86" t="s">
        <v>217</v>
      </c>
      <c r="H1381" s="88">
        <f t="shared" si="3"/>
        <v>0.7337</v>
      </c>
      <c r="I1381" s="134">
        <v>0.667</v>
      </c>
      <c r="J1381" s="133"/>
      <c r="K1381" s="132">
        <f t="shared" si="4"/>
        <v>0.0667</v>
      </c>
      <c r="L1381" s="84">
        <f t="shared" si="5"/>
        <v>1380</v>
      </c>
      <c r="M1381" s="85" t="s">
        <v>133</v>
      </c>
    </row>
    <row r="1382" ht="22.5" customHeight="1">
      <c r="A1382" s="131">
        <v>46208.0</v>
      </c>
      <c r="B1382" s="84" t="str">
        <f t="shared" si="1"/>
        <v>Jul 2026</v>
      </c>
      <c r="C1382" s="84">
        <f t="shared" si="2"/>
        <v>28</v>
      </c>
      <c r="D1382" s="85" t="s">
        <v>129</v>
      </c>
      <c r="E1382" s="85" t="s">
        <v>167</v>
      </c>
      <c r="F1382" s="86" t="s">
        <v>262</v>
      </c>
      <c r="G1382" s="86" t="s">
        <v>223</v>
      </c>
      <c r="H1382" s="88">
        <f t="shared" si="3"/>
        <v>0.7337</v>
      </c>
      <c r="I1382" s="134">
        <v>0.667</v>
      </c>
      <c r="J1382" s="133"/>
      <c r="K1382" s="132">
        <f t="shared" si="4"/>
        <v>0.0667</v>
      </c>
      <c r="L1382" s="84">
        <f t="shared" si="5"/>
        <v>1381</v>
      </c>
      <c r="M1382" s="85" t="s">
        <v>133</v>
      </c>
    </row>
    <row r="1383" ht="22.5" customHeight="1">
      <c r="A1383" s="131">
        <v>46208.0</v>
      </c>
      <c r="B1383" s="84" t="str">
        <f t="shared" si="1"/>
        <v>Jul 2026</v>
      </c>
      <c r="C1383" s="84">
        <f t="shared" si="2"/>
        <v>28</v>
      </c>
      <c r="D1383" s="85" t="s">
        <v>161</v>
      </c>
      <c r="E1383" s="85" t="s">
        <v>167</v>
      </c>
      <c r="F1383" s="86" t="s">
        <v>232</v>
      </c>
      <c r="G1383" s="87" t="s">
        <v>75</v>
      </c>
      <c r="H1383" s="88">
        <f t="shared" si="3"/>
        <v>0.11</v>
      </c>
      <c r="I1383" s="134">
        <v>0.1</v>
      </c>
      <c r="J1383" s="133"/>
      <c r="K1383" s="132">
        <f t="shared" si="4"/>
        <v>0.01</v>
      </c>
      <c r="L1383" s="84">
        <f t="shared" si="5"/>
        <v>1382</v>
      </c>
      <c r="M1383" s="85" t="s">
        <v>133</v>
      </c>
    </row>
    <row r="1384" ht="22.5" customHeight="1">
      <c r="A1384" s="131">
        <v>46208.0</v>
      </c>
      <c r="B1384" s="84" t="str">
        <f t="shared" si="1"/>
        <v>Jul 2026</v>
      </c>
      <c r="C1384" s="84">
        <f t="shared" si="2"/>
        <v>28</v>
      </c>
      <c r="D1384" s="85" t="s">
        <v>129</v>
      </c>
      <c r="E1384" s="85" t="s">
        <v>130</v>
      </c>
      <c r="F1384" s="86" t="s">
        <v>270</v>
      </c>
      <c r="G1384" s="86" t="s">
        <v>219</v>
      </c>
      <c r="H1384" s="88">
        <f t="shared" si="3"/>
        <v>0.7337</v>
      </c>
      <c r="I1384" s="134">
        <v>0.667</v>
      </c>
      <c r="J1384" s="133"/>
      <c r="K1384" s="132">
        <f t="shared" si="4"/>
        <v>0.0667</v>
      </c>
      <c r="L1384" s="84">
        <f t="shared" si="5"/>
        <v>1383</v>
      </c>
      <c r="M1384" s="85" t="s">
        <v>133</v>
      </c>
    </row>
    <row r="1385" ht="22.5" customHeight="1">
      <c r="A1385" s="131">
        <v>46208.0</v>
      </c>
      <c r="B1385" s="84" t="str">
        <f t="shared" si="1"/>
        <v>Jul 2026</v>
      </c>
      <c r="C1385" s="84">
        <f t="shared" si="2"/>
        <v>28</v>
      </c>
      <c r="D1385" s="85" t="s">
        <v>161</v>
      </c>
      <c r="E1385" s="85" t="s">
        <v>130</v>
      </c>
      <c r="F1385" s="86" t="s">
        <v>232</v>
      </c>
      <c r="G1385" s="87" t="s">
        <v>75</v>
      </c>
      <c r="H1385" s="88">
        <f t="shared" si="3"/>
        <v>0.11</v>
      </c>
      <c r="I1385" s="134">
        <v>0.1</v>
      </c>
      <c r="J1385" s="133"/>
      <c r="K1385" s="132">
        <f t="shared" si="4"/>
        <v>0.01</v>
      </c>
      <c r="L1385" s="84">
        <f t="shared" si="5"/>
        <v>1384</v>
      </c>
      <c r="M1385" s="85" t="s">
        <v>133</v>
      </c>
    </row>
    <row r="1386" ht="22.5" customHeight="1">
      <c r="A1386" s="131">
        <v>46208.0</v>
      </c>
      <c r="B1386" s="84" t="str">
        <f t="shared" si="1"/>
        <v>Jul 2026</v>
      </c>
      <c r="C1386" s="84">
        <f t="shared" si="2"/>
        <v>28</v>
      </c>
      <c r="D1386" s="85" t="s">
        <v>161</v>
      </c>
      <c r="E1386" s="85" t="s">
        <v>130</v>
      </c>
      <c r="F1386" s="86" t="s">
        <v>232</v>
      </c>
      <c r="G1386" s="87" t="s">
        <v>75</v>
      </c>
      <c r="H1386" s="88">
        <f t="shared" si="3"/>
        <v>0.11</v>
      </c>
      <c r="I1386" s="134">
        <v>0.1</v>
      </c>
      <c r="J1386" s="133"/>
      <c r="K1386" s="132">
        <f t="shared" si="4"/>
        <v>0.01</v>
      </c>
      <c r="L1386" s="84">
        <f t="shared" si="5"/>
        <v>1385</v>
      </c>
      <c r="M1386" s="85" t="s">
        <v>133</v>
      </c>
    </row>
    <row r="1387" ht="22.5" customHeight="1">
      <c r="A1387" s="131">
        <v>46208.0</v>
      </c>
      <c r="B1387" s="84" t="str">
        <f t="shared" si="1"/>
        <v>Jul 2026</v>
      </c>
      <c r="C1387" s="84">
        <f t="shared" si="2"/>
        <v>28</v>
      </c>
      <c r="D1387" s="85" t="s">
        <v>129</v>
      </c>
      <c r="E1387" s="85" t="s">
        <v>130</v>
      </c>
      <c r="F1387" s="86" t="s">
        <v>268</v>
      </c>
      <c r="G1387" s="86" t="s">
        <v>222</v>
      </c>
      <c r="H1387" s="88">
        <f t="shared" si="3"/>
        <v>0.7337</v>
      </c>
      <c r="I1387" s="134">
        <v>0.667</v>
      </c>
      <c r="J1387" s="133"/>
      <c r="K1387" s="132">
        <f t="shared" si="4"/>
        <v>0.0667</v>
      </c>
      <c r="L1387" s="84">
        <f t="shared" si="5"/>
        <v>1386</v>
      </c>
      <c r="M1387" s="85" t="s">
        <v>133</v>
      </c>
    </row>
    <row r="1388" ht="22.5" customHeight="1">
      <c r="A1388" s="131">
        <v>46208.0</v>
      </c>
      <c r="B1388" s="84" t="str">
        <f t="shared" si="1"/>
        <v>Jul 2026</v>
      </c>
      <c r="C1388" s="84">
        <f t="shared" si="2"/>
        <v>28</v>
      </c>
      <c r="D1388" s="85" t="s">
        <v>160</v>
      </c>
      <c r="E1388" s="85" t="s">
        <v>130</v>
      </c>
      <c r="F1388" s="86" t="s">
        <v>251</v>
      </c>
      <c r="G1388" s="87" t="s">
        <v>218</v>
      </c>
      <c r="H1388" s="88">
        <f t="shared" si="3"/>
        <v>1.1</v>
      </c>
      <c r="I1388" s="134">
        <v>1.0</v>
      </c>
      <c r="J1388" s="133"/>
      <c r="K1388" s="132">
        <f t="shared" si="4"/>
        <v>0.1</v>
      </c>
      <c r="L1388" s="84">
        <f t="shared" si="5"/>
        <v>1387</v>
      </c>
      <c r="M1388" s="85" t="s">
        <v>175</v>
      </c>
    </row>
    <row r="1389" ht="22.5" customHeight="1">
      <c r="A1389" s="131">
        <v>46208.0</v>
      </c>
      <c r="B1389" s="84" t="str">
        <f t="shared" si="1"/>
        <v>Jul 2026</v>
      </c>
      <c r="C1389" s="84">
        <f t="shared" si="2"/>
        <v>28</v>
      </c>
      <c r="D1389" s="85" t="s">
        <v>129</v>
      </c>
      <c r="E1389" s="85" t="s">
        <v>130</v>
      </c>
      <c r="F1389" s="86" t="s">
        <v>134</v>
      </c>
      <c r="G1389" s="86" t="s">
        <v>224</v>
      </c>
      <c r="H1389" s="88">
        <f t="shared" si="3"/>
        <v>0.7337</v>
      </c>
      <c r="I1389" s="134">
        <v>0.667</v>
      </c>
      <c r="J1389" s="133"/>
      <c r="K1389" s="132">
        <f t="shared" si="4"/>
        <v>0.0667</v>
      </c>
      <c r="L1389" s="84">
        <f t="shared" si="5"/>
        <v>1388</v>
      </c>
      <c r="M1389" s="85" t="s">
        <v>133</v>
      </c>
    </row>
    <row r="1390" ht="22.5" customHeight="1">
      <c r="A1390" s="131">
        <v>46208.0</v>
      </c>
      <c r="B1390" s="84" t="str">
        <f t="shared" si="1"/>
        <v>Jul 2026</v>
      </c>
      <c r="C1390" s="84">
        <f t="shared" si="2"/>
        <v>28</v>
      </c>
      <c r="D1390" s="85" t="s">
        <v>129</v>
      </c>
      <c r="E1390" s="85" t="s">
        <v>130</v>
      </c>
      <c r="F1390" s="86" t="s">
        <v>249</v>
      </c>
      <c r="G1390" s="86" t="s">
        <v>217</v>
      </c>
      <c r="H1390" s="88">
        <f t="shared" si="3"/>
        <v>0.7337</v>
      </c>
      <c r="I1390" s="134">
        <v>0.667</v>
      </c>
      <c r="J1390" s="133"/>
      <c r="K1390" s="132">
        <f t="shared" si="4"/>
        <v>0.0667</v>
      </c>
      <c r="L1390" s="84">
        <f t="shared" si="5"/>
        <v>1389</v>
      </c>
      <c r="M1390" s="85" t="s">
        <v>133</v>
      </c>
    </row>
    <row r="1391" ht="22.5" customHeight="1">
      <c r="A1391" s="131">
        <v>46208.0</v>
      </c>
      <c r="B1391" s="84" t="str">
        <f t="shared" si="1"/>
        <v>Jul 2026</v>
      </c>
      <c r="C1391" s="84">
        <f t="shared" si="2"/>
        <v>28</v>
      </c>
      <c r="D1391" s="85" t="s">
        <v>161</v>
      </c>
      <c r="E1391" s="85" t="s">
        <v>130</v>
      </c>
      <c r="F1391" s="86" t="s">
        <v>232</v>
      </c>
      <c r="G1391" s="87" t="s">
        <v>75</v>
      </c>
      <c r="H1391" s="88">
        <f t="shared" si="3"/>
        <v>0.11</v>
      </c>
      <c r="I1391" s="134">
        <v>0.1</v>
      </c>
      <c r="J1391" s="133"/>
      <c r="K1391" s="132">
        <f t="shared" si="4"/>
        <v>0.01</v>
      </c>
      <c r="L1391" s="84">
        <f t="shared" si="5"/>
        <v>1390</v>
      </c>
      <c r="M1391" s="85" t="s">
        <v>133</v>
      </c>
    </row>
    <row r="1392" ht="22.5" customHeight="1">
      <c r="A1392" s="131">
        <v>46208.0</v>
      </c>
      <c r="B1392" s="84" t="str">
        <f t="shared" si="1"/>
        <v>Jul 2026</v>
      </c>
      <c r="C1392" s="84">
        <f t="shared" si="2"/>
        <v>28</v>
      </c>
      <c r="D1392" s="85" t="s">
        <v>129</v>
      </c>
      <c r="E1392" s="85" t="s">
        <v>130</v>
      </c>
      <c r="F1392" s="86" t="s">
        <v>262</v>
      </c>
      <c r="G1392" s="86" t="s">
        <v>223</v>
      </c>
      <c r="H1392" s="88">
        <f t="shared" si="3"/>
        <v>0.7337</v>
      </c>
      <c r="I1392" s="134">
        <v>0.667</v>
      </c>
      <c r="J1392" s="133"/>
      <c r="K1392" s="132">
        <f t="shared" si="4"/>
        <v>0.0667</v>
      </c>
      <c r="L1392" s="84">
        <f t="shared" si="5"/>
        <v>1391</v>
      </c>
      <c r="M1392" s="85" t="s">
        <v>133</v>
      </c>
    </row>
    <row r="1393" ht="22.5" customHeight="1">
      <c r="A1393" s="131">
        <v>46208.0</v>
      </c>
      <c r="B1393" s="84" t="str">
        <f t="shared" si="1"/>
        <v>Jul 2026</v>
      </c>
      <c r="C1393" s="84">
        <f t="shared" si="2"/>
        <v>28</v>
      </c>
      <c r="D1393" s="85" t="s">
        <v>161</v>
      </c>
      <c r="E1393" s="85" t="s">
        <v>130</v>
      </c>
      <c r="F1393" s="86" t="s">
        <v>232</v>
      </c>
      <c r="G1393" s="87" t="s">
        <v>75</v>
      </c>
      <c r="H1393" s="88">
        <f t="shared" si="3"/>
        <v>0.11</v>
      </c>
      <c r="I1393" s="134">
        <v>0.1</v>
      </c>
      <c r="J1393" s="133"/>
      <c r="K1393" s="132">
        <f t="shared" si="4"/>
        <v>0.01</v>
      </c>
      <c r="L1393" s="84">
        <f t="shared" si="5"/>
        <v>1392</v>
      </c>
      <c r="M1393" s="85" t="s">
        <v>133</v>
      </c>
    </row>
  </sheetData>
  <conditionalFormatting sqref="B1:B1393">
    <cfRule type="expression" dxfId="5" priority="1">
      <formula>B1=-29.0</formula>
    </cfRule>
  </conditionalFormatting>
  <conditionalFormatting sqref="C1:C1393">
    <cfRule type="cellIs" dxfId="5" priority="2" operator="equal">
      <formula>52</formula>
    </cfRule>
  </conditionalFormatting>
  <conditionalFormatting sqref="I1:K1393">
    <cfRule type="cellIs" dxfId="6" priority="3" operator="greaterThan">
      <formula>1</formula>
    </cfRule>
  </conditionalFormatting>
  <dataValidations>
    <dataValidation type="custom" allowBlank="1" showDropDown="1" sqref="A2:A1393">
      <formula1>OR(NOT(ISERROR(DATEVALUE(A2))), AND(ISNUMBER(A2), LEFT(CELL("format", A2))="D"))</formula1>
    </dataValidation>
    <dataValidation type="list" allowBlank="1" sqref="M2:M1393">
      <formula1>"Middle of Funnel,Bottom of Funnel,Product Overlay"</formula1>
    </dataValidation>
    <dataValidation type="list" allowBlank="1" sqref="D2:D1393">
      <formula1>"Sierra,Addison,Charley,Brittney,Erin,Blakely"</formula1>
    </dataValidation>
    <dataValidation type="custom" allowBlank="1" showDropDown="1" sqref="H2:K1393">
      <formula1>AND(ISNUMBER(H2),(NOT(OR(NOT(ISERROR(DATEVALUE(H2))), AND(ISNUMBER(H2), LEFT(CELL("format", H2))="D")))))</formula1>
    </dataValidation>
    <dataValidation type="list" allowBlank="1" sqref="E2:E1393">
      <formula1>"Account 1,Account 2,Account 3,Account 4"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11.0"/>
    <col customWidth="1" min="3" max="3" width="11.63"/>
    <col customWidth="1" min="4" max="4" width="11.38"/>
    <col customWidth="1" min="5" max="5" width="13.13"/>
    <col customWidth="1" min="6" max="6" width="12.38"/>
    <col customWidth="1" min="7" max="7" width="10.5"/>
    <col customWidth="1" min="8" max="9" width="15.63"/>
    <col customWidth="1" min="10" max="10" width="16.63"/>
    <col customWidth="1" min="11" max="11" width="10.0"/>
    <col customWidth="1" min="12" max="12" width="14.63"/>
    <col customWidth="1" min="13" max="13" width="10.0"/>
    <col customWidth="1" min="14" max="14" width="17.5"/>
    <col customWidth="1" min="15" max="15" width="11.88"/>
    <col customWidth="1" min="16" max="16" width="17.63"/>
    <col customWidth="1" min="17" max="17" width="22.5"/>
    <col customWidth="1" min="18" max="18" width="16.63"/>
    <col customWidth="1" min="19" max="19" width="9.5"/>
    <col customWidth="1" min="20" max="20" width="11.38"/>
    <col customWidth="1" min="21" max="21" width="18.38"/>
    <col customWidth="1" min="22" max="22" width="16.25"/>
    <col customWidth="1" min="23" max="23" width="19.0"/>
    <col customWidth="1" min="24" max="24" width="23.38"/>
    <col customWidth="1" min="25" max="25" width="21.38"/>
  </cols>
  <sheetData>
    <row r="1" ht="22.5" customHeight="1">
      <c r="A1" s="79" t="s">
        <v>127</v>
      </c>
      <c r="B1" s="91" t="s">
        <v>119</v>
      </c>
      <c r="C1" s="91" t="s">
        <v>120</v>
      </c>
      <c r="D1" s="92" t="s">
        <v>122</v>
      </c>
      <c r="E1" s="92" t="s">
        <v>136</v>
      </c>
      <c r="F1" s="79" t="s">
        <v>137</v>
      </c>
      <c r="G1" s="79" t="s">
        <v>138</v>
      </c>
      <c r="H1" s="79" t="s">
        <v>116</v>
      </c>
      <c r="I1" s="79" t="s">
        <v>139</v>
      </c>
      <c r="J1" s="79" t="s">
        <v>140</v>
      </c>
      <c r="K1" s="79" t="s">
        <v>141</v>
      </c>
      <c r="L1" s="93" t="s">
        <v>142</v>
      </c>
      <c r="M1" s="93" t="s">
        <v>143</v>
      </c>
      <c r="N1" s="93" t="s">
        <v>144</v>
      </c>
      <c r="O1" s="92" t="s">
        <v>145</v>
      </c>
      <c r="P1" s="92" t="s">
        <v>146</v>
      </c>
      <c r="Q1" s="92" t="s">
        <v>147</v>
      </c>
      <c r="R1" s="92" t="s">
        <v>148</v>
      </c>
      <c r="S1" s="94" t="s">
        <v>149</v>
      </c>
      <c r="T1" s="92" t="s">
        <v>87</v>
      </c>
      <c r="U1" s="95" t="s">
        <v>150</v>
      </c>
      <c r="V1" s="92" t="s">
        <v>151</v>
      </c>
      <c r="W1" s="92" t="s">
        <v>152</v>
      </c>
      <c r="X1" s="92" t="s">
        <v>153</v>
      </c>
      <c r="Y1" s="96" t="s">
        <v>154</v>
      </c>
    </row>
    <row r="2" ht="22.5" customHeight="1">
      <c r="A2" s="97">
        <v>1.0</v>
      </c>
      <c r="B2" s="98" t="str">
        <f t="array" ref="B2">_xlfn.XLOOKUP(A2,'Video Database'!L:L,'Video Database'!D:D,"")</f>
        <v>Erin</v>
      </c>
      <c r="C2" s="98" t="str">
        <f t="array" ref="C2">_xlfn.XLOOKUP(A2,'Video Database'!L:L,'Video Database'!E:E,"")</f>
        <v>Account 4</v>
      </c>
      <c r="D2" s="99" t="str">
        <f t="array" ref="D2">_xlfn.XLOOKUP(A2,'Video Database'!L:L,'Video Database'!G:G,"")</f>
        <v>Color Wow Quick Refresh and Styling Bundle</v>
      </c>
      <c r="E2" s="100">
        <f t="array" ref="E2">_xlfn.XLOOKUP(A2,'Video Database'!L:L,'Video Database'!H:H,"")</f>
        <v>1.1</v>
      </c>
      <c r="F2" s="101">
        <v>0.0</v>
      </c>
      <c r="G2" s="87">
        <v>0.0</v>
      </c>
      <c r="H2" s="102">
        <f t="array" ref="H2">_xlfn.XLOOKUP(A2,'Video Database'!L:L,'Video Database'!A:A,"")</f>
        <v>46179</v>
      </c>
      <c r="I2" s="103">
        <v>46201.0</v>
      </c>
      <c r="J2" s="104">
        <v>0.0</v>
      </c>
      <c r="K2" s="105"/>
      <c r="L2" s="105" t="str">
        <f t="shared" ref="L2:L1188" si="1">M2</f>
        <v/>
      </c>
      <c r="O2" s="106" t="str">
        <f t="shared" ref="O2:O1393" si="2">iferror(K2/L2, NA())</f>
        <v>#N/A</v>
      </c>
      <c r="P2" s="106" t="str">
        <f t="shared" ref="P2:P1393" si="3">iferror(G2/K2, NA())</f>
        <v>#N/A</v>
      </c>
      <c r="Q2" s="84" t="str">
        <f t="shared" ref="Q2:Q1393" si="4">iferror(J2/G2,NA())</f>
        <v>#N/A</v>
      </c>
      <c r="R2" s="84" t="str">
        <f t="shared" ref="R2:R1393" si="5">iferror(F2/G2,NA())</f>
        <v>#N/A</v>
      </c>
      <c r="S2" s="107">
        <f t="shared" ref="S2:S1393" si="6">J2-E2</f>
        <v>-1.1</v>
      </c>
      <c r="T2" s="108">
        <f t="shared" ref="T2:T1393" si="7">if(E2=0,"",S2/E2)</f>
        <v>-1</v>
      </c>
      <c r="U2" s="106" t="str">
        <f t="shared" ref="U2:U1393" si="8">iferror(S2/J2,na())</f>
        <v>#N/A</v>
      </c>
      <c r="V2" s="84" t="str">
        <f t="shared" ref="V2:V1393" si="9">if(G2=0,"",E2/G2)</f>
        <v/>
      </c>
      <c r="W2" s="109" t="str">
        <f t="shared" ref="W2:W1393" si="10">if(K2=0,"",E2/K2)</f>
        <v/>
      </c>
      <c r="X2" s="109" t="str">
        <f t="shared" ref="X2:X1393" si="11">if(F2=0,"",(E2/F2)*100)</f>
        <v/>
      </c>
      <c r="Y2" s="110" t="str">
        <f t="array" ref="Y2">_xlfn.XLOOKUP(A2,'Video Database'!L:L,'Video Database'!M:M,"")</f>
        <v>Bottom of Funnel</v>
      </c>
    </row>
    <row r="3" ht="22.5" customHeight="1">
      <c r="A3" s="113">
        <f t="shared" ref="A3:A1393" si="12">A2+1</f>
        <v>2</v>
      </c>
      <c r="B3" s="98" t="str">
        <f t="array" ref="B3">_xlfn.XLOOKUP(A3,'Video Database'!L:L,'Video Database'!D:D,"")</f>
        <v>Erin</v>
      </c>
      <c r="C3" s="98" t="str">
        <f t="array" ref="C3">_xlfn.XLOOKUP(A3,'Video Database'!L:L,'Video Database'!E:E,"")</f>
        <v>Account 4</v>
      </c>
      <c r="D3" s="99" t="str">
        <f t="array" ref="D3">_xlfn.XLOOKUP(A3,'Video Database'!L:L,'Video Database'!G:G,"")</f>
        <v>Color Wow Quick Refresh and Styling Bundle</v>
      </c>
      <c r="E3" s="100">
        <f t="array" ref="E3">_xlfn.XLOOKUP(A3,'Video Database'!L:L,'Video Database'!H:H,"")</f>
        <v>1.1</v>
      </c>
      <c r="F3" s="101">
        <v>0.0</v>
      </c>
      <c r="G3" s="87">
        <v>0.0</v>
      </c>
      <c r="H3" s="114">
        <f t="array" ref="H3">_xlfn.XLOOKUP(A3,'Video Database'!L:L,'Video Database'!A:A,"")</f>
        <v>46179</v>
      </c>
      <c r="I3" s="103">
        <v>46201.0</v>
      </c>
      <c r="J3" s="104">
        <v>0.0</v>
      </c>
      <c r="K3" s="79"/>
      <c r="L3" s="105" t="str">
        <f t="shared" si="1"/>
        <v/>
      </c>
      <c r="O3" s="106" t="str">
        <f t="shared" si="2"/>
        <v>#N/A</v>
      </c>
      <c r="P3" s="106" t="str">
        <f t="shared" si="3"/>
        <v>#N/A</v>
      </c>
      <c r="Q3" s="84" t="str">
        <f t="shared" si="4"/>
        <v>#N/A</v>
      </c>
      <c r="R3" s="84" t="str">
        <f t="shared" si="5"/>
        <v>#N/A</v>
      </c>
      <c r="S3" s="107">
        <f t="shared" si="6"/>
        <v>-1.1</v>
      </c>
      <c r="T3" s="108">
        <f t="shared" si="7"/>
        <v>-1</v>
      </c>
      <c r="U3" s="106" t="str">
        <f t="shared" si="8"/>
        <v>#N/A</v>
      </c>
      <c r="V3" s="84" t="str">
        <f t="shared" si="9"/>
        <v/>
      </c>
      <c r="W3" s="109" t="str">
        <f t="shared" si="10"/>
        <v/>
      </c>
      <c r="X3" s="109" t="str">
        <f t="shared" si="11"/>
        <v/>
      </c>
      <c r="Y3" s="98" t="str">
        <f t="array" ref="Y3">_xlfn.XLOOKUP(A3,'Video Database'!L:L,'Video Database'!M:M,"")</f>
        <v>Bottom of Funnel</v>
      </c>
    </row>
    <row r="4" ht="22.5" customHeight="1">
      <c r="A4" s="113">
        <f t="shared" si="12"/>
        <v>3</v>
      </c>
      <c r="B4" s="98" t="str">
        <f t="array" ref="B4">_xlfn.XLOOKUP(A4,'Video Database'!L:L,'Video Database'!D:D,"")</f>
        <v>Erin</v>
      </c>
      <c r="C4" s="98" t="str">
        <f t="array" ref="C4">_xlfn.XLOOKUP(A4,'Video Database'!L:L,'Video Database'!E:E,"")</f>
        <v>Account 4</v>
      </c>
      <c r="D4" s="99" t="str">
        <f t="array" ref="D4">_xlfn.XLOOKUP(A4,'Video Database'!L:L,'Video Database'!G:G,"")</f>
        <v>Color Wow Quick Refresh and Styling Bundle</v>
      </c>
      <c r="E4" s="100">
        <f t="array" ref="E4">_xlfn.XLOOKUP(A4,'Video Database'!L:L,'Video Database'!H:H,"")</f>
        <v>1.1</v>
      </c>
      <c r="F4" s="101">
        <v>0.0</v>
      </c>
      <c r="G4" s="87">
        <v>0.0</v>
      </c>
      <c r="H4" s="114">
        <f t="array" ref="H4">_xlfn.XLOOKUP(A4,'Video Database'!L:L,'Video Database'!A:A,"")</f>
        <v>46179</v>
      </c>
      <c r="I4" s="103">
        <v>46201.0</v>
      </c>
      <c r="J4" s="104">
        <v>0.0</v>
      </c>
      <c r="K4" s="105"/>
      <c r="L4" s="105" t="str">
        <f t="shared" si="1"/>
        <v/>
      </c>
      <c r="O4" s="106" t="str">
        <f t="shared" si="2"/>
        <v>#N/A</v>
      </c>
      <c r="P4" s="106" t="str">
        <f t="shared" si="3"/>
        <v>#N/A</v>
      </c>
      <c r="Q4" s="84" t="str">
        <f t="shared" si="4"/>
        <v>#N/A</v>
      </c>
      <c r="R4" s="84" t="str">
        <f t="shared" si="5"/>
        <v>#N/A</v>
      </c>
      <c r="S4" s="107">
        <f t="shared" si="6"/>
        <v>-1.1</v>
      </c>
      <c r="T4" s="108">
        <f t="shared" si="7"/>
        <v>-1</v>
      </c>
      <c r="U4" s="106" t="str">
        <f t="shared" si="8"/>
        <v>#N/A</v>
      </c>
      <c r="V4" s="84" t="str">
        <f t="shared" si="9"/>
        <v/>
      </c>
      <c r="W4" s="109" t="str">
        <f t="shared" si="10"/>
        <v/>
      </c>
      <c r="X4" s="109" t="str">
        <f t="shared" si="11"/>
        <v/>
      </c>
      <c r="Y4" s="110" t="str">
        <f t="array" ref="Y4">_xlfn.XLOOKUP(A4,'Video Database'!L:L,'Video Database'!M:M,"")</f>
        <v>Bottom of Funnel</v>
      </c>
    </row>
    <row r="5" ht="22.5" customHeight="1">
      <c r="A5" s="113">
        <f t="shared" si="12"/>
        <v>4</v>
      </c>
      <c r="B5" s="98" t="str">
        <f t="array" ref="B5">_xlfn.XLOOKUP(A5,'Video Database'!L:L,'Video Database'!D:D,"")</f>
        <v>Erin</v>
      </c>
      <c r="C5" s="98" t="str">
        <f t="array" ref="C5">_xlfn.XLOOKUP(A5,'Video Database'!L:L,'Video Database'!E:E,"")</f>
        <v>Account 4</v>
      </c>
      <c r="D5" s="99" t="str">
        <f t="array" ref="D5">_xlfn.XLOOKUP(A5,'Video Database'!L:L,'Video Database'!G:G,"")</f>
        <v>Color Wow Quick Refresh and Styling Bundle</v>
      </c>
      <c r="E5" s="100">
        <f t="array" ref="E5">_xlfn.XLOOKUP(A5,'Video Database'!L:L,'Video Database'!H:H,"")</f>
        <v>1.1</v>
      </c>
      <c r="F5" s="101">
        <v>0.0</v>
      </c>
      <c r="G5" s="87">
        <v>0.0</v>
      </c>
      <c r="H5" s="114">
        <f t="array" ref="H5">_xlfn.XLOOKUP(A5,'Video Database'!L:L,'Video Database'!A:A,"")</f>
        <v>46179</v>
      </c>
      <c r="I5" s="103">
        <v>46201.0</v>
      </c>
      <c r="J5" s="104">
        <v>0.0</v>
      </c>
      <c r="K5" s="105"/>
      <c r="L5" s="105" t="str">
        <f t="shared" si="1"/>
        <v/>
      </c>
      <c r="O5" s="106" t="str">
        <f t="shared" si="2"/>
        <v>#N/A</v>
      </c>
      <c r="P5" s="106" t="str">
        <f t="shared" si="3"/>
        <v>#N/A</v>
      </c>
      <c r="Q5" s="84" t="str">
        <f t="shared" si="4"/>
        <v>#N/A</v>
      </c>
      <c r="R5" s="84" t="str">
        <f t="shared" si="5"/>
        <v>#N/A</v>
      </c>
      <c r="S5" s="107">
        <f t="shared" si="6"/>
        <v>-1.1</v>
      </c>
      <c r="T5" s="108">
        <f t="shared" si="7"/>
        <v>-1</v>
      </c>
      <c r="U5" s="106" t="str">
        <f t="shared" si="8"/>
        <v>#N/A</v>
      </c>
      <c r="V5" s="84" t="str">
        <f t="shared" si="9"/>
        <v/>
      </c>
      <c r="W5" s="109" t="str">
        <f t="shared" si="10"/>
        <v/>
      </c>
      <c r="X5" s="109" t="str">
        <f t="shared" si="11"/>
        <v/>
      </c>
      <c r="Y5" s="110" t="str">
        <f t="array" ref="Y5">_xlfn.XLOOKUP(A5,'Video Database'!L:L,'Video Database'!M:M,"")</f>
        <v>Bottom of Funnel</v>
      </c>
    </row>
    <row r="6" ht="22.5" customHeight="1">
      <c r="A6" s="113">
        <f t="shared" si="12"/>
        <v>5</v>
      </c>
      <c r="B6" s="98" t="str">
        <f t="array" ref="B6">_xlfn.XLOOKUP(A6,'Video Database'!L:L,'Video Database'!D:D,"")</f>
        <v>Erin</v>
      </c>
      <c r="C6" s="98" t="str">
        <f t="array" ref="C6">_xlfn.XLOOKUP(A6,'Video Database'!L:L,'Video Database'!E:E,"")</f>
        <v>Account 4</v>
      </c>
      <c r="D6" s="99" t="str">
        <f t="array" ref="D6">_xlfn.XLOOKUP(A6,'Video Database'!L:L,'Video Database'!G:G,"")</f>
        <v>Color Wow Quick Refresh and Styling Bundle</v>
      </c>
      <c r="E6" s="100">
        <f t="array" ref="E6">_xlfn.XLOOKUP(A6,'Video Database'!L:L,'Video Database'!H:H,"")</f>
        <v>1.1</v>
      </c>
      <c r="F6" s="101">
        <v>0.0</v>
      </c>
      <c r="G6" s="87">
        <v>0.0</v>
      </c>
      <c r="H6" s="114">
        <f t="array" ref="H6">_xlfn.XLOOKUP(A6,'Video Database'!L:L,'Video Database'!A:A,"")</f>
        <v>46179</v>
      </c>
      <c r="I6" s="103">
        <v>46201.0</v>
      </c>
      <c r="J6" s="104">
        <v>0.0</v>
      </c>
      <c r="K6" s="105"/>
      <c r="L6" s="105" t="str">
        <f t="shared" si="1"/>
        <v/>
      </c>
      <c r="O6" s="106" t="str">
        <f t="shared" si="2"/>
        <v>#N/A</v>
      </c>
      <c r="P6" s="106" t="str">
        <f t="shared" si="3"/>
        <v>#N/A</v>
      </c>
      <c r="Q6" s="84" t="str">
        <f t="shared" si="4"/>
        <v>#N/A</v>
      </c>
      <c r="R6" s="84" t="str">
        <f t="shared" si="5"/>
        <v>#N/A</v>
      </c>
      <c r="S6" s="107">
        <f t="shared" si="6"/>
        <v>-1.1</v>
      </c>
      <c r="T6" s="108">
        <f t="shared" si="7"/>
        <v>-1</v>
      </c>
      <c r="U6" s="106" t="str">
        <f t="shared" si="8"/>
        <v>#N/A</v>
      </c>
      <c r="V6" s="84" t="str">
        <f t="shared" si="9"/>
        <v/>
      </c>
      <c r="W6" s="109" t="str">
        <f t="shared" si="10"/>
        <v/>
      </c>
      <c r="X6" s="109" t="str">
        <f t="shared" si="11"/>
        <v/>
      </c>
      <c r="Y6" s="110" t="str">
        <f t="array" ref="Y6">_xlfn.XLOOKUP(A6,'Video Database'!L:L,'Video Database'!M:M,"")</f>
        <v>Bottom of Funnel</v>
      </c>
    </row>
    <row r="7" ht="22.5" customHeight="1">
      <c r="A7" s="113">
        <f t="shared" si="12"/>
        <v>6</v>
      </c>
      <c r="B7" s="98" t="str">
        <f t="array" ref="B7">_xlfn.XLOOKUP(A7,'Video Database'!L:L,'Video Database'!D:D,"")</f>
        <v>Erin</v>
      </c>
      <c r="C7" s="98" t="str">
        <f t="array" ref="C7">_xlfn.XLOOKUP(A7,'Video Database'!L:L,'Video Database'!E:E,"")</f>
        <v>Account 4</v>
      </c>
      <c r="D7" s="99" t="str">
        <f t="array" ref="D7">_xlfn.XLOOKUP(A7,'Video Database'!L:L,'Video Database'!G:G,"")</f>
        <v>Color Wow Quick Refresh and Styling Bundle</v>
      </c>
      <c r="E7" s="100">
        <f t="array" ref="E7">_xlfn.XLOOKUP(A7,'Video Database'!L:L,'Video Database'!H:H,"")</f>
        <v>1.1</v>
      </c>
      <c r="F7" s="101">
        <v>0.0</v>
      </c>
      <c r="G7" s="87">
        <v>0.0</v>
      </c>
      <c r="H7" s="114">
        <f t="array" ref="H7">_xlfn.XLOOKUP(A7,'Video Database'!L:L,'Video Database'!A:A,"")</f>
        <v>46179</v>
      </c>
      <c r="I7" s="103">
        <v>46201.0</v>
      </c>
      <c r="J7" s="104">
        <v>0.0</v>
      </c>
      <c r="K7" s="105"/>
      <c r="L7" s="105" t="str">
        <f t="shared" si="1"/>
        <v/>
      </c>
      <c r="O7" s="106" t="str">
        <f t="shared" si="2"/>
        <v>#N/A</v>
      </c>
      <c r="P7" s="106" t="str">
        <f t="shared" si="3"/>
        <v>#N/A</v>
      </c>
      <c r="Q7" s="84" t="str">
        <f t="shared" si="4"/>
        <v>#N/A</v>
      </c>
      <c r="R7" s="84" t="str">
        <f t="shared" si="5"/>
        <v>#N/A</v>
      </c>
      <c r="S7" s="107">
        <f t="shared" si="6"/>
        <v>-1.1</v>
      </c>
      <c r="T7" s="108">
        <f t="shared" si="7"/>
        <v>-1</v>
      </c>
      <c r="U7" s="106" t="str">
        <f t="shared" si="8"/>
        <v>#N/A</v>
      </c>
      <c r="V7" s="84" t="str">
        <f t="shared" si="9"/>
        <v/>
      </c>
      <c r="W7" s="109" t="str">
        <f t="shared" si="10"/>
        <v/>
      </c>
      <c r="X7" s="109" t="str">
        <f t="shared" si="11"/>
        <v/>
      </c>
      <c r="Y7" s="110" t="str">
        <f t="array" ref="Y7">_xlfn.XLOOKUP(A7,'Video Database'!L:L,'Video Database'!M:M,"")</f>
        <v>Bottom of Funnel</v>
      </c>
    </row>
    <row r="8" ht="22.5" customHeight="1">
      <c r="A8" s="113">
        <f t="shared" si="12"/>
        <v>7</v>
      </c>
      <c r="B8" s="98" t="str">
        <f t="array" ref="B8">_xlfn.XLOOKUP(A8,'Video Database'!L:L,'Video Database'!D:D,"")</f>
        <v>Erin</v>
      </c>
      <c r="C8" s="98" t="str">
        <f t="array" ref="C8">_xlfn.XLOOKUP(A8,'Video Database'!L:L,'Video Database'!E:E,"")</f>
        <v>Account 4</v>
      </c>
      <c r="D8" s="99" t="str">
        <f t="array" ref="D8">_xlfn.XLOOKUP(A8,'Video Database'!L:L,'Video Database'!G:G,"")</f>
        <v>Color Wow Quick Refresh and Styling Bundle</v>
      </c>
      <c r="E8" s="100">
        <f t="array" ref="E8">_xlfn.XLOOKUP(A8,'Video Database'!L:L,'Video Database'!H:H,"")</f>
        <v>1.1</v>
      </c>
      <c r="F8" s="101">
        <v>0.0</v>
      </c>
      <c r="G8" s="87">
        <v>0.0</v>
      </c>
      <c r="H8" s="114">
        <f t="array" ref="H8">_xlfn.XLOOKUP(A8,'Video Database'!L:L,'Video Database'!A:A,"")</f>
        <v>46179</v>
      </c>
      <c r="I8" s="103">
        <v>46201.0</v>
      </c>
      <c r="J8" s="104">
        <v>0.0</v>
      </c>
      <c r="K8" s="105"/>
      <c r="L8" s="105" t="str">
        <f t="shared" si="1"/>
        <v/>
      </c>
      <c r="O8" s="106" t="str">
        <f t="shared" si="2"/>
        <v>#N/A</v>
      </c>
      <c r="P8" s="106" t="str">
        <f t="shared" si="3"/>
        <v>#N/A</v>
      </c>
      <c r="Q8" s="84" t="str">
        <f t="shared" si="4"/>
        <v>#N/A</v>
      </c>
      <c r="R8" s="84" t="str">
        <f t="shared" si="5"/>
        <v>#N/A</v>
      </c>
      <c r="S8" s="107">
        <f t="shared" si="6"/>
        <v>-1.1</v>
      </c>
      <c r="T8" s="108">
        <f t="shared" si="7"/>
        <v>-1</v>
      </c>
      <c r="U8" s="106" t="str">
        <f t="shared" si="8"/>
        <v>#N/A</v>
      </c>
      <c r="V8" s="84" t="str">
        <f t="shared" si="9"/>
        <v/>
      </c>
      <c r="W8" s="109" t="str">
        <f t="shared" si="10"/>
        <v/>
      </c>
      <c r="X8" s="109" t="str">
        <f t="shared" si="11"/>
        <v/>
      </c>
      <c r="Y8" s="110" t="str">
        <f t="array" ref="Y8">_xlfn.XLOOKUP(A8,'Video Database'!L:L,'Video Database'!M:M,"")</f>
        <v>Bottom of Funnel</v>
      </c>
    </row>
    <row r="9" ht="22.5" customHeight="1">
      <c r="A9" s="113">
        <f t="shared" si="12"/>
        <v>8</v>
      </c>
      <c r="B9" s="98" t="str">
        <f t="array" ref="B9">_xlfn.XLOOKUP(A9,'Video Database'!L:L,'Video Database'!D:D,"")</f>
        <v>Erin</v>
      </c>
      <c r="C9" s="98" t="str">
        <f t="array" ref="C9">_xlfn.XLOOKUP(A9,'Video Database'!L:L,'Video Database'!E:E,"")</f>
        <v>Account 4</v>
      </c>
      <c r="D9" s="99" t="str">
        <f t="array" ref="D9">_xlfn.XLOOKUP(A9,'Video Database'!L:L,'Video Database'!G:G,"")</f>
        <v>Color Wow Quick Refresh and Styling Bundle</v>
      </c>
      <c r="E9" s="100">
        <f t="array" ref="E9">_xlfn.XLOOKUP(A9,'Video Database'!L:L,'Video Database'!H:H,"")</f>
        <v>1.1</v>
      </c>
      <c r="F9" s="101">
        <v>0.0</v>
      </c>
      <c r="G9" s="87">
        <v>0.0</v>
      </c>
      <c r="H9" s="114">
        <f t="array" ref="H9">_xlfn.XLOOKUP(A9,'Video Database'!L:L,'Video Database'!A:A,"")</f>
        <v>46179</v>
      </c>
      <c r="I9" s="103">
        <v>46201.0</v>
      </c>
      <c r="J9" s="104">
        <v>0.0</v>
      </c>
      <c r="K9" s="105"/>
      <c r="L9" s="105" t="str">
        <f t="shared" si="1"/>
        <v/>
      </c>
      <c r="O9" s="106" t="str">
        <f t="shared" si="2"/>
        <v>#N/A</v>
      </c>
      <c r="P9" s="106" t="str">
        <f t="shared" si="3"/>
        <v>#N/A</v>
      </c>
      <c r="Q9" s="84" t="str">
        <f t="shared" si="4"/>
        <v>#N/A</v>
      </c>
      <c r="R9" s="84" t="str">
        <f t="shared" si="5"/>
        <v>#N/A</v>
      </c>
      <c r="S9" s="107">
        <f t="shared" si="6"/>
        <v>-1.1</v>
      </c>
      <c r="T9" s="108">
        <f t="shared" si="7"/>
        <v>-1</v>
      </c>
      <c r="U9" s="106" t="str">
        <f t="shared" si="8"/>
        <v>#N/A</v>
      </c>
      <c r="V9" s="84" t="str">
        <f t="shared" si="9"/>
        <v/>
      </c>
      <c r="W9" s="109" t="str">
        <f t="shared" si="10"/>
        <v/>
      </c>
      <c r="X9" s="109" t="str">
        <f t="shared" si="11"/>
        <v/>
      </c>
      <c r="Y9" s="110" t="str">
        <f t="array" ref="Y9">_xlfn.XLOOKUP(A9,'Video Database'!L:L,'Video Database'!M:M,"")</f>
        <v>Bottom of Funnel</v>
      </c>
    </row>
    <row r="10" ht="22.5" customHeight="1">
      <c r="A10" s="113">
        <f t="shared" si="12"/>
        <v>9</v>
      </c>
      <c r="B10" s="98" t="str">
        <f t="array" ref="B10">_xlfn.XLOOKUP(A10,'Video Database'!L:L,'Video Database'!D:D,"")</f>
        <v>Erin</v>
      </c>
      <c r="C10" s="98" t="str">
        <f t="array" ref="C10">_xlfn.XLOOKUP(A10,'Video Database'!L:L,'Video Database'!E:E,"")</f>
        <v>Account 4</v>
      </c>
      <c r="D10" s="99" t="str">
        <f t="array" ref="D10">_xlfn.XLOOKUP(A10,'Video Database'!L:L,'Video Database'!G:G,"")</f>
        <v>Color Wow Quick Refresh and Styling Bundle</v>
      </c>
      <c r="E10" s="100">
        <f t="array" ref="E10">_xlfn.XLOOKUP(A10,'Video Database'!L:L,'Video Database'!H:H,"")</f>
        <v>1.1</v>
      </c>
      <c r="F10" s="101">
        <v>0.0</v>
      </c>
      <c r="G10" s="87">
        <v>0.0</v>
      </c>
      <c r="H10" s="114">
        <f t="array" ref="H10">_xlfn.XLOOKUP(A10,'Video Database'!L:L,'Video Database'!A:A,"")</f>
        <v>46179</v>
      </c>
      <c r="I10" s="103">
        <v>46201.0</v>
      </c>
      <c r="J10" s="104">
        <v>0.0</v>
      </c>
      <c r="K10" s="105"/>
      <c r="L10" s="105" t="str">
        <f t="shared" si="1"/>
        <v/>
      </c>
      <c r="O10" s="106" t="str">
        <f t="shared" si="2"/>
        <v>#N/A</v>
      </c>
      <c r="P10" s="106" t="str">
        <f t="shared" si="3"/>
        <v>#N/A</v>
      </c>
      <c r="Q10" s="84" t="str">
        <f t="shared" si="4"/>
        <v>#N/A</v>
      </c>
      <c r="R10" s="84" t="str">
        <f t="shared" si="5"/>
        <v>#N/A</v>
      </c>
      <c r="S10" s="107">
        <f t="shared" si="6"/>
        <v>-1.1</v>
      </c>
      <c r="T10" s="108">
        <f t="shared" si="7"/>
        <v>-1</v>
      </c>
      <c r="U10" s="106" t="str">
        <f t="shared" si="8"/>
        <v>#N/A</v>
      </c>
      <c r="V10" s="84" t="str">
        <f t="shared" si="9"/>
        <v/>
      </c>
      <c r="W10" s="109" t="str">
        <f t="shared" si="10"/>
        <v/>
      </c>
      <c r="X10" s="109" t="str">
        <f t="shared" si="11"/>
        <v/>
      </c>
      <c r="Y10" s="110" t="str">
        <f t="array" ref="Y10">_xlfn.XLOOKUP(A10,'Video Database'!L:L,'Video Database'!M:M,"")</f>
        <v>Bottom of Funnel</v>
      </c>
    </row>
    <row r="11" ht="22.5" customHeight="1">
      <c r="A11" s="113">
        <f t="shared" si="12"/>
        <v>10</v>
      </c>
      <c r="B11" s="98" t="str">
        <f t="array" ref="B11">_xlfn.XLOOKUP(A11,'Video Database'!L:L,'Video Database'!D:D,"")</f>
        <v>Erin</v>
      </c>
      <c r="C11" s="98" t="str">
        <f t="array" ref="C11">_xlfn.XLOOKUP(A11,'Video Database'!L:L,'Video Database'!E:E,"")</f>
        <v>Account 4</v>
      </c>
      <c r="D11" s="99" t="str">
        <f t="array" ref="D11">_xlfn.XLOOKUP(A11,'Video Database'!L:L,'Video Database'!G:G,"")</f>
        <v>Color Wow Quick Refresh and Styling Bundle</v>
      </c>
      <c r="E11" s="100">
        <f t="array" ref="E11">_xlfn.XLOOKUP(A11,'Video Database'!L:L,'Video Database'!H:H,"")</f>
        <v>1.1</v>
      </c>
      <c r="F11" s="101">
        <v>0.0</v>
      </c>
      <c r="G11" s="87">
        <v>0.0</v>
      </c>
      <c r="H11" s="114">
        <f t="array" ref="H11">_xlfn.XLOOKUP(A11,'Video Database'!L:L,'Video Database'!A:A,"")</f>
        <v>46179</v>
      </c>
      <c r="I11" s="103">
        <v>46201.0</v>
      </c>
      <c r="J11" s="104">
        <v>0.0</v>
      </c>
      <c r="K11" s="105"/>
      <c r="L11" s="105" t="str">
        <f t="shared" si="1"/>
        <v/>
      </c>
      <c r="O11" s="106" t="str">
        <f t="shared" si="2"/>
        <v>#N/A</v>
      </c>
      <c r="P11" s="106" t="str">
        <f t="shared" si="3"/>
        <v>#N/A</v>
      </c>
      <c r="Q11" s="84" t="str">
        <f t="shared" si="4"/>
        <v>#N/A</v>
      </c>
      <c r="R11" s="84" t="str">
        <f t="shared" si="5"/>
        <v>#N/A</v>
      </c>
      <c r="S11" s="107">
        <f t="shared" si="6"/>
        <v>-1.1</v>
      </c>
      <c r="T11" s="108">
        <f t="shared" si="7"/>
        <v>-1</v>
      </c>
      <c r="U11" s="106" t="str">
        <f t="shared" si="8"/>
        <v>#N/A</v>
      </c>
      <c r="V11" s="84" t="str">
        <f t="shared" si="9"/>
        <v/>
      </c>
      <c r="W11" s="109" t="str">
        <f t="shared" si="10"/>
        <v/>
      </c>
      <c r="X11" s="109" t="str">
        <f t="shared" si="11"/>
        <v/>
      </c>
      <c r="Y11" s="110" t="str">
        <f t="array" ref="Y11">_xlfn.XLOOKUP(A11,'Video Database'!L:L,'Video Database'!M:M,"")</f>
        <v>Bottom of Funnel</v>
      </c>
    </row>
    <row r="12" ht="22.5" customHeight="1">
      <c r="A12" s="113">
        <f t="shared" si="12"/>
        <v>11</v>
      </c>
      <c r="B12" s="98" t="str">
        <f t="array" ref="B12">_xlfn.XLOOKUP(A12,'Video Database'!L:L,'Video Database'!D:D,"")</f>
        <v>Erin</v>
      </c>
      <c r="C12" s="98" t="str">
        <f t="array" ref="C12">_xlfn.XLOOKUP(A12,'Video Database'!L:L,'Video Database'!E:E,"")</f>
        <v>Account 4</v>
      </c>
      <c r="D12" s="99" t="str">
        <f t="array" ref="D12">_xlfn.XLOOKUP(A12,'Video Database'!L:L,'Video Database'!G:G,"")</f>
        <v>Color Wow Quick Refresh and Styling Bundle</v>
      </c>
      <c r="E12" s="100">
        <f t="array" ref="E12">_xlfn.XLOOKUP(A12,'Video Database'!L:L,'Video Database'!H:H,"")</f>
        <v>1.1</v>
      </c>
      <c r="F12" s="101">
        <v>0.0</v>
      </c>
      <c r="G12" s="87">
        <v>0.0</v>
      </c>
      <c r="H12" s="114">
        <f t="array" ref="H12">_xlfn.XLOOKUP(A12,'Video Database'!L:L,'Video Database'!A:A,"")</f>
        <v>46179</v>
      </c>
      <c r="I12" s="103">
        <v>46201.0</v>
      </c>
      <c r="J12" s="104">
        <v>0.0</v>
      </c>
      <c r="K12" s="105"/>
      <c r="L12" s="105" t="str">
        <f t="shared" si="1"/>
        <v/>
      </c>
      <c r="O12" s="106" t="str">
        <f t="shared" si="2"/>
        <v>#N/A</v>
      </c>
      <c r="P12" s="106" t="str">
        <f t="shared" si="3"/>
        <v>#N/A</v>
      </c>
      <c r="Q12" s="84" t="str">
        <f t="shared" si="4"/>
        <v>#N/A</v>
      </c>
      <c r="R12" s="84" t="str">
        <f t="shared" si="5"/>
        <v>#N/A</v>
      </c>
      <c r="S12" s="107">
        <f t="shared" si="6"/>
        <v>-1.1</v>
      </c>
      <c r="T12" s="108">
        <f t="shared" si="7"/>
        <v>-1</v>
      </c>
      <c r="U12" s="106" t="str">
        <f t="shared" si="8"/>
        <v>#N/A</v>
      </c>
      <c r="V12" s="84" t="str">
        <f t="shared" si="9"/>
        <v/>
      </c>
      <c r="W12" s="109" t="str">
        <f t="shared" si="10"/>
        <v/>
      </c>
      <c r="X12" s="109" t="str">
        <f t="shared" si="11"/>
        <v/>
      </c>
      <c r="Y12" s="110" t="str">
        <f t="array" ref="Y12">_xlfn.XLOOKUP(A12,'Video Database'!L:L,'Video Database'!M:M,"")</f>
        <v>Bottom of Funnel</v>
      </c>
    </row>
    <row r="13" ht="22.5" customHeight="1">
      <c r="A13" s="113">
        <f t="shared" si="12"/>
        <v>12</v>
      </c>
      <c r="B13" s="98" t="str">
        <f t="array" ref="B13">_xlfn.XLOOKUP(A13,'Video Database'!L:L,'Video Database'!D:D,"")</f>
        <v>Erin</v>
      </c>
      <c r="C13" s="98" t="str">
        <f t="array" ref="C13">_xlfn.XLOOKUP(A13,'Video Database'!L:L,'Video Database'!E:E,"")</f>
        <v>Account 4</v>
      </c>
      <c r="D13" s="99" t="str">
        <f t="array" ref="D13">_xlfn.XLOOKUP(A13,'Video Database'!L:L,'Video Database'!G:G,"")</f>
        <v>Color Wow Quick Refresh and Styling Bundle</v>
      </c>
      <c r="E13" s="100">
        <f t="array" ref="E13">_xlfn.XLOOKUP(A13,'Video Database'!L:L,'Video Database'!H:H,"")</f>
        <v>1.1</v>
      </c>
      <c r="F13" s="101">
        <v>0.0</v>
      </c>
      <c r="G13" s="87">
        <v>0.0</v>
      </c>
      <c r="H13" s="114">
        <f t="array" ref="H13">_xlfn.XLOOKUP(A13,'Video Database'!L:L,'Video Database'!A:A,"")</f>
        <v>46179</v>
      </c>
      <c r="I13" s="103">
        <v>46201.0</v>
      </c>
      <c r="J13" s="104">
        <v>0.0</v>
      </c>
      <c r="K13" s="105"/>
      <c r="L13" s="105" t="str">
        <f t="shared" si="1"/>
        <v/>
      </c>
      <c r="O13" s="106" t="str">
        <f t="shared" si="2"/>
        <v>#N/A</v>
      </c>
      <c r="P13" s="106" t="str">
        <f t="shared" si="3"/>
        <v>#N/A</v>
      </c>
      <c r="Q13" s="84" t="str">
        <f t="shared" si="4"/>
        <v>#N/A</v>
      </c>
      <c r="R13" s="84" t="str">
        <f t="shared" si="5"/>
        <v>#N/A</v>
      </c>
      <c r="S13" s="107">
        <f t="shared" si="6"/>
        <v>-1.1</v>
      </c>
      <c r="T13" s="108">
        <f t="shared" si="7"/>
        <v>-1</v>
      </c>
      <c r="U13" s="106" t="str">
        <f t="shared" si="8"/>
        <v>#N/A</v>
      </c>
      <c r="V13" s="84" t="str">
        <f t="shared" si="9"/>
        <v/>
      </c>
      <c r="W13" s="109" t="str">
        <f t="shared" si="10"/>
        <v/>
      </c>
      <c r="X13" s="109" t="str">
        <f t="shared" si="11"/>
        <v/>
      </c>
      <c r="Y13" s="110" t="str">
        <f t="array" ref="Y13">_xlfn.XLOOKUP(A13,'Video Database'!L:L,'Video Database'!M:M,"")</f>
        <v>Bottom of Funnel</v>
      </c>
    </row>
    <row r="14" ht="22.5" customHeight="1">
      <c r="A14" s="113">
        <f t="shared" si="12"/>
        <v>13</v>
      </c>
      <c r="B14" s="98" t="str">
        <f t="array" ref="B14">_xlfn.XLOOKUP(A14,'Video Database'!L:L,'Video Database'!D:D,"")</f>
        <v>Erin</v>
      </c>
      <c r="C14" s="98" t="str">
        <f t="array" ref="C14">_xlfn.XLOOKUP(A14,'Video Database'!L:L,'Video Database'!E:E,"")</f>
        <v>Account 4</v>
      </c>
      <c r="D14" s="99" t="str">
        <f t="array" ref="D14">_xlfn.XLOOKUP(A14,'Video Database'!L:L,'Video Database'!G:G,"")</f>
        <v>Color Wow Quick Refresh and Styling Bundle</v>
      </c>
      <c r="E14" s="100">
        <f t="array" ref="E14">_xlfn.XLOOKUP(A14,'Video Database'!L:L,'Video Database'!H:H,"")</f>
        <v>1.1</v>
      </c>
      <c r="F14" s="101">
        <v>0.0</v>
      </c>
      <c r="G14" s="87">
        <v>0.0</v>
      </c>
      <c r="H14" s="114">
        <f t="array" ref="H14">_xlfn.XLOOKUP(A14,'Video Database'!L:L,'Video Database'!A:A,"")</f>
        <v>46179</v>
      </c>
      <c r="I14" s="103">
        <v>46201.0</v>
      </c>
      <c r="J14" s="104">
        <v>0.0</v>
      </c>
      <c r="K14" s="105"/>
      <c r="L14" s="105" t="str">
        <f t="shared" si="1"/>
        <v/>
      </c>
      <c r="O14" s="106" t="str">
        <f t="shared" si="2"/>
        <v>#N/A</v>
      </c>
      <c r="P14" s="106" t="str">
        <f t="shared" si="3"/>
        <v>#N/A</v>
      </c>
      <c r="Q14" s="84" t="str">
        <f t="shared" si="4"/>
        <v>#N/A</v>
      </c>
      <c r="R14" s="84" t="str">
        <f t="shared" si="5"/>
        <v>#N/A</v>
      </c>
      <c r="S14" s="107">
        <f t="shared" si="6"/>
        <v>-1.1</v>
      </c>
      <c r="T14" s="108">
        <f t="shared" si="7"/>
        <v>-1</v>
      </c>
      <c r="U14" s="106" t="str">
        <f t="shared" si="8"/>
        <v>#N/A</v>
      </c>
      <c r="V14" s="84" t="str">
        <f t="shared" si="9"/>
        <v/>
      </c>
      <c r="W14" s="109" t="str">
        <f t="shared" si="10"/>
        <v/>
      </c>
      <c r="X14" s="109" t="str">
        <f t="shared" si="11"/>
        <v/>
      </c>
      <c r="Y14" s="110" t="str">
        <f t="array" ref="Y14">_xlfn.XLOOKUP(A14,'Video Database'!L:L,'Video Database'!M:M,"")</f>
        <v>Bottom of Funnel</v>
      </c>
    </row>
    <row r="15" ht="22.5" customHeight="1">
      <c r="A15" s="113">
        <f t="shared" si="12"/>
        <v>14</v>
      </c>
      <c r="B15" s="98" t="str">
        <f t="array" ref="B15">_xlfn.XLOOKUP(A15,'Video Database'!L:L,'Video Database'!D:D,"")</f>
        <v>Erin</v>
      </c>
      <c r="C15" s="98" t="str">
        <f t="array" ref="C15">_xlfn.XLOOKUP(A15,'Video Database'!L:L,'Video Database'!E:E,"")</f>
        <v>Account 4</v>
      </c>
      <c r="D15" s="99" t="str">
        <f t="array" ref="D15">_xlfn.XLOOKUP(A15,'Video Database'!L:L,'Video Database'!G:G,"")</f>
        <v>Color Wow Quick Refresh and Styling Bundle</v>
      </c>
      <c r="E15" s="100">
        <f t="array" ref="E15">_xlfn.XLOOKUP(A15,'Video Database'!L:L,'Video Database'!H:H,"")</f>
        <v>1.1</v>
      </c>
      <c r="F15" s="101">
        <v>0.0</v>
      </c>
      <c r="G15" s="87">
        <v>0.0</v>
      </c>
      <c r="H15" s="114">
        <f t="array" ref="H15">_xlfn.XLOOKUP(A15,'Video Database'!L:L,'Video Database'!A:A,"")</f>
        <v>46179</v>
      </c>
      <c r="I15" s="103">
        <v>46201.0</v>
      </c>
      <c r="J15" s="104">
        <v>0.0</v>
      </c>
      <c r="K15" s="105"/>
      <c r="L15" s="105" t="str">
        <f t="shared" si="1"/>
        <v/>
      </c>
      <c r="O15" s="106" t="str">
        <f t="shared" si="2"/>
        <v>#N/A</v>
      </c>
      <c r="P15" s="106" t="str">
        <f t="shared" si="3"/>
        <v>#N/A</v>
      </c>
      <c r="Q15" s="84" t="str">
        <f t="shared" si="4"/>
        <v>#N/A</v>
      </c>
      <c r="R15" s="84" t="str">
        <f t="shared" si="5"/>
        <v>#N/A</v>
      </c>
      <c r="S15" s="107">
        <f t="shared" si="6"/>
        <v>-1.1</v>
      </c>
      <c r="T15" s="108">
        <f t="shared" si="7"/>
        <v>-1</v>
      </c>
      <c r="U15" s="106" t="str">
        <f t="shared" si="8"/>
        <v>#N/A</v>
      </c>
      <c r="V15" s="84" t="str">
        <f t="shared" si="9"/>
        <v/>
      </c>
      <c r="W15" s="109" t="str">
        <f t="shared" si="10"/>
        <v/>
      </c>
      <c r="X15" s="109" t="str">
        <f t="shared" si="11"/>
        <v/>
      </c>
      <c r="Y15" s="110" t="str">
        <f t="array" ref="Y15">_xlfn.XLOOKUP(A15,'Video Database'!L:L,'Video Database'!M:M,"")</f>
        <v>Bottom of Funnel</v>
      </c>
    </row>
    <row r="16" ht="22.5" customHeight="1">
      <c r="A16" s="113">
        <f t="shared" si="12"/>
        <v>15</v>
      </c>
      <c r="B16" s="98" t="str">
        <f t="array" ref="B16">_xlfn.XLOOKUP(A16,'Video Database'!L:L,'Video Database'!D:D,"")</f>
        <v>Erin</v>
      </c>
      <c r="C16" s="98" t="str">
        <f t="array" ref="C16">_xlfn.XLOOKUP(A16,'Video Database'!L:L,'Video Database'!E:E,"")</f>
        <v>Account 4</v>
      </c>
      <c r="D16" s="99" t="str">
        <f t="array" ref="D16">_xlfn.XLOOKUP(A16,'Video Database'!L:L,'Video Database'!G:G,"")</f>
        <v>Color Wow Quick Refresh and Styling Bundle</v>
      </c>
      <c r="E16" s="100">
        <f t="array" ref="E16">_xlfn.XLOOKUP(A16,'Video Database'!L:L,'Video Database'!H:H,"")</f>
        <v>1.1</v>
      </c>
      <c r="F16" s="101">
        <v>0.0</v>
      </c>
      <c r="G16" s="87">
        <v>0.0</v>
      </c>
      <c r="H16" s="114">
        <f t="array" ref="H16">_xlfn.XLOOKUP(A16,'Video Database'!L:L,'Video Database'!A:A,"")</f>
        <v>46179</v>
      </c>
      <c r="I16" s="103">
        <v>46201.0</v>
      </c>
      <c r="J16" s="104">
        <v>0.0</v>
      </c>
      <c r="K16" s="105"/>
      <c r="L16" s="105" t="str">
        <f t="shared" si="1"/>
        <v/>
      </c>
      <c r="O16" s="106" t="str">
        <f t="shared" si="2"/>
        <v>#N/A</v>
      </c>
      <c r="P16" s="106" t="str">
        <f t="shared" si="3"/>
        <v>#N/A</v>
      </c>
      <c r="Q16" s="84" t="str">
        <f t="shared" si="4"/>
        <v>#N/A</v>
      </c>
      <c r="R16" s="84" t="str">
        <f t="shared" si="5"/>
        <v>#N/A</v>
      </c>
      <c r="S16" s="107">
        <f t="shared" si="6"/>
        <v>-1.1</v>
      </c>
      <c r="T16" s="108">
        <f t="shared" si="7"/>
        <v>-1</v>
      </c>
      <c r="U16" s="106" t="str">
        <f t="shared" si="8"/>
        <v>#N/A</v>
      </c>
      <c r="V16" s="84" t="str">
        <f t="shared" si="9"/>
        <v/>
      </c>
      <c r="W16" s="109" t="str">
        <f t="shared" si="10"/>
        <v/>
      </c>
      <c r="X16" s="109" t="str">
        <f t="shared" si="11"/>
        <v/>
      </c>
      <c r="Y16" s="110" t="str">
        <f t="array" ref="Y16">_xlfn.XLOOKUP(A16,'Video Database'!L:L,'Video Database'!M:M,"")</f>
        <v>Bottom of Funnel</v>
      </c>
    </row>
    <row r="17" ht="22.5" customHeight="1">
      <c r="A17" s="113">
        <f t="shared" si="12"/>
        <v>16</v>
      </c>
      <c r="B17" s="98" t="str">
        <f t="array" ref="B17">_xlfn.XLOOKUP(A17,'Video Database'!L:L,'Video Database'!D:D,"")</f>
        <v>Erin</v>
      </c>
      <c r="C17" s="98" t="str">
        <f t="array" ref="C17">_xlfn.XLOOKUP(A17,'Video Database'!L:L,'Video Database'!E:E,"")</f>
        <v>Account 4</v>
      </c>
      <c r="D17" s="99" t="str">
        <f t="array" ref="D17">_xlfn.XLOOKUP(A17,'Video Database'!L:L,'Video Database'!G:G,"")</f>
        <v>Color Wow Quick Refresh and Styling Bundle</v>
      </c>
      <c r="E17" s="100">
        <f t="array" ref="E17">_xlfn.XLOOKUP(A17,'Video Database'!L:L,'Video Database'!H:H,"")</f>
        <v>1.1</v>
      </c>
      <c r="F17" s="101">
        <v>0.0</v>
      </c>
      <c r="G17" s="87">
        <v>0.0</v>
      </c>
      <c r="H17" s="114">
        <f t="array" ref="H17">_xlfn.XLOOKUP(A17,'Video Database'!L:L,'Video Database'!A:A,"")</f>
        <v>46180</v>
      </c>
      <c r="I17" s="103">
        <v>46201.0</v>
      </c>
      <c r="J17" s="104">
        <v>0.0</v>
      </c>
      <c r="K17" s="105"/>
      <c r="L17" s="105" t="str">
        <f t="shared" si="1"/>
        <v/>
      </c>
      <c r="O17" s="106" t="str">
        <f t="shared" si="2"/>
        <v>#N/A</v>
      </c>
      <c r="P17" s="106" t="str">
        <f t="shared" si="3"/>
        <v>#N/A</v>
      </c>
      <c r="Q17" s="84" t="str">
        <f t="shared" si="4"/>
        <v>#N/A</v>
      </c>
      <c r="R17" s="84" t="str">
        <f t="shared" si="5"/>
        <v>#N/A</v>
      </c>
      <c r="S17" s="107">
        <f t="shared" si="6"/>
        <v>-1.1</v>
      </c>
      <c r="T17" s="108">
        <f t="shared" si="7"/>
        <v>-1</v>
      </c>
      <c r="U17" s="106" t="str">
        <f t="shared" si="8"/>
        <v>#N/A</v>
      </c>
      <c r="V17" s="84" t="str">
        <f t="shared" si="9"/>
        <v/>
      </c>
      <c r="W17" s="109" t="str">
        <f t="shared" si="10"/>
        <v/>
      </c>
      <c r="X17" s="109" t="str">
        <f t="shared" si="11"/>
        <v/>
      </c>
      <c r="Y17" s="110" t="str">
        <f t="array" ref="Y17">_xlfn.XLOOKUP(A17,'Video Database'!L:L,'Video Database'!M:M,"")</f>
        <v>Bottom of Funnel</v>
      </c>
    </row>
    <row r="18" ht="22.5" customHeight="1">
      <c r="A18" s="113">
        <f t="shared" si="12"/>
        <v>17</v>
      </c>
      <c r="B18" s="98" t="str">
        <f t="array" ref="B18">_xlfn.XLOOKUP(A18,'Video Database'!L:L,'Video Database'!D:D,"")</f>
        <v>Erin</v>
      </c>
      <c r="C18" s="98" t="str">
        <f t="array" ref="C18">_xlfn.XLOOKUP(A18,'Video Database'!L:L,'Video Database'!E:E,"")</f>
        <v>Account 4</v>
      </c>
      <c r="D18" s="99" t="str">
        <f t="array" ref="D18">_xlfn.XLOOKUP(A18,'Video Database'!L:L,'Video Database'!G:G,"")</f>
        <v>Color Wow Quick Refresh and Styling Bundle</v>
      </c>
      <c r="E18" s="100">
        <f t="array" ref="E18">_xlfn.XLOOKUP(A18,'Video Database'!L:L,'Video Database'!H:H,"")</f>
        <v>1.1</v>
      </c>
      <c r="F18" s="101">
        <v>0.0</v>
      </c>
      <c r="G18" s="87">
        <v>0.0</v>
      </c>
      <c r="H18" s="114">
        <f t="array" ref="H18">_xlfn.XLOOKUP(A18,'Video Database'!L:L,'Video Database'!A:A,"")</f>
        <v>46180</v>
      </c>
      <c r="I18" s="103">
        <v>46201.0</v>
      </c>
      <c r="J18" s="104">
        <v>0.0</v>
      </c>
      <c r="K18" s="105"/>
      <c r="L18" s="105" t="str">
        <f t="shared" si="1"/>
        <v/>
      </c>
      <c r="O18" s="106" t="str">
        <f t="shared" si="2"/>
        <v>#N/A</v>
      </c>
      <c r="P18" s="106" t="str">
        <f t="shared" si="3"/>
        <v>#N/A</v>
      </c>
      <c r="Q18" s="84" t="str">
        <f t="shared" si="4"/>
        <v>#N/A</v>
      </c>
      <c r="R18" s="84" t="str">
        <f t="shared" si="5"/>
        <v>#N/A</v>
      </c>
      <c r="S18" s="107">
        <f t="shared" si="6"/>
        <v>-1.1</v>
      </c>
      <c r="T18" s="108">
        <f t="shared" si="7"/>
        <v>-1</v>
      </c>
      <c r="U18" s="106" t="str">
        <f t="shared" si="8"/>
        <v>#N/A</v>
      </c>
      <c r="V18" s="84" t="str">
        <f t="shared" si="9"/>
        <v/>
      </c>
      <c r="W18" s="109" t="str">
        <f t="shared" si="10"/>
        <v/>
      </c>
      <c r="X18" s="109" t="str">
        <f t="shared" si="11"/>
        <v/>
      </c>
      <c r="Y18" s="110" t="str">
        <f t="array" ref="Y18">_xlfn.XLOOKUP(A18,'Video Database'!L:L,'Video Database'!M:M,"")</f>
        <v>Bottom of Funnel</v>
      </c>
    </row>
    <row r="19" ht="22.5" customHeight="1">
      <c r="A19" s="113">
        <f t="shared" si="12"/>
        <v>18</v>
      </c>
      <c r="B19" s="98" t="str">
        <f t="array" ref="B19">_xlfn.XLOOKUP(A19,'Video Database'!L:L,'Video Database'!D:D,"")</f>
        <v>Erin</v>
      </c>
      <c r="C19" s="98" t="str">
        <f t="array" ref="C19">_xlfn.XLOOKUP(A19,'Video Database'!L:L,'Video Database'!E:E,"")</f>
        <v>Account 4</v>
      </c>
      <c r="D19" s="99" t="str">
        <f t="array" ref="D19">_xlfn.XLOOKUP(A19,'Video Database'!L:L,'Video Database'!G:G,"")</f>
        <v>Color Wow Quick Refresh and Styling Bundle</v>
      </c>
      <c r="E19" s="100">
        <f t="array" ref="E19">_xlfn.XLOOKUP(A19,'Video Database'!L:L,'Video Database'!H:H,"")</f>
        <v>1.1</v>
      </c>
      <c r="F19" s="101">
        <v>0.0</v>
      </c>
      <c r="G19" s="87">
        <v>0.0</v>
      </c>
      <c r="H19" s="114">
        <f t="array" ref="H19">_xlfn.XLOOKUP(A19,'Video Database'!L:L,'Video Database'!A:A,"")</f>
        <v>46180</v>
      </c>
      <c r="I19" s="103">
        <v>46201.0</v>
      </c>
      <c r="J19" s="104">
        <v>0.0</v>
      </c>
      <c r="K19" s="105"/>
      <c r="L19" s="105" t="str">
        <f t="shared" si="1"/>
        <v/>
      </c>
      <c r="O19" s="106" t="str">
        <f t="shared" si="2"/>
        <v>#N/A</v>
      </c>
      <c r="P19" s="106" t="str">
        <f t="shared" si="3"/>
        <v>#N/A</v>
      </c>
      <c r="Q19" s="84" t="str">
        <f t="shared" si="4"/>
        <v>#N/A</v>
      </c>
      <c r="R19" s="84" t="str">
        <f t="shared" si="5"/>
        <v>#N/A</v>
      </c>
      <c r="S19" s="107">
        <f t="shared" si="6"/>
        <v>-1.1</v>
      </c>
      <c r="T19" s="108">
        <f t="shared" si="7"/>
        <v>-1</v>
      </c>
      <c r="U19" s="106" t="str">
        <f t="shared" si="8"/>
        <v>#N/A</v>
      </c>
      <c r="V19" s="84" t="str">
        <f t="shared" si="9"/>
        <v/>
      </c>
      <c r="W19" s="109" t="str">
        <f t="shared" si="10"/>
        <v/>
      </c>
      <c r="X19" s="109" t="str">
        <f t="shared" si="11"/>
        <v/>
      </c>
      <c r="Y19" s="110" t="str">
        <f t="array" ref="Y19">_xlfn.XLOOKUP(A19,'Video Database'!L:L,'Video Database'!M:M,"")</f>
        <v>Bottom of Funnel</v>
      </c>
    </row>
    <row r="20" ht="22.5" customHeight="1">
      <c r="A20" s="113">
        <f t="shared" si="12"/>
        <v>19</v>
      </c>
      <c r="B20" s="98" t="str">
        <f t="array" ref="B20">_xlfn.XLOOKUP(A20,'Video Database'!L:L,'Video Database'!D:D,"")</f>
        <v>Erin</v>
      </c>
      <c r="C20" s="98" t="str">
        <f t="array" ref="C20">_xlfn.XLOOKUP(A20,'Video Database'!L:L,'Video Database'!E:E,"")</f>
        <v>Account 4</v>
      </c>
      <c r="D20" s="99" t="str">
        <f t="array" ref="D20">_xlfn.XLOOKUP(A20,'Video Database'!L:L,'Video Database'!G:G,"")</f>
        <v>Color Wow Quick Refresh and Styling Bundle</v>
      </c>
      <c r="E20" s="100">
        <f t="array" ref="E20">_xlfn.XLOOKUP(A20,'Video Database'!L:L,'Video Database'!H:H,"")</f>
        <v>1.1</v>
      </c>
      <c r="F20" s="101">
        <v>0.0</v>
      </c>
      <c r="G20" s="87">
        <v>0.0</v>
      </c>
      <c r="H20" s="114">
        <f t="array" ref="H20">_xlfn.XLOOKUP(A20,'Video Database'!L:L,'Video Database'!A:A,"")</f>
        <v>46180</v>
      </c>
      <c r="I20" s="103">
        <v>46201.0</v>
      </c>
      <c r="J20" s="104">
        <v>0.0</v>
      </c>
      <c r="K20" s="105"/>
      <c r="L20" s="105" t="str">
        <f t="shared" si="1"/>
        <v/>
      </c>
      <c r="O20" s="106" t="str">
        <f t="shared" si="2"/>
        <v>#N/A</v>
      </c>
      <c r="P20" s="106" t="str">
        <f t="shared" si="3"/>
        <v>#N/A</v>
      </c>
      <c r="Q20" s="84" t="str">
        <f t="shared" si="4"/>
        <v>#N/A</v>
      </c>
      <c r="R20" s="84" t="str">
        <f t="shared" si="5"/>
        <v>#N/A</v>
      </c>
      <c r="S20" s="107">
        <f t="shared" si="6"/>
        <v>-1.1</v>
      </c>
      <c r="T20" s="108">
        <f t="shared" si="7"/>
        <v>-1</v>
      </c>
      <c r="U20" s="106" t="str">
        <f t="shared" si="8"/>
        <v>#N/A</v>
      </c>
      <c r="V20" s="84" t="str">
        <f t="shared" si="9"/>
        <v/>
      </c>
      <c r="W20" s="109" t="str">
        <f t="shared" si="10"/>
        <v/>
      </c>
      <c r="X20" s="109" t="str">
        <f t="shared" si="11"/>
        <v/>
      </c>
      <c r="Y20" s="110" t="str">
        <f t="array" ref="Y20">_xlfn.XLOOKUP(A20,'Video Database'!L:L,'Video Database'!M:M,"")</f>
        <v>Bottom of Funnel</v>
      </c>
    </row>
    <row r="21" ht="22.5" customHeight="1">
      <c r="A21" s="113">
        <f t="shared" si="12"/>
        <v>20</v>
      </c>
      <c r="B21" s="98" t="str">
        <f t="array" ref="B21">_xlfn.XLOOKUP(A21,'Video Database'!L:L,'Video Database'!D:D,"")</f>
        <v>Erin</v>
      </c>
      <c r="C21" s="98" t="str">
        <f t="array" ref="C21">_xlfn.XLOOKUP(A21,'Video Database'!L:L,'Video Database'!E:E,"")</f>
        <v>Account 4</v>
      </c>
      <c r="D21" s="99" t="str">
        <f t="array" ref="D21">_xlfn.XLOOKUP(A21,'Video Database'!L:L,'Video Database'!G:G,"")</f>
        <v>Color Wow Quick Refresh and Styling Bundle</v>
      </c>
      <c r="E21" s="100">
        <f t="array" ref="E21">_xlfn.XLOOKUP(A21,'Video Database'!L:L,'Video Database'!H:H,"")</f>
        <v>1.1</v>
      </c>
      <c r="F21" s="101">
        <v>0.0</v>
      </c>
      <c r="G21" s="87">
        <v>0.0</v>
      </c>
      <c r="H21" s="114">
        <f t="array" ref="H21">_xlfn.XLOOKUP(A21,'Video Database'!L:L,'Video Database'!A:A,"")</f>
        <v>46180</v>
      </c>
      <c r="I21" s="103">
        <v>46201.0</v>
      </c>
      <c r="J21" s="104">
        <v>0.0</v>
      </c>
      <c r="K21" s="105"/>
      <c r="L21" s="105" t="str">
        <f t="shared" si="1"/>
        <v/>
      </c>
      <c r="O21" s="106" t="str">
        <f t="shared" si="2"/>
        <v>#N/A</v>
      </c>
      <c r="P21" s="106" t="str">
        <f t="shared" si="3"/>
        <v>#N/A</v>
      </c>
      <c r="Q21" s="84" t="str">
        <f t="shared" si="4"/>
        <v>#N/A</v>
      </c>
      <c r="R21" s="84" t="str">
        <f t="shared" si="5"/>
        <v>#N/A</v>
      </c>
      <c r="S21" s="107">
        <f t="shared" si="6"/>
        <v>-1.1</v>
      </c>
      <c r="T21" s="108">
        <f t="shared" si="7"/>
        <v>-1</v>
      </c>
      <c r="U21" s="106" t="str">
        <f t="shared" si="8"/>
        <v>#N/A</v>
      </c>
      <c r="V21" s="84" t="str">
        <f t="shared" si="9"/>
        <v/>
      </c>
      <c r="W21" s="109" t="str">
        <f t="shared" si="10"/>
        <v/>
      </c>
      <c r="X21" s="109" t="str">
        <f t="shared" si="11"/>
        <v/>
      </c>
      <c r="Y21" s="110" t="str">
        <f t="array" ref="Y21">_xlfn.XLOOKUP(A21,'Video Database'!L:L,'Video Database'!M:M,"")</f>
        <v>Bottom of Funnel</v>
      </c>
    </row>
    <row r="22" ht="22.5" customHeight="1">
      <c r="A22" s="113">
        <f t="shared" si="12"/>
        <v>21</v>
      </c>
      <c r="B22" s="98" t="str">
        <f t="array" ref="B22">_xlfn.XLOOKUP(A22,'Video Database'!L:L,'Video Database'!D:D,"")</f>
        <v>Erin</v>
      </c>
      <c r="C22" s="98" t="str">
        <f t="array" ref="C22">_xlfn.XLOOKUP(A22,'Video Database'!L:L,'Video Database'!E:E,"")</f>
        <v>Account 4</v>
      </c>
      <c r="D22" s="99" t="str">
        <f t="array" ref="D22">_xlfn.XLOOKUP(A22,'Video Database'!L:L,'Video Database'!G:G,"")</f>
        <v>Color Wow Quick Refresh and Styling Bundle</v>
      </c>
      <c r="E22" s="100">
        <f t="array" ref="E22">_xlfn.XLOOKUP(A22,'Video Database'!L:L,'Video Database'!H:H,"")</f>
        <v>1.1</v>
      </c>
      <c r="F22" s="101">
        <v>0.0</v>
      </c>
      <c r="G22" s="87">
        <v>0.0</v>
      </c>
      <c r="H22" s="114">
        <f t="array" ref="H22">_xlfn.XLOOKUP(A22,'Video Database'!L:L,'Video Database'!A:A,"")</f>
        <v>46180</v>
      </c>
      <c r="I22" s="103">
        <v>46201.0</v>
      </c>
      <c r="J22" s="104">
        <v>0.0</v>
      </c>
      <c r="K22" s="105"/>
      <c r="L22" s="105" t="str">
        <f t="shared" si="1"/>
        <v/>
      </c>
      <c r="O22" s="106" t="str">
        <f t="shared" si="2"/>
        <v>#N/A</v>
      </c>
      <c r="P22" s="106" t="str">
        <f t="shared" si="3"/>
        <v>#N/A</v>
      </c>
      <c r="Q22" s="84" t="str">
        <f t="shared" si="4"/>
        <v>#N/A</v>
      </c>
      <c r="R22" s="84" t="str">
        <f t="shared" si="5"/>
        <v>#N/A</v>
      </c>
      <c r="S22" s="107">
        <f t="shared" si="6"/>
        <v>-1.1</v>
      </c>
      <c r="T22" s="108">
        <f t="shared" si="7"/>
        <v>-1</v>
      </c>
      <c r="U22" s="106" t="str">
        <f t="shared" si="8"/>
        <v>#N/A</v>
      </c>
      <c r="V22" s="84" t="str">
        <f t="shared" si="9"/>
        <v/>
      </c>
      <c r="W22" s="109" t="str">
        <f t="shared" si="10"/>
        <v/>
      </c>
      <c r="X22" s="109" t="str">
        <f t="shared" si="11"/>
        <v/>
      </c>
      <c r="Y22" s="110" t="str">
        <f t="array" ref="Y22">_xlfn.XLOOKUP(A22,'Video Database'!L:L,'Video Database'!M:M,"")</f>
        <v>Bottom of Funnel</v>
      </c>
    </row>
    <row r="23" ht="22.5" customHeight="1">
      <c r="A23" s="113">
        <f t="shared" si="12"/>
        <v>22</v>
      </c>
      <c r="B23" s="98" t="str">
        <f t="array" ref="B23">_xlfn.XLOOKUP(A23,'Video Database'!L:L,'Video Database'!D:D,"")</f>
        <v>Erin</v>
      </c>
      <c r="C23" s="98" t="str">
        <f t="array" ref="C23">_xlfn.XLOOKUP(A23,'Video Database'!L:L,'Video Database'!E:E,"")</f>
        <v>Account 4</v>
      </c>
      <c r="D23" s="99" t="str">
        <f t="array" ref="D23">_xlfn.XLOOKUP(A23,'Video Database'!L:L,'Video Database'!G:G,"")</f>
        <v>Color Wow Quick Refresh and Styling Bundle</v>
      </c>
      <c r="E23" s="100">
        <f t="array" ref="E23">_xlfn.XLOOKUP(A23,'Video Database'!L:L,'Video Database'!H:H,"")</f>
        <v>1.1</v>
      </c>
      <c r="F23" s="101">
        <v>0.0</v>
      </c>
      <c r="G23" s="87">
        <v>0.0</v>
      </c>
      <c r="H23" s="114">
        <f t="array" ref="H23">_xlfn.XLOOKUP(A23,'Video Database'!L:L,'Video Database'!A:A,"")</f>
        <v>46180</v>
      </c>
      <c r="I23" s="103">
        <v>46201.0</v>
      </c>
      <c r="J23" s="104">
        <v>0.0</v>
      </c>
      <c r="K23" s="105"/>
      <c r="L23" s="105" t="str">
        <f t="shared" si="1"/>
        <v/>
      </c>
      <c r="O23" s="106" t="str">
        <f t="shared" si="2"/>
        <v>#N/A</v>
      </c>
      <c r="P23" s="106" t="str">
        <f t="shared" si="3"/>
        <v>#N/A</v>
      </c>
      <c r="Q23" s="84" t="str">
        <f t="shared" si="4"/>
        <v>#N/A</v>
      </c>
      <c r="R23" s="84" t="str">
        <f t="shared" si="5"/>
        <v>#N/A</v>
      </c>
      <c r="S23" s="107">
        <f t="shared" si="6"/>
        <v>-1.1</v>
      </c>
      <c r="T23" s="108">
        <f t="shared" si="7"/>
        <v>-1</v>
      </c>
      <c r="U23" s="106" t="str">
        <f t="shared" si="8"/>
        <v>#N/A</v>
      </c>
      <c r="V23" s="84" t="str">
        <f t="shared" si="9"/>
        <v/>
      </c>
      <c r="W23" s="109" t="str">
        <f t="shared" si="10"/>
        <v/>
      </c>
      <c r="X23" s="109" t="str">
        <f t="shared" si="11"/>
        <v/>
      </c>
      <c r="Y23" s="110" t="str">
        <f t="array" ref="Y23">_xlfn.XLOOKUP(A23,'Video Database'!L:L,'Video Database'!M:M,"")</f>
        <v>Bottom of Funnel</v>
      </c>
    </row>
    <row r="24" ht="22.5" customHeight="1">
      <c r="A24" s="113">
        <f t="shared" si="12"/>
        <v>23</v>
      </c>
      <c r="B24" s="98" t="str">
        <f t="array" ref="B24">_xlfn.XLOOKUP(A24,'Video Database'!L:L,'Video Database'!D:D,"")</f>
        <v>Erin</v>
      </c>
      <c r="C24" s="98" t="str">
        <f t="array" ref="C24">_xlfn.XLOOKUP(A24,'Video Database'!L:L,'Video Database'!E:E,"")</f>
        <v>Account 4</v>
      </c>
      <c r="D24" s="99" t="str">
        <f t="array" ref="D24">_xlfn.XLOOKUP(A24,'Video Database'!L:L,'Video Database'!G:G,"")</f>
        <v>Color Wow Quick Refresh and Styling Bundle</v>
      </c>
      <c r="E24" s="100">
        <f t="array" ref="E24">_xlfn.XLOOKUP(A24,'Video Database'!L:L,'Video Database'!H:H,"")</f>
        <v>1.1</v>
      </c>
      <c r="F24" s="101">
        <v>0.0</v>
      </c>
      <c r="G24" s="87">
        <v>0.0</v>
      </c>
      <c r="H24" s="114">
        <f t="array" ref="H24">_xlfn.XLOOKUP(A24,'Video Database'!L:L,'Video Database'!A:A,"")</f>
        <v>46180</v>
      </c>
      <c r="I24" s="103">
        <v>46201.0</v>
      </c>
      <c r="J24" s="104">
        <v>0.0</v>
      </c>
      <c r="K24" s="105"/>
      <c r="L24" s="105" t="str">
        <f t="shared" si="1"/>
        <v/>
      </c>
      <c r="O24" s="106" t="str">
        <f t="shared" si="2"/>
        <v>#N/A</v>
      </c>
      <c r="P24" s="106" t="str">
        <f t="shared" si="3"/>
        <v>#N/A</v>
      </c>
      <c r="Q24" s="84" t="str">
        <f t="shared" si="4"/>
        <v>#N/A</v>
      </c>
      <c r="R24" s="84" t="str">
        <f t="shared" si="5"/>
        <v>#N/A</v>
      </c>
      <c r="S24" s="107">
        <f t="shared" si="6"/>
        <v>-1.1</v>
      </c>
      <c r="T24" s="108">
        <f t="shared" si="7"/>
        <v>-1</v>
      </c>
      <c r="U24" s="106" t="str">
        <f t="shared" si="8"/>
        <v>#N/A</v>
      </c>
      <c r="V24" s="84" t="str">
        <f t="shared" si="9"/>
        <v/>
      </c>
      <c r="W24" s="109" t="str">
        <f t="shared" si="10"/>
        <v/>
      </c>
      <c r="X24" s="109" t="str">
        <f t="shared" si="11"/>
        <v/>
      </c>
      <c r="Y24" s="110" t="str">
        <f t="array" ref="Y24">_xlfn.XLOOKUP(A24,'Video Database'!L:L,'Video Database'!M:M,"")</f>
        <v>Bottom of Funnel</v>
      </c>
    </row>
    <row r="25" ht="22.5" customHeight="1">
      <c r="A25" s="113">
        <f t="shared" si="12"/>
        <v>24</v>
      </c>
      <c r="B25" s="98" t="str">
        <f t="array" ref="B25">_xlfn.XLOOKUP(A25,'Video Database'!L:L,'Video Database'!D:D,"")</f>
        <v>Erin</v>
      </c>
      <c r="C25" s="98" t="str">
        <f t="array" ref="C25">_xlfn.XLOOKUP(A25,'Video Database'!L:L,'Video Database'!E:E,"")</f>
        <v>Account 4</v>
      </c>
      <c r="D25" s="99" t="str">
        <f t="array" ref="D25">_xlfn.XLOOKUP(A25,'Video Database'!L:L,'Video Database'!G:G,"")</f>
        <v>Color Wow Quick Refresh and Styling Bundle</v>
      </c>
      <c r="E25" s="100">
        <f t="array" ref="E25">_xlfn.XLOOKUP(A25,'Video Database'!L:L,'Video Database'!H:H,"")</f>
        <v>1.1</v>
      </c>
      <c r="F25" s="101">
        <v>0.0</v>
      </c>
      <c r="G25" s="87">
        <v>0.0</v>
      </c>
      <c r="H25" s="114">
        <f t="array" ref="H25">_xlfn.XLOOKUP(A25,'Video Database'!L:L,'Video Database'!A:A,"")</f>
        <v>46180</v>
      </c>
      <c r="I25" s="103">
        <v>46201.0</v>
      </c>
      <c r="J25" s="104">
        <v>0.0</v>
      </c>
      <c r="K25" s="105"/>
      <c r="L25" s="105" t="str">
        <f t="shared" si="1"/>
        <v/>
      </c>
      <c r="O25" s="106" t="str">
        <f t="shared" si="2"/>
        <v>#N/A</v>
      </c>
      <c r="P25" s="106" t="str">
        <f t="shared" si="3"/>
        <v>#N/A</v>
      </c>
      <c r="Q25" s="84" t="str">
        <f t="shared" si="4"/>
        <v>#N/A</v>
      </c>
      <c r="R25" s="84" t="str">
        <f t="shared" si="5"/>
        <v>#N/A</v>
      </c>
      <c r="S25" s="107">
        <f t="shared" si="6"/>
        <v>-1.1</v>
      </c>
      <c r="T25" s="108">
        <f t="shared" si="7"/>
        <v>-1</v>
      </c>
      <c r="U25" s="106" t="str">
        <f t="shared" si="8"/>
        <v>#N/A</v>
      </c>
      <c r="V25" s="84" t="str">
        <f t="shared" si="9"/>
        <v/>
      </c>
      <c r="W25" s="109" t="str">
        <f t="shared" si="10"/>
        <v/>
      </c>
      <c r="X25" s="109" t="str">
        <f t="shared" si="11"/>
        <v/>
      </c>
      <c r="Y25" s="110" t="str">
        <f t="array" ref="Y25">_xlfn.XLOOKUP(A25,'Video Database'!L:L,'Video Database'!M:M,"")</f>
        <v>Bottom of Funnel</v>
      </c>
    </row>
    <row r="26" ht="22.5" customHeight="1">
      <c r="A26" s="113">
        <f t="shared" si="12"/>
        <v>25</v>
      </c>
      <c r="B26" s="98" t="str">
        <f t="array" ref="B26">_xlfn.XLOOKUP(A26,'Video Database'!L:L,'Video Database'!D:D,"")</f>
        <v>Erin</v>
      </c>
      <c r="C26" s="98" t="str">
        <f t="array" ref="C26">_xlfn.XLOOKUP(A26,'Video Database'!L:L,'Video Database'!E:E,"")</f>
        <v>Account 4</v>
      </c>
      <c r="D26" s="99" t="str">
        <f t="array" ref="D26">_xlfn.XLOOKUP(A26,'Video Database'!L:L,'Video Database'!G:G,"")</f>
        <v>Color Wow Quick Refresh and Styling Bundle</v>
      </c>
      <c r="E26" s="100">
        <f t="array" ref="E26">_xlfn.XLOOKUP(A26,'Video Database'!L:L,'Video Database'!H:H,"")</f>
        <v>1.1</v>
      </c>
      <c r="F26" s="101">
        <v>0.0</v>
      </c>
      <c r="G26" s="87">
        <v>0.0</v>
      </c>
      <c r="H26" s="114">
        <f t="array" ref="H26">_xlfn.XLOOKUP(A26,'Video Database'!L:L,'Video Database'!A:A,"")</f>
        <v>46180</v>
      </c>
      <c r="I26" s="103">
        <v>46201.0</v>
      </c>
      <c r="J26" s="104">
        <v>0.0</v>
      </c>
      <c r="K26" s="105"/>
      <c r="L26" s="105" t="str">
        <f t="shared" si="1"/>
        <v/>
      </c>
      <c r="O26" s="106" t="str">
        <f t="shared" si="2"/>
        <v>#N/A</v>
      </c>
      <c r="P26" s="106" t="str">
        <f t="shared" si="3"/>
        <v>#N/A</v>
      </c>
      <c r="Q26" s="84" t="str">
        <f t="shared" si="4"/>
        <v>#N/A</v>
      </c>
      <c r="R26" s="84" t="str">
        <f t="shared" si="5"/>
        <v>#N/A</v>
      </c>
      <c r="S26" s="107">
        <f t="shared" si="6"/>
        <v>-1.1</v>
      </c>
      <c r="T26" s="108">
        <f t="shared" si="7"/>
        <v>-1</v>
      </c>
      <c r="U26" s="106" t="str">
        <f t="shared" si="8"/>
        <v>#N/A</v>
      </c>
      <c r="V26" s="84" t="str">
        <f t="shared" si="9"/>
        <v/>
      </c>
      <c r="W26" s="109" t="str">
        <f t="shared" si="10"/>
        <v/>
      </c>
      <c r="X26" s="109" t="str">
        <f t="shared" si="11"/>
        <v/>
      </c>
      <c r="Y26" s="110" t="str">
        <f t="array" ref="Y26">_xlfn.XLOOKUP(A26,'Video Database'!L:L,'Video Database'!M:M,"")</f>
        <v>Bottom of Funnel</v>
      </c>
    </row>
    <row r="27" ht="22.5" customHeight="1">
      <c r="A27" s="113">
        <f t="shared" si="12"/>
        <v>26</v>
      </c>
      <c r="B27" s="98" t="str">
        <f t="array" ref="B27">_xlfn.XLOOKUP(A27,'Video Database'!L:L,'Video Database'!D:D,"")</f>
        <v>Erin</v>
      </c>
      <c r="C27" s="98" t="str">
        <f t="array" ref="C27">_xlfn.XLOOKUP(A27,'Video Database'!L:L,'Video Database'!E:E,"")</f>
        <v>Account 4</v>
      </c>
      <c r="D27" s="99" t="str">
        <f t="array" ref="D27">_xlfn.XLOOKUP(A27,'Video Database'!L:L,'Video Database'!G:G,"")</f>
        <v>Color Wow Quick Refresh and Styling Bundle</v>
      </c>
      <c r="E27" s="100">
        <f t="array" ref="E27">_xlfn.XLOOKUP(A27,'Video Database'!L:L,'Video Database'!H:H,"")</f>
        <v>1.1</v>
      </c>
      <c r="F27" s="101">
        <v>0.0</v>
      </c>
      <c r="G27" s="87">
        <v>0.0</v>
      </c>
      <c r="H27" s="114">
        <f t="array" ref="H27">_xlfn.XLOOKUP(A27,'Video Database'!L:L,'Video Database'!A:A,"")</f>
        <v>46180</v>
      </c>
      <c r="I27" s="103">
        <v>46201.0</v>
      </c>
      <c r="J27" s="104">
        <v>0.0</v>
      </c>
      <c r="K27" s="105"/>
      <c r="L27" s="105" t="str">
        <f t="shared" si="1"/>
        <v/>
      </c>
      <c r="O27" s="106" t="str">
        <f t="shared" si="2"/>
        <v>#N/A</v>
      </c>
      <c r="P27" s="106" t="str">
        <f t="shared" si="3"/>
        <v>#N/A</v>
      </c>
      <c r="Q27" s="84" t="str">
        <f t="shared" si="4"/>
        <v>#N/A</v>
      </c>
      <c r="R27" s="84" t="str">
        <f t="shared" si="5"/>
        <v>#N/A</v>
      </c>
      <c r="S27" s="107">
        <f t="shared" si="6"/>
        <v>-1.1</v>
      </c>
      <c r="T27" s="108">
        <f t="shared" si="7"/>
        <v>-1</v>
      </c>
      <c r="U27" s="106" t="str">
        <f t="shared" si="8"/>
        <v>#N/A</v>
      </c>
      <c r="V27" s="84" t="str">
        <f t="shared" si="9"/>
        <v/>
      </c>
      <c r="W27" s="109" t="str">
        <f t="shared" si="10"/>
        <v/>
      </c>
      <c r="X27" s="109" t="str">
        <f t="shared" si="11"/>
        <v/>
      </c>
      <c r="Y27" s="110" t="str">
        <f t="array" ref="Y27">_xlfn.XLOOKUP(A27,'Video Database'!L:L,'Video Database'!M:M,"")</f>
        <v>Bottom of Funnel</v>
      </c>
    </row>
    <row r="28" ht="22.5" customHeight="1">
      <c r="A28" s="113">
        <f t="shared" si="12"/>
        <v>27</v>
      </c>
      <c r="B28" s="98" t="str">
        <f t="array" ref="B28">_xlfn.XLOOKUP(A28,'Video Database'!L:L,'Video Database'!D:D,"")</f>
        <v>Erin</v>
      </c>
      <c r="C28" s="98" t="str">
        <f t="array" ref="C28">_xlfn.XLOOKUP(A28,'Video Database'!L:L,'Video Database'!E:E,"")</f>
        <v>Account 4</v>
      </c>
      <c r="D28" s="99" t="str">
        <f t="array" ref="D28">_xlfn.XLOOKUP(A28,'Video Database'!L:L,'Video Database'!G:G,"")</f>
        <v>Color Wow Quick Refresh and Styling Bundle</v>
      </c>
      <c r="E28" s="100">
        <f t="array" ref="E28">_xlfn.XLOOKUP(A28,'Video Database'!L:L,'Video Database'!H:H,"")</f>
        <v>1.1</v>
      </c>
      <c r="F28" s="101">
        <v>0.0</v>
      </c>
      <c r="G28" s="87">
        <v>0.0</v>
      </c>
      <c r="H28" s="114">
        <f t="array" ref="H28">_xlfn.XLOOKUP(A28,'Video Database'!L:L,'Video Database'!A:A,"")</f>
        <v>46180</v>
      </c>
      <c r="I28" s="103">
        <v>46201.0</v>
      </c>
      <c r="J28" s="104">
        <v>0.0</v>
      </c>
      <c r="K28" s="105"/>
      <c r="L28" s="105" t="str">
        <f t="shared" si="1"/>
        <v/>
      </c>
      <c r="O28" s="106" t="str">
        <f t="shared" si="2"/>
        <v>#N/A</v>
      </c>
      <c r="P28" s="106" t="str">
        <f t="shared" si="3"/>
        <v>#N/A</v>
      </c>
      <c r="Q28" s="84" t="str">
        <f t="shared" si="4"/>
        <v>#N/A</v>
      </c>
      <c r="R28" s="84" t="str">
        <f t="shared" si="5"/>
        <v>#N/A</v>
      </c>
      <c r="S28" s="107">
        <f t="shared" si="6"/>
        <v>-1.1</v>
      </c>
      <c r="T28" s="108">
        <f t="shared" si="7"/>
        <v>-1</v>
      </c>
      <c r="U28" s="106" t="str">
        <f t="shared" si="8"/>
        <v>#N/A</v>
      </c>
      <c r="V28" s="84" t="str">
        <f t="shared" si="9"/>
        <v/>
      </c>
      <c r="W28" s="109" t="str">
        <f t="shared" si="10"/>
        <v/>
      </c>
      <c r="X28" s="109" t="str">
        <f t="shared" si="11"/>
        <v/>
      </c>
      <c r="Y28" s="110" t="str">
        <f t="array" ref="Y28">_xlfn.XLOOKUP(A28,'Video Database'!L:L,'Video Database'!M:M,"")</f>
        <v>Bottom of Funnel</v>
      </c>
    </row>
    <row r="29" ht="22.5" customHeight="1">
      <c r="A29" s="113">
        <f t="shared" si="12"/>
        <v>28</v>
      </c>
      <c r="B29" s="98" t="str">
        <f t="array" ref="B29">_xlfn.XLOOKUP(A29,'Video Database'!L:L,'Video Database'!D:D,"")</f>
        <v>Erin</v>
      </c>
      <c r="C29" s="98" t="str">
        <f t="array" ref="C29">_xlfn.XLOOKUP(A29,'Video Database'!L:L,'Video Database'!E:E,"")</f>
        <v>Account 4</v>
      </c>
      <c r="D29" s="99" t="str">
        <f t="array" ref="D29">_xlfn.XLOOKUP(A29,'Video Database'!L:L,'Video Database'!G:G,"")</f>
        <v>Color Wow Quick Refresh and Styling Bundle</v>
      </c>
      <c r="E29" s="100">
        <f t="array" ref="E29">_xlfn.XLOOKUP(A29,'Video Database'!L:L,'Video Database'!H:H,"")</f>
        <v>1.1</v>
      </c>
      <c r="F29" s="101">
        <v>0.0</v>
      </c>
      <c r="G29" s="87">
        <v>0.0</v>
      </c>
      <c r="H29" s="114">
        <f t="array" ref="H29">_xlfn.XLOOKUP(A29,'Video Database'!L:L,'Video Database'!A:A,"")</f>
        <v>46180</v>
      </c>
      <c r="I29" s="103">
        <v>46201.0</v>
      </c>
      <c r="J29" s="104">
        <v>0.0</v>
      </c>
      <c r="K29" s="105"/>
      <c r="L29" s="105" t="str">
        <f t="shared" si="1"/>
        <v/>
      </c>
      <c r="O29" s="106" t="str">
        <f t="shared" si="2"/>
        <v>#N/A</v>
      </c>
      <c r="P29" s="106" t="str">
        <f t="shared" si="3"/>
        <v>#N/A</v>
      </c>
      <c r="Q29" s="84" t="str">
        <f t="shared" si="4"/>
        <v>#N/A</v>
      </c>
      <c r="R29" s="84" t="str">
        <f t="shared" si="5"/>
        <v>#N/A</v>
      </c>
      <c r="S29" s="107">
        <f t="shared" si="6"/>
        <v>-1.1</v>
      </c>
      <c r="T29" s="108">
        <f t="shared" si="7"/>
        <v>-1</v>
      </c>
      <c r="U29" s="106" t="str">
        <f t="shared" si="8"/>
        <v>#N/A</v>
      </c>
      <c r="V29" s="84" t="str">
        <f t="shared" si="9"/>
        <v/>
      </c>
      <c r="W29" s="109" t="str">
        <f t="shared" si="10"/>
        <v/>
      </c>
      <c r="X29" s="109" t="str">
        <f t="shared" si="11"/>
        <v/>
      </c>
      <c r="Y29" s="110" t="str">
        <f t="array" ref="Y29">_xlfn.XLOOKUP(A29,'Video Database'!L:L,'Video Database'!M:M,"")</f>
        <v>Bottom of Funnel</v>
      </c>
    </row>
    <row r="30" ht="22.5" customHeight="1">
      <c r="A30" s="113">
        <f t="shared" si="12"/>
        <v>29</v>
      </c>
      <c r="B30" s="98" t="str">
        <f t="array" ref="B30">_xlfn.XLOOKUP(A30,'Video Database'!L:L,'Video Database'!D:D,"")</f>
        <v>Erin</v>
      </c>
      <c r="C30" s="98" t="str">
        <f t="array" ref="C30">_xlfn.XLOOKUP(A30,'Video Database'!L:L,'Video Database'!E:E,"")</f>
        <v>Account 4</v>
      </c>
      <c r="D30" s="99" t="str">
        <f t="array" ref="D30">_xlfn.XLOOKUP(A30,'Video Database'!L:L,'Video Database'!G:G,"")</f>
        <v>Color Wow Quick Refresh and Styling Bundle</v>
      </c>
      <c r="E30" s="100">
        <f t="array" ref="E30">_xlfn.XLOOKUP(A30,'Video Database'!L:L,'Video Database'!H:H,"")</f>
        <v>1.1</v>
      </c>
      <c r="F30" s="101">
        <v>0.0</v>
      </c>
      <c r="G30" s="87">
        <v>0.0</v>
      </c>
      <c r="H30" s="114">
        <f t="array" ref="H30">_xlfn.XLOOKUP(A30,'Video Database'!L:L,'Video Database'!A:A,"")</f>
        <v>46180</v>
      </c>
      <c r="I30" s="103">
        <v>46201.0</v>
      </c>
      <c r="J30" s="104">
        <v>0.0</v>
      </c>
      <c r="K30" s="105"/>
      <c r="L30" s="105" t="str">
        <f t="shared" si="1"/>
        <v/>
      </c>
      <c r="O30" s="106" t="str">
        <f t="shared" si="2"/>
        <v>#N/A</v>
      </c>
      <c r="P30" s="106" t="str">
        <f t="shared" si="3"/>
        <v>#N/A</v>
      </c>
      <c r="Q30" s="84" t="str">
        <f t="shared" si="4"/>
        <v>#N/A</v>
      </c>
      <c r="R30" s="84" t="str">
        <f t="shared" si="5"/>
        <v>#N/A</v>
      </c>
      <c r="S30" s="107">
        <f t="shared" si="6"/>
        <v>-1.1</v>
      </c>
      <c r="T30" s="108">
        <f t="shared" si="7"/>
        <v>-1</v>
      </c>
      <c r="U30" s="106" t="str">
        <f t="shared" si="8"/>
        <v>#N/A</v>
      </c>
      <c r="V30" s="84" t="str">
        <f t="shared" si="9"/>
        <v/>
      </c>
      <c r="W30" s="109" t="str">
        <f t="shared" si="10"/>
        <v/>
      </c>
      <c r="X30" s="109" t="str">
        <f t="shared" si="11"/>
        <v/>
      </c>
      <c r="Y30" s="110" t="str">
        <f t="array" ref="Y30">_xlfn.XLOOKUP(A30,'Video Database'!L:L,'Video Database'!M:M,"")</f>
        <v>Bottom of Funnel</v>
      </c>
    </row>
    <row r="31" ht="22.5" customHeight="1">
      <c r="A31" s="113">
        <f t="shared" si="12"/>
        <v>30</v>
      </c>
      <c r="B31" s="98" t="str">
        <f t="array" ref="B31">_xlfn.XLOOKUP(A31,'Video Database'!L:L,'Video Database'!D:D,"")</f>
        <v>Erin</v>
      </c>
      <c r="C31" s="98" t="str">
        <f t="array" ref="C31">_xlfn.XLOOKUP(A31,'Video Database'!L:L,'Video Database'!E:E,"")</f>
        <v>Account 4</v>
      </c>
      <c r="D31" s="99" t="str">
        <f t="array" ref="D31">_xlfn.XLOOKUP(A31,'Video Database'!L:L,'Video Database'!G:G,"")</f>
        <v>Color Wow Quick Refresh and Styling Bundle</v>
      </c>
      <c r="E31" s="100">
        <f t="array" ref="E31">_xlfn.XLOOKUP(A31,'Video Database'!L:L,'Video Database'!H:H,"")</f>
        <v>1.1</v>
      </c>
      <c r="F31" s="101">
        <v>0.0</v>
      </c>
      <c r="G31" s="87">
        <v>0.0</v>
      </c>
      <c r="H31" s="114">
        <f t="array" ref="H31">_xlfn.XLOOKUP(A31,'Video Database'!L:L,'Video Database'!A:A,"")</f>
        <v>46180</v>
      </c>
      <c r="I31" s="103">
        <v>46201.0</v>
      </c>
      <c r="J31" s="104">
        <v>0.0</v>
      </c>
      <c r="K31" s="105"/>
      <c r="L31" s="105" t="str">
        <f t="shared" si="1"/>
        <v/>
      </c>
      <c r="O31" s="106" t="str">
        <f t="shared" si="2"/>
        <v>#N/A</v>
      </c>
      <c r="P31" s="106" t="str">
        <f t="shared" si="3"/>
        <v>#N/A</v>
      </c>
      <c r="Q31" s="84" t="str">
        <f t="shared" si="4"/>
        <v>#N/A</v>
      </c>
      <c r="R31" s="84" t="str">
        <f t="shared" si="5"/>
        <v>#N/A</v>
      </c>
      <c r="S31" s="107">
        <f t="shared" si="6"/>
        <v>-1.1</v>
      </c>
      <c r="T31" s="108">
        <f t="shared" si="7"/>
        <v>-1</v>
      </c>
      <c r="U31" s="106" t="str">
        <f t="shared" si="8"/>
        <v>#N/A</v>
      </c>
      <c r="V31" s="84" t="str">
        <f t="shared" si="9"/>
        <v/>
      </c>
      <c r="W31" s="109" t="str">
        <f t="shared" si="10"/>
        <v/>
      </c>
      <c r="X31" s="109" t="str">
        <f t="shared" si="11"/>
        <v/>
      </c>
      <c r="Y31" s="110" t="str">
        <f t="array" ref="Y31">_xlfn.XLOOKUP(A31,'Video Database'!L:L,'Video Database'!M:M,"")</f>
        <v>Bottom of Funnel</v>
      </c>
    </row>
    <row r="32" ht="22.5" customHeight="1">
      <c r="A32" s="113">
        <f t="shared" si="12"/>
        <v>31</v>
      </c>
      <c r="B32" s="98" t="str">
        <f t="array" ref="B32">_xlfn.XLOOKUP(A32,'Video Database'!L:L,'Video Database'!D:D,"")</f>
        <v>Erin</v>
      </c>
      <c r="C32" s="98" t="str">
        <f t="array" ref="C32">_xlfn.XLOOKUP(A32,'Video Database'!L:L,'Video Database'!E:E,"")</f>
        <v>Account 4</v>
      </c>
      <c r="D32" s="99" t="str">
        <f t="array" ref="D32">_xlfn.XLOOKUP(A32,'Video Database'!L:L,'Video Database'!G:G,"")</f>
        <v>Color Wow Quick Refresh and Styling Bundle</v>
      </c>
      <c r="E32" s="100">
        <f t="array" ref="E32">_xlfn.XLOOKUP(A32,'Video Database'!L:L,'Video Database'!H:H,"")</f>
        <v>1.1</v>
      </c>
      <c r="F32" s="101">
        <v>0.0</v>
      </c>
      <c r="G32" s="87">
        <v>0.0</v>
      </c>
      <c r="H32" s="114">
        <f t="array" ref="H32">_xlfn.XLOOKUP(A32,'Video Database'!L:L,'Video Database'!A:A,"")</f>
        <v>46180</v>
      </c>
      <c r="I32" s="103">
        <v>46201.0</v>
      </c>
      <c r="J32" s="104">
        <v>0.0</v>
      </c>
      <c r="K32" s="105"/>
      <c r="L32" s="105" t="str">
        <f t="shared" si="1"/>
        <v/>
      </c>
      <c r="O32" s="106" t="str">
        <f t="shared" si="2"/>
        <v>#N/A</v>
      </c>
      <c r="P32" s="106" t="str">
        <f t="shared" si="3"/>
        <v>#N/A</v>
      </c>
      <c r="Q32" s="84" t="str">
        <f t="shared" si="4"/>
        <v>#N/A</v>
      </c>
      <c r="R32" s="84" t="str">
        <f t="shared" si="5"/>
        <v>#N/A</v>
      </c>
      <c r="S32" s="107">
        <f t="shared" si="6"/>
        <v>-1.1</v>
      </c>
      <c r="T32" s="108">
        <f t="shared" si="7"/>
        <v>-1</v>
      </c>
      <c r="U32" s="106" t="str">
        <f t="shared" si="8"/>
        <v>#N/A</v>
      </c>
      <c r="V32" s="84" t="str">
        <f t="shared" si="9"/>
        <v/>
      </c>
      <c r="W32" s="109" t="str">
        <f t="shared" si="10"/>
        <v/>
      </c>
      <c r="X32" s="109" t="str">
        <f t="shared" si="11"/>
        <v/>
      </c>
      <c r="Y32" s="110" t="str">
        <f t="array" ref="Y32">_xlfn.XLOOKUP(A32,'Video Database'!L:L,'Video Database'!M:M,"")</f>
        <v>Bottom of Funnel</v>
      </c>
    </row>
    <row r="33" ht="22.5" customHeight="1">
      <c r="A33" s="113">
        <f t="shared" si="12"/>
        <v>32</v>
      </c>
      <c r="B33" s="98" t="str">
        <f t="array" ref="B33">_xlfn.XLOOKUP(A33,'Video Database'!L:L,'Video Database'!D:D,"")</f>
        <v>Erin</v>
      </c>
      <c r="C33" s="98" t="str">
        <f t="array" ref="C33">_xlfn.XLOOKUP(A33,'Video Database'!L:L,'Video Database'!E:E,"")</f>
        <v>Account 4</v>
      </c>
      <c r="D33" s="99" t="str">
        <f t="array" ref="D33">_xlfn.XLOOKUP(A33,'Video Database'!L:L,'Video Database'!G:G,"")</f>
        <v>Stainless Steel Gua Sha</v>
      </c>
      <c r="E33" s="100">
        <f t="array" ref="E33">_xlfn.XLOOKUP(A33,'Video Database'!L:L,'Video Database'!H:H,"")</f>
        <v>1.1</v>
      </c>
      <c r="F33" s="101">
        <v>0.0</v>
      </c>
      <c r="G33" s="87">
        <v>0.0</v>
      </c>
      <c r="H33" s="114">
        <f t="array" ref="H33">_xlfn.XLOOKUP(A33,'Video Database'!L:L,'Video Database'!A:A,"")</f>
        <v>46181</v>
      </c>
      <c r="I33" s="103">
        <v>46201.0</v>
      </c>
      <c r="J33" s="104">
        <v>0.0</v>
      </c>
      <c r="K33" s="105"/>
      <c r="L33" s="105" t="str">
        <f t="shared" si="1"/>
        <v/>
      </c>
      <c r="O33" s="106" t="str">
        <f t="shared" si="2"/>
        <v>#N/A</v>
      </c>
      <c r="P33" s="106" t="str">
        <f t="shared" si="3"/>
        <v>#N/A</v>
      </c>
      <c r="Q33" s="84" t="str">
        <f t="shared" si="4"/>
        <v>#N/A</v>
      </c>
      <c r="R33" s="84" t="str">
        <f t="shared" si="5"/>
        <v>#N/A</v>
      </c>
      <c r="S33" s="107">
        <f t="shared" si="6"/>
        <v>-1.1</v>
      </c>
      <c r="T33" s="108">
        <f t="shared" si="7"/>
        <v>-1</v>
      </c>
      <c r="U33" s="106" t="str">
        <f t="shared" si="8"/>
        <v>#N/A</v>
      </c>
      <c r="V33" s="84" t="str">
        <f t="shared" si="9"/>
        <v/>
      </c>
      <c r="W33" s="109" t="str">
        <f t="shared" si="10"/>
        <v/>
      </c>
      <c r="X33" s="109" t="str">
        <f t="shared" si="11"/>
        <v/>
      </c>
      <c r="Y33" s="110" t="str">
        <f t="array" ref="Y33">_xlfn.XLOOKUP(A33,'Video Database'!L:L,'Video Database'!M:M,"")</f>
        <v>Bottom of Funnel</v>
      </c>
    </row>
    <row r="34" ht="22.5" customHeight="1">
      <c r="A34" s="113">
        <f t="shared" si="12"/>
        <v>33</v>
      </c>
      <c r="B34" s="98" t="str">
        <f t="array" ref="B34">_xlfn.XLOOKUP(A34,'Video Database'!L:L,'Video Database'!D:D,"")</f>
        <v>Erin</v>
      </c>
      <c r="C34" s="98" t="str">
        <f t="array" ref="C34">_xlfn.XLOOKUP(A34,'Video Database'!L:L,'Video Database'!E:E,"")</f>
        <v>Account 4</v>
      </c>
      <c r="D34" s="99" t="str">
        <f t="array" ref="D34">_xlfn.XLOOKUP(A34,'Video Database'!L:L,'Video Database'!G:G,"")</f>
        <v>Stainless Steel Gua Sha</v>
      </c>
      <c r="E34" s="100">
        <f t="array" ref="E34">_xlfn.XLOOKUP(A34,'Video Database'!L:L,'Video Database'!H:H,"")</f>
        <v>1.1</v>
      </c>
      <c r="F34" s="101">
        <v>0.0</v>
      </c>
      <c r="G34" s="87">
        <v>0.0</v>
      </c>
      <c r="H34" s="114">
        <f t="array" ref="H34">_xlfn.XLOOKUP(A34,'Video Database'!L:L,'Video Database'!A:A,"")</f>
        <v>46181</v>
      </c>
      <c r="I34" s="103">
        <v>46201.0</v>
      </c>
      <c r="J34" s="104">
        <v>0.0</v>
      </c>
      <c r="K34" s="105"/>
      <c r="L34" s="105" t="str">
        <f t="shared" si="1"/>
        <v/>
      </c>
      <c r="O34" s="106" t="str">
        <f t="shared" si="2"/>
        <v>#N/A</v>
      </c>
      <c r="P34" s="106" t="str">
        <f t="shared" si="3"/>
        <v>#N/A</v>
      </c>
      <c r="Q34" s="84" t="str">
        <f t="shared" si="4"/>
        <v>#N/A</v>
      </c>
      <c r="R34" s="84" t="str">
        <f t="shared" si="5"/>
        <v>#N/A</v>
      </c>
      <c r="S34" s="107">
        <f t="shared" si="6"/>
        <v>-1.1</v>
      </c>
      <c r="T34" s="108">
        <f t="shared" si="7"/>
        <v>-1</v>
      </c>
      <c r="U34" s="106" t="str">
        <f t="shared" si="8"/>
        <v>#N/A</v>
      </c>
      <c r="V34" s="84" t="str">
        <f t="shared" si="9"/>
        <v/>
      </c>
      <c r="W34" s="109" t="str">
        <f t="shared" si="10"/>
        <v/>
      </c>
      <c r="X34" s="109" t="str">
        <f t="shared" si="11"/>
        <v/>
      </c>
      <c r="Y34" s="110" t="str">
        <f t="array" ref="Y34">_xlfn.XLOOKUP(A34,'Video Database'!L:L,'Video Database'!M:M,"")</f>
        <v>Bottom of Funnel</v>
      </c>
    </row>
    <row r="35" ht="22.5" customHeight="1">
      <c r="A35" s="113">
        <f t="shared" si="12"/>
        <v>34</v>
      </c>
      <c r="B35" s="98" t="str">
        <f t="array" ref="B35">_xlfn.XLOOKUP(A35,'Video Database'!L:L,'Video Database'!D:D,"")</f>
        <v>Erin</v>
      </c>
      <c r="C35" s="98" t="str">
        <f t="array" ref="C35">_xlfn.XLOOKUP(A35,'Video Database'!L:L,'Video Database'!E:E,"")</f>
        <v>Account 4</v>
      </c>
      <c r="D35" s="99" t="str">
        <f t="array" ref="D35">_xlfn.XLOOKUP(A35,'Video Database'!L:L,'Video Database'!G:G,"")</f>
        <v>Stainless Steel Gua Sha</v>
      </c>
      <c r="E35" s="100">
        <f t="array" ref="E35">_xlfn.XLOOKUP(A35,'Video Database'!L:L,'Video Database'!H:H,"")</f>
        <v>1.1</v>
      </c>
      <c r="F35" s="101">
        <v>0.0</v>
      </c>
      <c r="G35" s="87">
        <v>0.0</v>
      </c>
      <c r="H35" s="114">
        <f t="array" ref="H35">_xlfn.XLOOKUP(A35,'Video Database'!L:L,'Video Database'!A:A,"")</f>
        <v>46181</v>
      </c>
      <c r="I35" s="103">
        <v>46201.0</v>
      </c>
      <c r="J35" s="104">
        <v>0.0</v>
      </c>
      <c r="K35" s="105"/>
      <c r="L35" s="105" t="str">
        <f t="shared" si="1"/>
        <v/>
      </c>
      <c r="O35" s="106" t="str">
        <f t="shared" si="2"/>
        <v>#N/A</v>
      </c>
      <c r="P35" s="106" t="str">
        <f t="shared" si="3"/>
        <v>#N/A</v>
      </c>
      <c r="Q35" s="84" t="str">
        <f t="shared" si="4"/>
        <v>#N/A</v>
      </c>
      <c r="R35" s="84" t="str">
        <f t="shared" si="5"/>
        <v>#N/A</v>
      </c>
      <c r="S35" s="107">
        <f t="shared" si="6"/>
        <v>-1.1</v>
      </c>
      <c r="T35" s="108">
        <f t="shared" si="7"/>
        <v>-1</v>
      </c>
      <c r="U35" s="106" t="str">
        <f t="shared" si="8"/>
        <v>#N/A</v>
      </c>
      <c r="V35" s="84" t="str">
        <f t="shared" si="9"/>
        <v/>
      </c>
      <c r="W35" s="109" t="str">
        <f t="shared" si="10"/>
        <v/>
      </c>
      <c r="X35" s="109" t="str">
        <f t="shared" si="11"/>
        <v/>
      </c>
      <c r="Y35" s="110" t="str">
        <f t="array" ref="Y35">_xlfn.XLOOKUP(A35,'Video Database'!L:L,'Video Database'!M:M,"")</f>
        <v>Bottom of Funnel</v>
      </c>
    </row>
    <row r="36" ht="22.5" customHeight="1">
      <c r="A36" s="113">
        <f t="shared" si="12"/>
        <v>35</v>
      </c>
      <c r="B36" s="98" t="str">
        <f t="array" ref="B36">_xlfn.XLOOKUP(A36,'Video Database'!L:L,'Video Database'!D:D,"")</f>
        <v>Erin</v>
      </c>
      <c r="C36" s="98" t="str">
        <f t="array" ref="C36">_xlfn.XLOOKUP(A36,'Video Database'!L:L,'Video Database'!E:E,"")</f>
        <v>Account 4</v>
      </c>
      <c r="D36" s="99" t="str">
        <f t="array" ref="D36">_xlfn.XLOOKUP(A36,'Video Database'!L:L,'Video Database'!G:G,"")</f>
        <v>Stainless Steel Gua Sha</v>
      </c>
      <c r="E36" s="100">
        <f t="array" ref="E36">_xlfn.XLOOKUP(A36,'Video Database'!L:L,'Video Database'!H:H,"")</f>
        <v>1.1</v>
      </c>
      <c r="F36" s="101">
        <v>0.0</v>
      </c>
      <c r="G36" s="87">
        <v>0.0</v>
      </c>
      <c r="H36" s="114">
        <f t="array" ref="H36">_xlfn.XLOOKUP(A36,'Video Database'!L:L,'Video Database'!A:A,"")</f>
        <v>46181</v>
      </c>
      <c r="I36" s="103">
        <v>46201.0</v>
      </c>
      <c r="J36" s="104">
        <v>0.0</v>
      </c>
      <c r="K36" s="105"/>
      <c r="L36" s="105" t="str">
        <f t="shared" si="1"/>
        <v/>
      </c>
      <c r="O36" s="106" t="str">
        <f t="shared" si="2"/>
        <v>#N/A</v>
      </c>
      <c r="P36" s="106" t="str">
        <f t="shared" si="3"/>
        <v>#N/A</v>
      </c>
      <c r="Q36" s="84" t="str">
        <f t="shared" si="4"/>
        <v>#N/A</v>
      </c>
      <c r="R36" s="84" t="str">
        <f t="shared" si="5"/>
        <v>#N/A</v>
      </c>
      <c r="S36" s="107">
        <f t="shared" si="6"/>
        <v>-1.1</v>
      </c>
      <c r="T36" s="108">
        <f t="shared" si="7"/>
        <v>-1</v>
      </c>
      <c r="U36" s="106" t="str">
        <f t="shared" si="8"/>
        <v>#N/A</v>
      </c>
      <c r="V36" s="84" t="str">
        <f t="shared" si="9"/>
        <v/>
      </c>
      <c r="W36" s="109" t="str">
        <f t="shared" si="10"/>
        <v/>
      </c>
      <c r="X36" s="109" t="str">
        <f t="shared" si="11"/>
        <v/>
      </c>
      <c r="Y36" s="110" t="str">
        <f t="array" ref="Y36">_xlfn.XLOOKUP(A36,'Video Database'!L:L,'Video Database'!M:M,"")</f>
        <v>Bottom of Funnel</v>
      </c>
    </row>
    <row r="37" ht="22.5" customHeight="1">
      <c r="A37" s="113">
        <f t="shared" si="12"/>
        <v>36</v>
      </c>
      <c r="B37" s="98" t="str">
        <f t="array" ref="B37">_xlfn.XLOOKUP(A37,'Video Database'!L:L,'Video Database'!D:D,"")</f>
        <v>Erin</v>
      </c>
      <c r="C37" s="98" t="str">
        <f t="array" ref="C37">_xlfn.XLOOKUP(A37,'Video Database'!L:L,'Video Database'!E:E,"")</f>
        <v>Account 4</v>
      </c>
      <c r="D37" s="99" t="str">
        <f t="array" ref="D37">_xlfn.XLOOKUP(A37,'Video Database'!L:L,'Video Database'!G:G,"")</f>
        <v>Stainless Steel Gua Sha</v>
      </c>
      <c r="E37" s="100">
        <f t="array" ref="E37">_xlfn.XLOOKUP(A37,'Video Database'!L:L,'Video Database'!H:H,"")</f>
        <v>1.1</v>
      </c>
      <c r="F37" s="101">
        <v>0.0</v>
      </c>
      <c r="G37" s="87">
        <v>0.0</v>
      </c>
      <c r="H37" s="114">
        <f t="array" ref="H37">_xlfn.XLOOKUP(A37,'Video Database'!L:L,'Video Database'!A:A,"")</f>
        <v>46181</v>
      </c>
      <c r="I37" s="103">
        <v>46201.0</v>
      </c>
      <c r="J37" s="104">
        <v>0.0</v>
      </c>
      <c r="K37" s="105"/>
      <c r="L37" s="105" t="str">
        <f t="shared" si="1"/>
        <v/>
      </c>
      <c r="O37" s="106" t="str">
        <f t="shared" si="2"/>
        <v>#N/A</v>
      </c>
      <c r="P37" s="106" t="str">
        <f t="shared" si="3"/>
        <v>#N/A</v>
      </c>
      <c r="Q37" s="84" t="str">
        <f t="shared" si="4"/>
        <v>#N/A</v>
      </c>
      <c r="R37" s="84" t="str">
        <f t="shared" si="5"/>
        <v>#N/A</v>
      </c>
      <c r="S37" s="107">
        <f t="shared" si="6"/>
        <v>-1.1</v>
      </c>
      <c r="T37" s="108">
        <f t="shared" si="7"/>
        <v>-1</v>
      </c>
      <c r="U37" s="106" t="str">
        <f t="shared" si="8"/>
        <v>#N/A</v>
      </c>
      <c r="V37" s="84" t="str">
        <f t="shared" si="9"/>
        <v/>
      </c>
      <c r="W37" s="109" t="str">
        <f t="shared" si="10"/>
        <v/>
      </c>
      <c r="X37" s="109" t="str">
        <f t="shared" si="11"/>
        <v/>
      </c>
      <c r="Y37" s="110" t="str">
        <f t="array" ref="Y37">_xlfn.XLOOKUP(A37,'Video Database'!L:L,'Video Database'!M:M,"")</f>
        <v>Bottom of Funnel</v>
      </c>
    </row>
    <row r="38" ht="22.5" customHeight="1">
      <c r="A38" s="113">
        <f t="shared" si="12"/>
        <v>37</v>
      </c>
      <c r="B38" s="98" t="str">
        <f t="array" ref="B38">_xlfn.XLOOKUP(A38,'Video Database'!L:L,'Video Database'!D:D,"")</f>
        <v>Erin</v>
      </c>
      <c r="C38" s="98" t="str">
        <f t="array" ref="C38">_xlfn.XLOOKUP(A38,'Video Database'!L:L,'Video Database'!E:E,"")</f>
        <v>Account 4</v>
      </c>
      <c r="D38" s="99" t="str">
        <f t="array" ref="D38">_xlfn.XLOOKUP(A38,'Video Database'!L:L,'Video Database'!G:G,"")</f>
        <v>Stainless Steel Gua Sha</v>
      </c>
      <c r="E38" s="100">
        <f t="array" ref="E38">_xlfn.XLOOKUP(A38,'Video Database'!L:L,'Video Database'!H:H,"")</f>
        <v>1.1</v>
      </c>
      <c r="F38" s="101">
        <v>0.0</v>
      </c>
      <c r="G38" s="87">
        <v>0.0</v>
      </c>
      <c r="H38" s="114">
        <f t="array" ref="H38">_xlfn.XLOOKUP(A38,'Video Database'!L:L,'Video Database'!A:A,"")</f>
        <v>46181</v>
      </c>
      <c r="I38" s="103">
        <v>46201.0</v>
      </c>
      <c r="J38" s="104">
        <v>0.0</v>
      </c>
      <c r="K38" s="105"/>
      <c r="L38" s="105" t="str">
        <f t="shared" si="1"/>
        <v/>
      </c>
      <c r="O38" s="106" t="str">
        <f t="shared" si="2"/>
        <v>#N/A</v>
      </c>
      <c r="P38" s="106" t="str">
        <f t="shared" si="3"/>
        <v>#N/A</v>
      </c>
      <c r="Q38" s="84" t="str">
        <f t="shared" si="4"/>
        <v>#N/A</v>
      </c>
      <c r="R38" s="84" t="str">
        <f t="shared" si="5"/>
        <v>#N/A</v>
      </c>
      <c r="S38" s="107">
        <f t="shared" si="6"/>
        <v>-1.1</v>
      </c>
      <c r="T38" s="108">
        <f t="shared" si="7"/>
        <v>-1</v>
      </c>
      <c r="U38" s="106" t="str">
        <f t="shared" si="8"/>
        <v>#N/A</v>
      </c>
      <c r="V38" s="84" t="str">
        <f t="shared" si="9"/>
        <v/>
      </c>
      <c r="W38" s="109" t="str">
        <f t="shared" si="10"/>
        <v/>
      </c>
      <c r="X38" s="109" t="str">
        <f t="shared" si="11"/>
        <v/>
      </c>
      <c r="Y38" s="110" t="str">
        <f t="array" ref="Y38">_xlfn.XLOOKUP(A38,'Video Database'!L:L,'Video Database'!M:M,"")</f>
        <v>Bottom of Funnel</v>
      </c>
    </row>
    <row r="39" ht="22.5" customHeight="1">
      <c r="A39" s="113">
        <f t="shared" si="12"/>
        <v>38</v>
      </c>
      <c r="B39" s="98" t="str">
        <f t="array" ref="B39">_xlfn.XLOOKUP(A39,'Video Database'!L:L,'Video Database'!D:D,"")</f>
        <v>Erin</v>
      </c>
      <c r="C39" s="98" t="str">
        <f t="array" ref="C39">_xlfn.XLOOKUP(A39,'Video Database'!L:L,'Video Database'!E:E,"")</f>
        <v>Account 4</v>
      </c>
      <c r="D39" s="99" t="str">
        <f t="array" ref="D39">_xlfn.XLOOKUP(A39,'Video Database'!L:L,'Video Database'!G:G,"")</f>
        <v>Stainless Steel Gua Sha</v>
      </c>
      <c r="E39" s="100">
        <f t="array" ref="E39">_xlfn.XLOOKUP(A39,'Video Database'!L:L,'Video Database'!H:H,"")</f>
        <v>1.1</v>
      </c>
      <c r="F39" s="101">
        <v>0.0</v>
      </c>
      <c r="G39" s="87">
        <v>0.0</v>
      </c>
      <c r="H39" s="114">
        <f t="array" ref="H39">_xlfn.XLOOKUP(A39,'Video Database'!L:L,'Video Database'!A:A,"")</f>
        <v>46181</v>
      </c>
      <c r="I39" s="103">
        <v>46201.0</v>
      </c>
      <c r="J39" s="104">
        <v>0.0</v>
      </c>
      <c r="K39" s="105"/>
      <c r="L39" s="105" t="str">
        <f t="shared" si="1"/>
        <v/>
      </c>
      <c r="O39" s="106" t="str">
        <f t="shared" si="2"/>
        <v>#N/A</v>
      </c>
      <c r="P39" s="106" t="str">
        <f t="shared" si="3"/>
        <v>#N/A</v>
      </c>
      <c r="Q39" s="84" t="str">
        <f t="shared" si="4"/>
        <v>#N/A</v>
      </c>
      <c r="R39" s="84" t="str">
        <f t="shared" si="5"/>
        <v>#N/A</v>
      </c>
      <c r="S39" s="107">
        <f t="shared" si="6"/>
        <v>-1.1</v>
      </c>
      <c r="T39" s="108">
        <f t="shared" si="7"/>
        <v>-1</v>
      </c>
      <c r="U39" s="106" t="str">
        <f t="shared" si="8"/>
        <v>#N/A</v>
      </c>
      <c r="V39" s="84" t="str">
        <f t="shared" si="9"/>
        <v/>
      </c>
      <c r="W39" s="109" t="str">
        <f t="shared" si="10"/>
        <v/>
      </c>
      <c r="X39" s="109" t="str">
        <f t="shared" si="11"/>
        <v/>
      </c>
      <c r="Y39" s="110" t="str">
        <f t="array" ref="Y39">_xlfn.XLOOKUP(A39,'Video Database'!L:L,'Video Database'!M:M,"")</f>
        <v>Bottom of Funnel</v>
      </c>
    </row>
    <row r="40" ht="22.5" customHeight="1">
      <c r="A40" s="113">
        <f t="shared" si="12"/>
        <v>39</v>
      </c>
      <c r="B40" s="98" t="str">
        <f t="array" ref="B40">_xlfn.XLOOKUP(A40,'Video Database'!L:L,'Video Database'!D:D,"")</f>
        <v>Erin</v>
      </c>
      <c r="C40" s="98" t="str">
        <f t="array" ref="C40">_xlfn.XLOOKUP(A40,'Video Database'!L:L,'Video Database'!E:E,"")</f>
        <v>Account 4</v>
      </c>
      <c r="D40" s="99" t="str">
        <f t="array" ref="D40">_xlfn.XLOOKUP(A40,'Video Database'!L:L,'Video Database'!G:G,"")</f>
        <v>Stainless Steel Gua Sha</v>
      </c>
      <c r="E40" s="100">
        <f t="array" ref="E40">_xlfn.XLOOKUP(A40,'Video Database'!L:L,'Video Database'!H:H,"")</f>
        <v>1.1</v>
      </c>
      <c r="F40" s="101">
        <v>0.0</v>
      </c>
      <c r="G40" s="87">
        <v>0.0</v>
      </c>
      <c r="H40" s="114">
        <f t="array" ref="H40">_xlfn.XLOOKUP(A40,'Video Database'!L:L,'Video Database'!A:A,"")</f>
        <v>46181</v>
      </c>
      <c r="I40" s="103">
        <v>46201.0</v>
      </c>
      <c r="J40" s="104">
        <v>0.0</v>
      </c>
      <c r="K40" s="105"/>
      <c r="L40" s="105" t="str">
        <f t="shared" si="1"/>
        <v/>
      </c>
      <c r="O40" s="106" t="str">
        <f t="shared" si="2"/>
        <v>#N/A</v>
      </c>
      <c r="P40" s="106" t="str">
        <f t="shared" si="3"/>
        <v>#N/A</v>
      </c>
      <c r="Q40" s="84" t="str">
        <f t="shared" si="4"/>
        <v>#N/A</v>
      </c>
      <c r="R40" s="84" t="str">
        <f t="shared" si="5"/>
        <v>#N/A</v>
      </c>
      <c r="S40" s="107">
        <f t="shared" si="6"/>
        <v>-1.1</v>
      </c>
      <c r="T40" s="108">
        <f t="shared" si="7"/>
        <v>-1</v>
      </c>
      <c r="U40" s="106" t="str">
        <f t="shared" si="8"/>
        <v>#N/A</v>
      </c>
      <c r="V40" s="84" t="str">
        <f t="shared" si="9"/>
        <v/>
      </c>
      <c r="W40" s="109" t="str">
        <f t="shared" si="10"/>
        <v/>
      </c>
      <c r="X40" s="109" t="str">
        <f t="shared" si="11"/>
        <v/>
      </c>
      <c r="Y40" s="110" t="str">
        <f t="array" ref="Y40">_xlfn.XLOOKUP(A40,'Video Database'!L:L,'Video Database'!M:M,"")</f>
        <v>Bottom of Funnel</v>
      </c>
    </row>
    <row r="41" ht="22.5" customHeight="1">
      <c r="A41" s="113">
        <f t="shared" si="12"/>
        <v>40</v>
      </c>
      <c r="B41" s="98" t="str">
        <f t="array" ref="B41">_xlfn.XLOOKUP(A41,'Video Database'!L:L,'Video Database'!D:D,"")</f>
        <v>Erin</v>
      </c>
      <c r="C41" s="98" t="str">
        <f t="array" ref="C41">_xlfn.XLOOKUP(A41,'Video Database'!L:L,'Video Database'!E:E,"")</f>
        <v>Account 4</v>
      </c>
      <c r="D41" s="99" t="str">
        <f t="array" ref="D41">_xlfn.XLOOKUP(A41,'Video Database'!L:L,'Video Database'!G:G,"")</f>
        <v>Stainless Steel Gua Sha</v>
      </c>
      <c r="E41" s="100">
        <f t="array" ref="E41">_xlfn.XLOOKUP(A41,'Video Database'!L:L,'Video Database'!H:H,"")</f>
        <v>1.1</v>
      </c>
      <c r="F41" s="101">
        <v>0.0</v>
      </c>
      <c r="G41" s="87">
        <v>0.0</v>
      </c>
      <c r="H41" s="114">
        <f t="array" ref="H41">_xlfn.XLOOKUP(A41,'Video Database'!L:L,'Video Database'!A:A,"")</f>
        <v>46181</v>
      </c>
      <c r="I41" s="103">
        <v>46201.0</v>
      </c>
      <c r="J41" s="104">
        <v>0.0</v>
      </c>
      <c r="K41" s="105"/>
      <c r="L41" s="105" t="str">
        <f t="shared" si="1"/>
        <v/>
      </c>
      <c r="O41" s="106" t="str">
        <f t="shared" si="2"/>
        <v>#N/A</v>
      </c>
      <c r="P41" s="106" t="str">
        <f t="shared" si="3"/>
        <v>#N/A</v>
      </c>
      <c r="Q41" s="84" t="str">
        <f t="shared" si="4"/>
        <v>#N/A</v>
      </c>
      <c r="R41" s="84" t="str">
        <f t="shared" si="5"/>
        <v>#N/A</v>
      </c>
      <c r="S41" s="107">
        <f t="shared" si="6"/>
        <v>-1.1</v>
      </c>
      <c r="T41" s="108">
        <f t="shared" si="7"/>
        <v>-1</v>
      </c>
      <c r="U41" s="106" t="str">
        <f t="shared" si="8"/>
        <v>#N/A</v>
      </c>
      <c r="V41" s="84" t="str">
        <f t="shared" si="9"/>
        <v/>
      </c>
      <c r="W41" s="109" t="str">
        <f t="shared" si="10"/>
        <v/>
      </c>
      <c r="X41" s="109" t="str">
        <f t="shared" si="11"/>
        <v/>
      </c>
      <c r="Y41" s="110" t="str">
        <f t="array" ref="Y41">_xlfn.XLOOKUP(A41,'Video Database'!L:L,'Video Database'!M:M,"")</f>
        <v>Bottom of Funnel</v>
      </c>
    </row>
    <row r="42" ht="22.5" customHeight="1">
      <c r="A42" s="113">
        <f t="shared" si="12"/>
        <v>41</v>
      </c>
      <c r="B42" s="98" t="str">
        <f t="array" ref="B42">_xlfn.XLOOKUP(A42,'Video Database'!L:L,'Video Database'!D:D,"")</f>
        <v>Erin</v>
      </c>
      <c r="C42" s="98" t="str">
        <f t="array" ref="C42">_xlfn.XLOOKUP(A42,'Video Database'!L:L,'Video Database'!E:E,"")</f>
        <v>Account 4</v>
      </c>
      <c r="D42" s="99" t="str">
        <f t="array" ref="D42">_xlfn.XLOOKUP(A42,'Video Database'!L:L,'Video Database'!G:G,"")</f>
        <v>Stainless Steel Gua Sha</v>
      </c>
      <c r="E42" s="100">
        <f t="array" ref="E42">_xlfn.XLOOKUP(A42,'Video Database'!L:L,'Video Database'!H:H,"")</f>
        <v>1.1</v>
      </c>
      <c r="F42" s="101">
        <v>0.0</v>
      </c>
      <c r="G42" s="87">
        <v>0.0</v>
      </c>
      <c r="H42" s="114">
        <f t="array" ref="H42">_xlfn.XLOOKUP(A42,'Video Database'!L:L,'Video Database'!A:A,"")</f>
        <v>46181</v>
      </c>
      <c r="I42" s="103">
        <v>46201.0</v>
      </c>
      <c r="J42" s="104">
        <v>0.0</v>
      </c>
      <c r="K42" s="105"/>
      <c r="L42" s="105" t="str">
        <f t="shared" si="1"/>
        <v/>
      </c>
      <c r="O42" s="106" t="str">
        <f t="shared" si="2"/>
        <v>#N/A</v>
      </c>
      <c r="P42" s="106" t="str">
        <f t="shared" si="3"/>
        <v>#N/A</v>
      </c>
      <c r="Q42" s="84" t="str">
        <f t="shared" si="4"/>
        <v>#N/A</v>
      </c>
      <c r="R42" s="84" t="str">
        <f t="shared" si="5"/>
        <v>#N/A</v>
      </c>
      <c r="S42" s="107">
        <f t="shared" si="6"/>
        <v>-1.1</v>
      </c>
      <c r="T42" s="108">
        <f t="shared" si="7"/>
        <v>-1</v>
      </c>
      <c r="U42" s="106" t="str">
        <f t="shared" si="8"/>
        <v>#N/A</v>
      </c>
      <c r="V42" s="84" t="str">
        <f t="shared" si="9"/>
        <v/>
      </c>
      <c r="W42" s="109" t="str">
        <f t="shared" si="10"/>
        <v/>
      </c>
      <c r="X42" s="109" t="str">
        <f t="shared" si="11"/>
        <v/>
      </c>
      <c r="Y42" s="110" t="str">
        <f t="array" ref="Y42">_xlfn.XLOOKUP(A42,'Video Database'!L:L,'Video Database'!M:M,"")</f>
        <v>Bottom of Funnel</v>
      </c>
    </row>
    <row r="43" ht="22.5" customHeight="1">
      <c r="A43" s="113">
        <f t="shared" si="12"/>
        <v>42</v>
      </c>
      <c r="B43" s="98" t="str">
        <f t="array" ref="B43">_xlfn.XLOOKUP(A43,'Video Database'!L:L,'Video Database'!D:D,"")</f>
        <v>Erin</v>
      </c>
      <c r="C43" s="98" t="str">
        <f t="array" ref="C43">_xlfn.XLOOKUP(A43,'Video Database'!L:L,'Video Database'!E:E,"")</f>
        <v>Account 4</v>
      </c>
      <c r="D43" s="99" t="str">
        <f t="array" ref="D43">_xlfn.XLOOKUP(A43,'Video Database'!L:L,'Video Database'!G:G,"")</f>
        <v>Stainless Steel Gua Sha</v>
      </c>
      <c r="E43" s="100">
        <f t="array" ref="E43">_xlfn.XLOOKUP(A43,'Video Database'!L:L,'Video Database'!H:H,"")</f>
        <v>1.1</v>
      </c>
      <c r="F43" s="101">
        <v>0.0</v>
      </c>
      <c r="G43" s="87">
        <v>0.0</v>
      </c>
      <c r="H43" s="114">
        <f t="array" ref="H43">_xlfn.XLOOKUP(A43,'Video Database'!L:L,'Video Database'!A:A,"")</f>
        <v>46181</v>
      </c>
      <c r="I43" s="103">
        <v>46201.0</v>
      </c>
      <c r="J43" s="104">
        <v>0.0</v>
      </c>
      <c r="K43" s="105"/>
      <c r="L43" s="105" t="str">
        <f t="shared" si="1"/>
        <v/>
      </c>
      <c r="O43" s="106" t="str">
        <f t="shared" si="2"/>
        <v>#N/A</v>
      </c>
      <c r="P43" s="106" t="str">
        <f t="shared" si="3"/>
        <v>#N/A</v>
      </c>
      <c r="Q43" s="84" t="str">
        <f t="shared" si="4"/>
        <v>#N/A</v>
      </c>
      <c r="R43" s="84" t="str">
        <f t="shared" si="5"/>
        <v>#N/A</v>
      </c>
      <c r="S43" s="107">
        <f t="shared" si="6"/>
        <v>-1.1</v>
      </c>
      <c r="T43" s="108">
        <f t="shared" si="7"/>
        <v>-1</v>
      </c>
      <c r="U43" s="106" t="str">
        <f t="shared" si="8"/>
        <v>#N/A</v>
      </c>
      <c r="V43" s="84" t="str">
        <f t="shared" si="9"/>
        <v/>
      </c>
      <c r="W43" s="109" t="str">
        <f t="shared" si="10"/>
        <v/>
      </c>
      <c r="X43" s="109" t="str">
        <f t="shared" si="11"/>
        <v/>
      </c>
      <c r="Y43" s="110" t="str">
        <f t="array" ref="Y43">_xlfn.XLOOKUP(A43,'Video Database'!L:L,'Video Database'!M:M,"")</f>
        <v>Bottom of Funnel</v>
      </c>
    </row>
    <row r="44" ht="22.5" customHeight="1">
      <c r="A44" s="113">
        <f t="shared" si="12"/>
        <v>43</v>
      </c>
      <c r="B44" s="98" t="str">
        <f t="array" ref="B44">_xlfn.XLOOKUP(A44,'Video Database'!L:L,'Video Database'!D:D,"")</f>
        <v>Erin</v>
      </c>
      <c r="C44" s="98" t="str">
        <f t="array" ref="C44">_xlfn.XLOOKUP(A44,'Video Database'!L:L,'Video Database'!E:E,"")</f>
        <v>Account 4</v>
      </c>
      <c r="D44" s="99" t="str">
        <f t="array" ref="D44">_xlfn.XLOOKUP(A44,'Video Database'!L:L,'Video Database'!G:G,"")</f>
        <v>Stainless Steel Gua Sha</v>
      </c>
      <c r="E44" s="100">
        <f t="array" ref="E44">_xlfn.XLOOKUP(A44,'Video Database'!L:L,'Video Database'!H:H,"")</f>
        <v>1.1</v>
      </c>
      <c r="F44" s="101">
        <v>0.0</v>
      </c>
      <c r="G44" s="87">
        <v>0.0</v>
      </c>
      <c r="H44" s="114">
        <f t="array" ref="H44">_xlfn.XLOOKUP(A44,'Video Database'!L:L,'Video Database'!A:A,"")</f>
        <v>46181</v>
      </c>
      <c r="I44" s="103">
        <v>46201.0</v>
      </c>
      <c r="J44" s="104">
        <v>0.0</v>
      </c>
      <c r="K44" s="105"/>
      <c r="L44" s="105" t="str">
        <f t="shared" si="1"/>
        <v/>
      </c>
      <c r="O44" s="106" t="str">
        <f t="shared" si="2"/>
        <v>#N/A</v>
      </c>
      <c r="P44" s="106" t="str">
        <f t="shared" si="3"/>
        <v>#N/A</v>
      </c>
      <c r="Q44" s="84" t="str">
        <f t="shared" si="4"/>
        <v>#N/A</v>
      </c>
      <c r="R44" s="84" t="str">
        <f t="shared" si="5"/>
        <v>#N/A</v>
      </c>
      <c r="S44" s="107">
        <f t="shared" si="6"/>
        <v>-1.1</v>
      </c>
      <c r="T44" s="108">
        <f t="shared" si="7"/>
        <v>-1</v>
      </c>
      <c r="U44" s="106" t="str">
        <f t="shared" si="8"/>
        <v>#N/A</v>
      </c>
      <c r="V44" s="84" t="str">
        <f t="shared" si="9"/>
        <v/>
      </c>
      <c r="W44" s="109" t="str">
        <f t="shared" si="10"/>
        <v/>
      </c>
      <c r="X44" s="109" t="str">
        <f t="shared" si="11"/>
        <v/>
      </c>
      <c r="Y44" s="110" t="str">
        <f t="array" ref="Y44">_xlfn.XLOOKUP(A44,'Video Database'!L:L,'Video Database'!M:M,"")</f>
        <v>Bottom of Funnel</v>
      </c>
    </row>
    <row r="45" ht="22.5" customHeight="1">
      <c r="A45" s="113">
        <f t="shared" si="12"/>
        <v>44</v>
      </c>
      <c r="B45" s="98" t="str">
        <f t="array" ref="B45">_xlfn.XLOOKUP(A45,'Video Database'!L:L,'Video Database'!D:D,"")</f>
        <v>Erin</v>
      </c>
      <c r="C45" s="98" t="str">
        <f t="array" ref="C45">_xlfn.XLOOKUP(A45,'Video Database'!L:L,'Video Database'!E:E,"")</f>
        <v>Account 4</v>
      </c>
      <c r="D45" s="99" t="str">
        <f t="array" ref="D45">_xlfn.XLOOKUP(A45,'Video Database'!L:L,'Video Database'!G:G,"")</f>
        <v>Stainless Steel Gua Sha</v>
      </c>
      <c r="E45" s="100">
        <f t="array" ref="E45">_xlfn.XLOOKUP(A45,'Video Database'!L:L,'Video Database'!H:H,"")</f>
        <v>1.1</v>
      </c>
      <c r="F45" s="101">
        <v>0.0</v>
      </c>
      <c r="G45" s="87">
        <v>0.0</v>
      </c>
      <c r="H45" s="114">
        <f t="array" ref="H45">_xlfn.XLOOKUP(A45,'Video Database'!L:L,'Video Database'!A:A,"")</f>
        <v>46181</v>
      </c>
      <c r="I45" s="103">
        <v>46201.0</v>
      </c>
      <c r="J45" s="104">
        <v>0.0</v>
      </c>
      <c r="K45" s="105"/>
      <c r="L45" s="105" t="str">
        <f t="shared" si="1"/>
        <v/>
      </c>
      <c r="O45" s="106" t="str">
        <f t="shared" si="2"/>
        <v>#N/A</v>
      </c>
      <c r="P45" s="106" t="str">
        <f t="shared" si="3"/>
        <v>#N/A</v>
      </c>
      <c r="Q45" s="84" t="str">
        <f t="shared" si="4"/>
        <v>#N/A</v>
      </c>
      <c r="R45" s="84" t="str">
        <f t="shared" si="5"/>
        <v>#N/A</v>
      </c>
      <c r="S45" s="107">
        <f t="shared" si="6"/>
        <v>-1.1</v>
      </c>
      <c r="T45" s="108">
        <f t="shared" si="7"/>
        <v>-1</v>
      </c>
      <c r="U45" s="106" t="str">
        <f t="shared" si="8"/>
        <v>#N/A</v>
      </c>
      <c r="V45" s="84" t="str">
        <f t="shared" si="9"/>
        <v/>
      </c>
      <c r="W45" s="109" t="str">
        <f t="shared" si="10"/>
        <v/>
      </c>
      <c r="X45" s="109" t="str">
        <f t="shared" si="11"/>
        <v/>
      </c>
      <c r="Y45" s="110" t="str">
        <f t="array" ref="Y45">_xlfn.XLOOKUP(A45,'Video Database'!L:L,'Video Database'!M:M,"")</f>
        <v>Bottom of Funnel</v>
      </c>
    </row>
    <row r="46" ht="22.5" customHeight="1">
      <c r="A46" s="113">
        <f t="shared" si="12"/>
        <v>45</v>
      </c>
      <c r="B46" s="98" t="str">
        <f t="array" ref="B46">_xlfn.XLOOKUP(A46,'Video Database'!L:L,'Video Database'!D:D,"")</f>
        <v>Erin</v>
      </c>
      <c r="C46" s="98" t="str">
        <f t="array" ref="C46">_xlfn.XLOOKUP(A46,'Video Database'!L:L,'Video Database'!E:E,"")</f>
        <v>Account 4</v>
      </c>
      <c r="D46" s="99" t="str">
        <f t="array" ref="D46">_xlfn.XLOOKUP(A46,'Video Database'!L:L,'Video Database'!G:G,"")</f>
        <v>Stainless Steel Gua Sha</v>
      </c>
      <c r="E46" s="100">
        <f t="array" ref="E46">_xlfn.XLOOKUP(A46,'Video Database'!L:L,'Video Database'!H:H,"")</f>
        <v>1.1</v>
      </c>
      <c r="F46" s="101">
        <v>0.0</v>
      </c>
      <c r="G46" s="87">
        <v>0.0</v>
      </c>
      <c r="H46" s="114">
        <f t="array" ref="H46">_xlfn.XLOOKUP(A46,'Video Database'!L:L,'Video Database'!A:A,"")</f>
        <v>46181</v>
      </c>
      <c r="I46" s="103">
        <v>46201.0</v>
      </c>
      <c r="J46" s="104">
        <v>0.0</v>
      </c>
      <c r="K46" s="105"/>
      <c r="L46" s="105" t="str">
        <f t="shared" si="1"/>
        <v/>
      </c>
      <c r="O46" s="106" t="str">
        <f t="shared" si="2"/>
        <v>#N/A</v>
      </c>
      <c r="P46" s="106" t="str">
        <f t="shared" si="3"/>
        <v>#N/A</v>
      </c>
      <c r="Q46" s="84" t="str">
        <f t="shared" si="4"/>
        <v>#N/A</v>
      </c>
      <c r="R46" s="84" t="str">
        <f t="shared" si="5"/>
        <v>#N/A</v>
      </c>
      <c r="S46" s="107">
        <f t="shared" si="6"/>
        <v>-1.1</v>
      </c>
      <c r="T46" s="108">
        <f t="shared" si="7"/>
        <v>-1</v>
      </c>
      <c r="U46" s="106" t="str">
        <f t="shared" si="8"/>
        <v>#N/A</v>
      </c>
      <c r="V46" s="84" t="str">
        <f t="shared" si="9"/>
        <v/>
      </c>
      <c r="W46" s="109" t="str">
        <f t="shared" si="10"/>
        <v/>
      </c>
      <c r="X46" s="109" t="str">
        <f t="shared" si="11"/>
        <v/>
      </c>
      <c r="Y46" s="110" t="str">
        <f t="array" ref="Y46">_xlfn.XLOOKUP(A46,'Video Database'!L:L,'Video Database'!M:M,"")</f>
        <v>Bottom of Funnel</v>
      </c>
    </row>
    <row r="47" ht="22.5" customHeight="1">
      <c r="A47" s="113">
        <f t="shared" si="12"/>
        <v>46</v>
      </c>
      <c r="B47" s="98" t="str">
        <f t="array" ref="B47">_xlfn.XLOOKUP(A47,'Video Database'!L:L,'Video Database'!D:D,"")</f>
        <v>Erin</v>
      </c>
      <c r="C47" s="98" t="str">
        <f t="array" ref="C47">_xlfn.XLOOKUP(A47,'Video Database'!L:L,'Video Database'!E:E,"")</f>
        <v>Account 4</v>
      </c>
      <c r="D47" s="99" t="str">
        <f t="array" ref="D47">_xlfn.XLOOKUP(A47,'Video Database'!L:L,'Video Database'!G:G,"")</f>
        <v>Stainless Steel Gua Sha</v>
      </c>
      <c r="E47" s="100">
        <f t="array" ref="E47">_xlfn.XLOOKUP(A47,'Video Database'!L:L,'Video Database'!H:H,"")</f>
        <v>1.1</v>
      </c>
      <c r="F47" s="101">
        <v>17.16</v>
      </c>
      <c r="G47" s="87">
        <v>1.0</v>
      </c>
      <c r="H47" s="114">
        <f t="array" ref="H47">_xlfn.XLOOKUP(A47,'Video Database'!L:L,'Video Database'!A:A,"")</f>
        <v>46181</v>
      </c>
      <c r="I47" s="103">
        <v>46201.0</v>
      </c>
      <c r="J47" s="104">
        <v>1.04</v>
      </c>
      <c r="K47" s="87">
        <v>3.0</v>
      </c>
      <c r="L47" s="105">
        <f t="shared" si="1"/>
        <v>100</v>
      </c>
      <c r="M47" s="87">
        <v>100.0</v>
      </c>
      <c r="O47" s="106">
        <f t="shared" si="2"/>
        <v>0.03</v>
      </c>
      <c r="P47" s="106">
        <f t="shared" si="3"/>
        <v>0.3333333333</v>
      </c>
      <c r="Q47" s="84">
        <f t="shared" si="4"/>
        <v>1.04</v>
      </c>
      <c r="R47" s="84">
        <f t="shared" si="5"/>
        <v>17.16</v>
      </c>
      <c r="S47" s="107">
        <f t="shared" si="6"/>
        <v>-0.06</v>
      </c>
      <c r="T47" s="108">
        <f t="shared" si="7"/>
        <v>-0.05454545455</v>
      </c>
      <c r="U47" s="106">
        <f t="shared" si="8"/>
        <v>-0.05769230769</v>
      </c>
      <c r="V47" s="129">
        <f t="shared" si="9"/>
        <v>1.1</v>
      </c>
      <c r="W47" s="109">
        <f t="shared" si="10"/>
        <v>0.3666666667</v>
      </c>
      <c r="X47" s="109">
        <f t="shared" si="11"/>
        <v>6.41025641</v>
      </c>
      <c r="Y47" s="110" t="str">
        <f t="array" ref="Y47">_xlfn.XLOOKUP(A47,'Video Database'!L:L,'Video Database'!M:M,"")</f>
        <v>Bottom of Funnel</v>
      </c>
    </row>
    <row r="48" ht="22.5" customHeight="1">
      <c r="A48" s="113">
        <f t="shared" si="12"/>
        <v>47</v>
      </c>
      <c r="B48" s="98" t="str">
        <f t="array" ref="B48">_xlfn.XLOOKUP(A48,'Video Database'!L:L,'Video Database'!D:D,"")</f>
        <v>Erin</v>
      </c>
      <c r="C48" s="98" t="str">
        <f t="array" ref="C48">_xlfn.XLOOKUP(A48,'Video Database'!L:L,'Video Database'!E:E,"")</f>
        <v>Account 4</v>
      </c>
      <c r="D48" s="99" t="str">
        <f t="array" ref="D48">_xlfn.XLOOKUP(A48,'Video Database'!L:L,'Video Database'!G:G,"")</f>
        <v>Stainless Steel Gua Sha</v>
      </c>
      <c r="E48" s="100">
        <f t="array" ref="E48">_xlfn.XLOOKUP(A48,'Video Database'!L:L,'Video Database'!H:H,"")</f>
        <v>1.1</v>
      </c>
      <c r="F48" s="101">
        <v>0.0</v>
      </c>
      <c r="G48" s="87">
        <v>0.0</v>
      </c>
      <c r="H48" s="114">
        <f t="array" ref="H48">_xlfn.XLOOKUP(A48,'Video Database'!L:L,'Video Database'!A:A,"")</f>
        <v>46182</v>
      </c>
      <c r="I48" s="103">
        <v>46201.0</v>
      </c>
      <c r="J48" s="104">
        <v>0.0</v>
      </c>
      <c r="K48" s="105"/>
      <c r="L48" s="105" t="str">
        <f t="shared" si="1"/>
        <v/>
      </c>
      <c r="O48" s="106" t="str">
        <f t="shared" si="2"/>
        <v>#N/A</v>
      </c>
      <c r="P48" s="106" t="str">
        <f t="shared" si="3"/>
        <v>#N/A</v>
      </c>
      <c r="Q48" s="84" t="str">
        <f t="shared" si="4"/>
        <v>#N/A</v>
      </c>
      <c r="R48" s="84" t="str">
        <f t="shared" si="5"/>
        <v>#N/A</v>
      </c>
      <c r="S48" s="107">
        <f t="shared" si="6"/>
        <v>-1.1</v>
      </c>
      <c r="T48" s="108">
        <f t="shared" si="7"/>
        <v>-1</v>
      </c>
      <c r="U48" s="106" t="str">
        <f t="shared" si="8"/>
        <v>#N/A</v>
      </c>
      <c r="V48" s="84" t="str">
        <f t="shared" si="9"/>
        <v/>
      </c>
      <c r="W48" s="109" t="str">
        <f t="shared" si="10"/>
        <v/>
      </c>
      <c r="X48" s="109" t="str">
        <f t="shared" si="11"/>
        <v/>
      </c>
      <c r="Y48" s="110" t="str">
        <f t="array" ref="Y48">_xlfn.XLOOKUP(A48,'Video Database'!L:L,'Video Database'!M:M,"")</f>
        <v>Bottom of Funnel</v>
      </c>
    </row>
    <row r="49" ht="22.5" customHeight="1">
      <c r="A49" s="113">
        <f t="shared" si="12"/>
        <v>48</v>
      </c>
      <c r="B49" s="98" t="str">
        <f t="array" ref="B49">_xlfn.XLOOKUP(A49,'Video Database'!L:L,'Video Database'!D:D,"")</f>
        <v>Erin</v>
      </c>
      <c r="C49" s="98" t="str">
        <f t="array" ref="C49">_xlfn.XLOOKUP(A49,'Video Database'!L:L,'Video Database'!E:E,"")</f>
        <v>Account 4</v>
      </c>
      <c r="D49" s="99" t="str">
        <f t="array" ref="D49">_xlfn.XLOOKUP(A49,'Video Database'!L:L,'Video Database'!G:G,"")</f>
        <v>Stainless Steel Gua Sha</v>
      </c>
      <c r="E49" s="100">
        <f t="array" ref="E49">_xlfn.XLOOKUP(A49,'Video Database'!L:L,'Video Database'!H:H,"")</f>
        <v>1.1</v>
      </c>
      <c r="F49" s="101">
        <v>0.0</v>
      </c>
      <c r="G49" s="87">
        <v>0.0</v>
      </c>
      <c r="H49" s="114">
        <f t="array" ref="H49">_xlfn.XLOOKUP(A49,'Video Database'!L:L,'Video Database'!A:A,"")</f>
        <v>46182</v>
      </c>
      <c r="I49" s="103">
        <v>46201.0</v>
      </c>
      <c r="J49" s="104">
        <v>0.0</v>
      </c>
      <c r="K49" s="105"/>
      <c r="L49" s="105" t="str">
        <f t="shared" si="1"/>
        <v/>
      </c>
      <c r="O49" s="106" t="str">
        <f t="shared" si="2"/>
        <v>#N/A</v>
      </c>
      <c r="P49" s="106" t="str">
        <f t="shared" si="3"/>
        <v>#N/A</v>
      </c>
      <c r="Q49" s="84" t="str">
        <f t="shared" si="4"/>
        <v>#N/A</v>
      </c>
      <c r="R49" s="84" t="str">
        <f t="shared" si="5"/>
        <v>#N/A</v>
      </c>
      <c r="S49" s="107">
        <f t="shared" si="6"/>
        <v>-1.1</v>
      </c>
      <c r="T49" s="108">
        <f t="shared" si="7"/>
        <v>-1</v>
      </c>
      <c r="U49" s="106" t="str">
        <f t="shared" si="8"/>
        <v>#N/A</v>
      </c>
      <c r="V49" s="84" t="str">
        <f t="shared" si="9"/>
        <v/>
      </c>
      <c r="W49" s="109" t="str">
        <f t="shared" si="10"/>
        <v/>
      </c>
      <c r="X49" s="109" t="str">
        <f t="shared" si="11"/>
        <v/>
      </c>
      <c r="Y49" s="110" t="str">
        <f t="array" ref="Y49">_xlfn.XLOOKUP(A49,'Video Database'!L:L,'Video Database'!M:M,"")</f>
        <v>Bottom of Funnel</v>
      </c>
    </row>
    <row r="50" ht="22.5" customHeight="1">
      <c r="A50" s="113">
        <f t="shared" si="12"/>
        <v>49</v>
      </c>
      <c r="B50" s="98" t="str">
        <f t="array" ref="B50">_xlfn.XLOOKUP(A50,'Video Database'!L:L,'Video Database'!D:D,"")</f>
        <v>Erin</v>
      </c>
      <c r="C50" s="98" t="str">
        <f t="array" ref="C50">_xlfn.XLOOKUP(A50,'Video Database'!L:L,'Video Database'!E:E,"")</f>
        <v>Account 4</v>
      </c>
      <c r="D50" s="99" t="str">
        <f t="array" ref="D50">_xlfn.XLOOKUP(A50,'Video Database'!L:L,'Video Database'!G:G,"")</f>
        <v>Stainless Steel Gua Sha</v>
      </c>
      <c r="E50" s="100">
        <f t="array" ref="E50">_xlfn.XLOOKUP(A50,'Video Database'!L:L,'Video Database'!H:H,"")</f>
        <v>1.1</v>
      </c>
      <c r="F50" s="101">
        <v>0.0</v>
      </c>
      <c r="G50" s="87">
        <v>0.0</v>
      </c>
      <c r="H50" s="114">
        <f t="array" ref="H50">_xlfn.XLOOKUP(A50,'Video Database'!L:L,'Video Database'!A:A,"")</f>
        <v>46182</v>
      </c>
      <c r="I50" s="103">
        <v>46201.0</v>
      </c>
      <c r="J50" s="104">
        <v>0.0</v>
      </c>
      <c r="K50" s="105"/>
      <c r="L50" s="105" t="str">
        <f t="shared" si="1"/>
        <v/>
      </c>
      <c r="O50" s="106" t="str">
        <f t="shared" si="2"/>
        <v>#N/A</v>
      </c>
      <c r="P50" s="106" t="str">
        <f t="shared" si="3"/>
        <v>#N/A</v>
      </c>
      <c r="Q50" s="84" t="str">
        <f t="shared" si="4"/>
        <v>#N/A</v>
      </c>
      <c r="R50" s="84" t="str">
        <f t="shared" si="5"/>
        <v>#N/A</v>
      </c>
      <c r="S50" s="107">
        <f t="shared" si="6"/>
        <v>-1.1</v>
      </c>
      <c r="T50" s="108">
        <f t="shared" si="7"/>
        <v>-1</v>
      </c>
      <c r="U50" s="106" t="str">
        <f t="shared" si="8"/>
        <v>#N/A</v>
      </c>
      <c r="V50" s="84" t="str">
        <f t="shared" si="9"/>
        <v/>
      </c>
      <c r="W50" s="109" t="str">
        <f t="shared" si="10"/>
        <v/>
      </c>
      <c r="X50" s="109" t="str">
        <f t="shared" si="11"/>
        <v/>
      </c>
      <c r="Y50" s="110" t="str">
        <f t="array" ref="Y50">_xlfn.XLOOKUP(A50,'Video Database'!L:L,'Video Database'!M:M,"")</f>
        <v>Bottom of Funnel</v>
      </c>
    </row>
    <row r="51" ht="22.5" customHeight="1">
      <c r="A51" s="113">
        <f t="shared" si="12"/>
        <v>50</v>
      </c>
      <c r="B51" s="98" t="str">
        <f t="array" ref="B51">_xlfn.XLOOKUP(A51,'Video Database'!L:L,'Video Database'!D:D,"")</f>
        <v>Erin</v>
      </c>
      <c r="C51" s="98" t="str">
        <f t="array" ref="C51">_xlfn.XLOOKUP(A51,'Video Database'!L:L,'Video Database'!E:E,"")</f>
        <v>Account 4</v>
      </c>
      <c r="D51" s="99" t="str">
        <f t="array" ref="D51">_xlfn.XLOOKUP(A51,'Video Database'!L:L,'Video Database'!G:G,"")</f>
        <v>Stainless Steel Gua Sha</v>
      </c>
      <c r="E51" s="100">
        <f t="array" ref="E51">_xlfn.XLOOKUP(A51,'Video Database'!L:L,'Video Database'!H:H,"")</f>
        <v>1.1</v>
      </c>
      <c r="F51" s="101">
        <v>0.0</v>
      </c>
      <c r="G51" s="87">
        <v>0.0</v>
      </c>
      <c r="H51" s="114">
        <f t="array" ref="H51">_xlfn.XLOOKUP(A51,'Video Database'!L:L,'Video Database'!A:A,"")</f>
        <v>46182</v>
      </c>
      <c r="I51" s="103">
        <v>46201.0</v>
      </c>
      <c r="J51" s="104">
        <v>0.0</v>
      </c>
      <c r="K51" s="105"/>
      <c r="L51" s="105" t="str">
        <f t="shared" si="1"/>
        <v/>
      </c>
      <c r="O51" s="106" t="str">
        <f t="shared" si="2"/>
        <v>#N/A</v>
      </c>
      <c r="P51" s="106" t="str">
        <f t="shared" si="3"/>
        <v>#N/A</v>
      </c>
      <c r="Q51" s="84" t="str">
        <f t="shared" si="4"/>
        <v>#N/A</v>
      </c>
      <c r="R51" s="84" t="str">
        <f t="shared" si="5"/>
        <v>#N/A</v>
      </c>
      <c r="S51" s="107">
        <f t="shared" si="6"/>
        <v>-1.1</v>
      </c>
      <c r="T51" s="108">
        <f t="shared" si="7"/>
        <v>-1</v>
      </c>
      <c r="U51" s="106" t="str">
        <f t="shared" si="8"/>
        <v>#N/A</v>
      </c>
      <c r="V51" s="84" t="str">
        <f t="shared" si="9"/>
        <v/>
      </c>
      <c r="W51" s="109" t="str">
        <f t="shared" si="10"/>
        <v/>
      </c>
      <c r="X51" s="109" t="str">
        <f t="shared" si="11"/>
        <v/>
      </c>
      <c r="Y51" s="110" t="str">
        <f t="array" ref="Y51">_xlfn.XLOOKUP(A51,'Video Database'!L:L,'Video Database'!M:M,"")</f>
        <v>Bottom of Funnel</v>
      </c>
    </row>
    <row r="52" ht="22.5" customHeight="1">
      <c r="A52" s="113">
        <f t="shared" si="12"/>
        <v>51</v>
      </c>
      <c r="B52" s="98" t="str">
        <f t="array" ref="B52">_xlfn.XLOOKUP(A52,'Video Database'!L:L,'Video Database'!D:D,"")</f>
        <v>Erin</v>
      </c>
      <c r="C52" s="98" t="str">
        <f t="array" ref="C52">_xlfn.XLOOKUP(A52,'Video Database'!L:L,'Video Database'!E:E,"")</f>
        <v>Account 4</v>
      </c>
      <c r="D52" s="99" t="str">
        <f t="array" ref="D52">_xlfn.XLOOKUP(A52,'Video Database'!L:L,'Video Database'!G:G,"")</f>
        <v>Stainless Steel Gua Sha</v>
      </c>
      <c r="E52" s="100">
        <f t="array" ref="E52">_xlfn.XLOOKUP(A52,'Video Database'!L:L,'Video Database'!H:H,"")</f>
        <v>1.1</v>
      </c>
      <c r="F52" s="101">
        <v>0.0</v>
      </c>
      <c r="G52" s="87">
        <v>0.0</v>
      </c>
      <c r="H52" s="114">
        <f t="array" ref="H52">_xlfn.XLOOKUP(A52,'Video Database'!L:L,'Video Database'!A:A,"")</f>
        <v>46182</v>
      </c>
      <c r="I52" s="103">
        <v>46201.0</v>
      </c>
      <c r="J52" s="104">
        <v>0.0</v>
      </c>
      <c r="K52" s="105"/>
      <c r="L52" s="105" t="str">
        <f t="shared" si="1"/>
        <v/>
      </c>
      <c r="O52" s="106" t="str">
        <f t="shared" si="2"/>
        <v>#N/A</v>
      </c>
      <c r="P52" s="106" t="str">
        <f t="shared" si="3"/>
        <v>#N/A</v>
      </c>
      <c r="Q52" s="84" t="str">
        <f t="shared" si="4"/>
        <v>#N/A</v>
      </c>
      <c r="R52" s="84" t="str">
        <f t="shared" si="5"/>
        <v>#N/A</v>
      </c>
      <c r="S52" s="107">
        <f t="shared" si="6"/>
        <v>-1.1</v>
      </c>
      <c r="T52" s="108">
        <f t="shared" si="7"/>
        <v>-1</v>
      </c>
      <c r="U52" s="106" t="str">
        <f t="shared" si="8"/>
        <v>#N/A</v>
      </c>
      <c r="V52" s="84" t="str">
        <f t="shared" si="9"/>
        <v/>
      </c>
      <c r="W52" s="109" t="str">
        <f t="shared" si="10"/>
        <v/>
      </c>
      <c r="X52" s="109" t="str">
        <f t="shared" si="11"/>
        <v/>
      </c>
      <c r="Y52" s="110" t="str">
        <f t="array" ref="Y52">_xlfn.XLOOKUP(A52,'Video Database'!L:L,'Video Database'!M:M,"")</f>
        <v>Bottom of Funnel</v>
      </c>
    </row>
    <row r="53" ht="22.5" customHeight="1">
      <c r="A53" s="113">
        <f t="shared" si="12"/>
        <v>52</v>
      </c>
      <c r="B53" s="98" t="str">
        <f t="array" ref="B53">_xlfn.XLOOKUP(A53,'Video Database'!L:L,'Video Database'!D:D,"")</f>
        <v>Erin</v>
      </c>
      <c r="C53" s="98" t="str">
        <f t="array" ref="C53">_xlfn.XLOOKUP(A53,'Video Database'!L:L,'Video Database'!E:E,"")</f>
        <v>Account 4</v>
      </c>
      <c r="D53" s="99" t="str">
        <f t="array" ref="D53">_xlfn.XLOOKUP(A53,'Video Database'!L:L,'Video Database'!G:G,"")</f>
        <v>Stainless Steel Gua Sha</v>
      </c>
      <c r="E53" s="100">
        <f t="array" ref="E53">_xlfn.XLOOKUP(A53,'Video Database'!L:L,'Video Database'!H:H,"")</f>
        <v>1.1</v>
      </c>
      <c r="F53" s="101">
        <v>0.0</v>
      </c>
      <c r="G53" s="87">
        <v>0.0</v>
      </c>
      <c r="H53" s="114">
        <f t="array" ref="H53">_xlfn.XLOOKUP(A53,'Video Database'!L:L,'Video Database'!A:A,"")</f>
        <v>46182</v>
      </c>
      <c r="I53" s="103">
        <v>46201.0</v>
      </c>
      <c r="J53" s="104">
        <v>0.0</v>
      </c>
      <c r="K53" s="105"/>
      <c r="L53" s="105" t="str">
        <f t="shared" si="1"/>
        <v/>
      </c>
      <c r="O53" s="106" t="str">
        <f t="shared" si="2"/>
        <v>#N/A</v>
      </c>
      <c r="P53" s="106" t="str">
        <f t="shared" si="3"/>
        <v>#N/A</v>
      </c>
      <c r="Q53" s="84" t="str">
        <f t="shared" si="4"/>
        <v>#N/A</v>
      </c>
      <c r="R53" s="84" t="str">
        <f t="shared" si="5"/>
        <v>#N/A</v>
      </c>
      <c r="S53" s="107">
        <f t="shared" si="6"/>
        <v>-1.1</v>
      </c>
      <c r="T53" s="108">
        <f t="shared" si="7"/>
        <v>-1</v>
      </c>
      <c r="U53" s="106" t="str">
        <f t="shared" si="8"/>
        <v>#N/A</v>
      </c>
      <c r="V53" s="84" t="str">
        <f t="shared" si="9"/>
        <v/>
      </c>
      <c r="W53" s="109" t="str">
        <f t="shared" si="10"/>
        <v/>
      </c>
      <c r="X53" s="109" t="str">
        <f t="shared" si="11"/>
        <v/>
      </c>
      <c r="Y53" s="110" t="str">
        <f t="array" ref="Y53">_xlfn.XLOOKUP(A53,'Video Database'!L:L,'Video Database'!M:M,"")</f>
        <v>Bottom of Funnel</v>
      </c>
    </row>
    <row r="54" ht="22.5" customHeight="1">
      <c r="A54" s="113">
        <f t="shared" si="12"/>
        <v>53</v>
      </c>
      <c r="B54" s="98" t="str">
        <f t="array" ref="B54">_xlfn.XLOOKUP(A54,'Video Database'!L:L,'Video Database'!D:D,"")</f>
        <v>Erin</v>
      </c>
      <c r="C54" s="98" t="str">
        <f t="array" ref="C54">_xlfn.XLOOKUP(A54,'Video Database'!L:L,'Video Database'!E:E,"")</f>
        <v>Account 4</v>
      </c>
      <c r="D54" s="99" t="str">
        <f t="array" ref="D54">_xlfn.XLOOKUP(A54,'Video Database'!L:L,'Video Database'!G:G,"")</f>
        <v>Stainless Steel Gua Sha</v>
      </c>
      <c r="E54" s="100">
        <f t="array" ref="E54">_xlfn.XLOOKUP(A54,'Video Database'!L:L,'Video Database'!H:H,"")</f>
        <v>1.1</v>
      </c>
      <c r="F54" s="101">
        <v>0.0</v>
      </c>
      <c r="G54" s="87">
        <v>0.0</v>
      </c>
      <c r="H54" s="114">
        <f t="array" ref="H54">_xlfn.XLOOKUP(A54,'Video Database'!L:L,'Video Database'!A:A,"")</f>
        <v>46182</v>
      </c>
      <c r="I54" s="103">
        <v>46201.0</v>
      </c>
      <c r="J54" s="104">
        <v>0.0</v>
      </c>
      <c r="K54" s="105"/>
      <c r="L54" s="105" t="str">
        <f t="shared" si="1"/>
        <v/>
      </c>
      <c r="O54" s="106" t="str">
        <f t="shared" si="2"/>
        <v>#N/A</v>
      </c>
      <c r="P54" s="106" t="str">
        <f t="shared" si="3"/>
        <v>#N/A</v>
      </c>
      <c r="Q54" s="84" t="str">
        <f t="shared" si="4"/>
        <v>#N/A</v>
      </c>
      <c r="R54" s="84" t="str">
        <f t="shared" si="5"/>
        <v>#N/A</v>
      </c>
      <c r="S54" s="107">
        <f t="shared" si="6"/>
        <v>-1.1</v>
      </c>
      <c r="T54" s="108">
        <f t="shared" si="7"/>
        <v>-1</v>
      </c>
      <c r="U54" s="106" t="str">
        <f t="shared" si="8"/>
        <v>#N/A</v>
      </c>
      <c r="V54" s="84" t="str">
        <f t="shared" si="9"/>
        <v/>
      </c>
      <c r="W54" s="109" t="str">
        <f t="shared" si="10"/>
        <v/>
      </c>
      <c r="X54" s="109" t="str">
        <f t="shared" si="11"/>
        <v/>
      </c>
      <c r="Y54" s="110" t="str">
        <f t="array" ref="Y54">_xlfn.XLOOKUP(A54,'Video Database'!L:L,'Video Database'!M:M,"")</f>
        <v>Bottom of Funnel</v>
      </c>
    </row>
    <row r="55" ht="22.5" customHeight="1">
      <c r="A55" s="113">
        <f t="shared" si="12"/>
        <v>54</v>
      </c>
      <c r="B55" s="98" t="str">
        <f t="array" ref="B55">_xlfn.XLOOKUP(A55,'Video Database'!L:L,'Video Database'!D:D,"")</f>
        <v>Erin</v>
      </c>
      <c r="C55" s="98" t="str">
        <f t="array" ref="C55">_xlfn.XLOOKUP(A55,'Video Database'!L:L,'Video Database'!E:E,"")</f>
        <v>Account 4</v>
      </c>
      <c r="D55" s="99" t="str">
        <f t="array" ref="D55">_xlfn.XLOOKUP(A55,'Video Database'!L:L,'Video Database'!G:G,"")</f>
        <v>Stainless Steel Gua Sha</v>
      </c>
      <c r="E55" s="100">
        <f t="array" ref="E55">_xlfn.XLOOKUP(A55,'Video Database'!L:L,'Video Database'!H:H,"")</f>
        <v>1.1</v>
      </c>
      <c r="F55" s="101">
        <v>0.0</v>
      </c>
      <c r="G55" s="87">
        <v>0.0</v>
      </c>
      <c r="H55" s="114">
        <f t="array" ref="H55">_xlfn.XLOOKUP(A55,'Video Database'!L:L,'Video Database'!A:A,"")</f>
        <v>46182</v>
      </c>
      <c r="I55" s="103">
        <v>46201.0</v>
      </c>
      <c r="J55" s="104">
        <v>0.0</v>
      </c>
      <c r="K55" s="105"/>
      <c r="L55" s="105" t="str">
        <f t="shared" si="1"/>
        <v/>
      </c>
      <c r="O55" s="106" t="str">
        <f t="shared" si="2"/>
        <v>#N/A</v>
      </c>
      <c r="P55" s="106" t="str">
        <f t="shared" si="3"/>
        <v>#N/A</v>
      </c>
      <c r="Q55" s="84" t="str">
        <f t="shared" si="4"/>
        <v>#N/A</v>
      </c>
      <c r="R55" s="84" t="str">
        <f t="shared" si="5"/>
        <v>#N/A</v>
      </c>
      <c r="S55" s="107">
        <f t="shared" si="6"/>
        <v>-1.1</v>
      </c>
      <c r="T55" s="108">
        <f t="shared" si="7"/>
        <v>-1</v>
      </c>
      <c r="U55" s="106" t="str">
        <f t="shared" si="8"/>
        <v>#N/A</v>
      </c>
      <c r="V55" s="84" t="str">
        <f t="shared" si="9"/>
        <v/>
      </c>
      <c r="W55" s="109" t="str">
        <f t="shared" si="10"/>
        <v/>
      </c>
      <c r="X55" s="109" t="str">
        <f t="shared" si="11"/>
        <v/>
      </c>
      <c r="Y55" s="110" t="str">
        <f t="array" ref="Y55">_xlfn.XLOOKUP(A55,'Video Database'!L:L,'Video Database'!M:M,"")</f>
        <v>Bottom of Funnel</v>
      </c>
    </row>
    <row r="56" ht="22.5" customHeight="1">
      <c r="A56" s="113">
        <f t="shared" si="12"/>
        <v>55</v>
      </c>
      <c r="B56" s="98" t="str">
        <f t="array" ref="B56">_xlfn.XLOOKUP(A56,'Video Database'!L:L,'Video Database'!D:D,"")</f>
        <v>Erin</v>
      </c>
      <c r="C56" s="98" t="str">
        <f t="array" ref="C56">_xlfn.XLOOKUP(A56,'Video Database'!L:L,'Video Database'!E:E,"")</f>
        <v>Account 4</v>
      </c>
      <c r="D56" s="99" t="str">
        <f t="array" ref="D56">_xlfn.XLOOKUP(A56,'Video Database'!L:L,'Video Database'!G:G,"")</f>
        <v>Stainless Steel Gua Sha</v>
      </c>
      <c r="E56" s="100">
        <f t="array" ref="E56">_xlfn.XLOOKUP(A56,'Video Database'!L:L,'Video Database'!H:H,"")</f>
        <v>1.1</v>
      </c>
      <c r="F56" s="101">
        <v>0.0</v>
      </c>
      <c r="G56" s="87">
        <v>0.0</v>
      </c>
      <c r="H56" s="114">
        <f t="array" ref="H56">_xlfn.XLOOKUP(A56,'Video Database'!L:L,'Video Database'!A:A,"")</f>
        <v>46182</v>
      </c>
      <c r="I56" s="103">
        <v>46201.0</v>
      </c>
      <c r="J56" s="104">
        <v>0.0</v>
      </c>
      <c r="K56" s="105"/>
      <c r="L56" s="105" t="str">
        <f t="shared" si="1"/>
        <v/>
      </c>
      <c r="O56" s="106" t="str">
        <f t="shared" si="2"/>
        <v>#N/A</v>
      </c>
      <c r="P56" s="106" t="str">
        <f t="shared" si="3"/>
        <v>#N/A</v>
      </c>
      <c r="Q56" s="84" t="str">
        <f t="shared" si="4"/>
        <v>#N/A</v>
      </c>
      <c r="R56" s="84" t="str">
        <f t="shared" si="5"/>
        <v>#N/A</v>
      </c>
      <c r="S56" s="107">
        <f t="shared" si="6"/>
        <v>-1.1</v>
      </c>
      <c r="T56" s="108">
        <f t="shared" si="7"/>
        <v>-1</v>
      </c>
      <c r="U56" s="106" t="str">
        <f t="shared" si="8"/>
        <v>#N/A</v>
      </c>
      <c r="V56" s="84" t="str">
        <f t="shared" si="9"/>
        <v/>
      </c>
      <c r="W56" s="109" t="str">
        <f t="shared" si="10"/>
        <v/>
      </c>
      <c r="X56" s="109" t="str">
        <f t="shared" si="11"/>
        <v/>
      </c>
      <c r="Y56" s="110" t="str">
        <f t="array" ref="Y56">_xlfn.XLOOKUP(A56,'Video Database'!L:L,'Video Database'!M:M,"")</f>
        <v>Bottom of Funnel</v>
      </c>
    </row>
    <row r="57" ht="22.5" customHeight="1">
      <c r="A57" s="113">
        <f t="shared" si="12"/>
        <v>56</v>
      </c>
      <c r="B57" s="98" t="str">
        <f t="array" ref="B57">_xlfn.XLOOKUP(A57,'Video Database'!L:L,'Video Database'!D:D,"")</f>
        <v>Erin</v>
      </c>
      <c r="C57" s="98" t="str">
        <f t="array" ref="C57">_xlfn.XLOOKUP(A57,'Video Database'!L:L,'Video Database'!E:E,"")</f>
        <v>Account 4</v>
      </c>
      <c r="D57" s="99" t="str">
        <f t="array" ref="D57">_xlfn.XLOOKUP(A57,'Video Database'!L:L,'Video Database'!G:G,"")</f>
        <v>Stainless Steel Gua Sha</v>
      </c>
      <c r="E57" s="100">
        <f t="array" ref="E57">_xlfn.XLOOKUP(A57,'Video Database'!L:L,'Video Database'!H:H,"")</f>
        <v>1.1</v>
      </c>
      <c r="F57" s="101">
        <v>0.0</v>
      </c>
      <c r="G57" s="87">
        <v>0.0</v>
      </c>
      <c r="H57" s="114">
        <f t="array" ref="H57">_xlfn.XLOOKUP(A57,'Video Database'!L:L,'Video Database'!A:A,"")</f>
        <v>46182</v>
      </c>
      <c r="I57" s="103">
        <v>46201.0</v>
      </c>
      <c r="J57" s="104">
        <v>0.0</v>
      </c>
      <c r="K57" s="105"/>
      <c r="L57" s="105" t="str">
        <f t="shared" si="1"/>
        <v/>
      </c>
      <c r="O57" s="106" t="str">
        <f t="shared" si="2"/>
        <v>#N/A</v>
      </c>
      <c r="P57" s="106" t="str">
        <f t="shared" si="3"/>
        <v>#N/A</v>
      </c>
      <c r="Q57" s="84" t="str">
        <f t="shared" si="4"/>
        <v>#N/A</v>
      </c>
      <c r="R57" s="84" t="str">
        <f t="shared" si="5"/>
        <v>#N/A</v>
      </c>
      <c r="S57" s="107">
        <f t="shared" si="6"/>
        <v>-1.1</v>
      </c>
      <c r="T57" s="108">
        <f t="shared" si="7"/>
        <v>-1</v>
      </c>
      <c r="U57" s="106" t="str">
        <f t="shared" si="8"/>
        <v>#N/A</v>
      </c>
      <c r="V57" s="84" t="str">
        <f t="shared" si="9"/>
        <v/>
      </c>
      <c r="W57" s="109" t="str">
        <f t="shared" si="10"/>
        <v/>
      </c>
      <c r="X57" s="109" t="str">
        <f t="shared" si="11"/>
        <v/>
      </c>
      <c r="Y57" s="110" t="str">
        <f t="array" ref="Y57">_xlfn.XLOOKUP(A57,'Video Database'!L:L,'Video Database'!M:M,"")</f>
        <v>Bottom of Funnel</v>
      </c>
    </row>
    <row r="58" ht="22.5" customHeight="1">
      <c r="A58" s="113">
        <f t="shared" si="12"/>
        <v>57</v>
      </c>
      <c r="B58" s="98" t="str">
        <f t="array" ref="B58">_xlfn.XLOOKUP(A58,'Video Database'!L:L,'Video Database'!D:D,"")</f>
        <v>Erin</v>
      </c>
      <c r="C58" s="98" t="str">
        <f t="array" ref="C58">_xlfn.XLOOKUP(A58,'Video Database'!L:L,'Video Database'!E:E,"")</f>
        <v>Account 4</v>
      </c>
      <c r="D58" s="99" t="str">
        <f t="array" ref="D58">_xlfn.XLOOKUP(A58,'Video Database'!L:L,'Video Database'!G:G,"")</f>
        <v>Stainless Steel Gua Sha</v>
      </c>
      <c r="E58" s="100">
        <f t="array" ref="E58">_xlfn.XLOOKUP(A58,'Video Database'!L:L,'Video Database'!H:H,"")</f>
        <v>1.1</v>
      </c>
      <c r="F58" s="101">
        <v>0.0</v>
      </c>
      <c r="G58" s="87">
        <v>0.0</v>
      </c>
      <c r="H58" s="114">
        <f t="array" ref="H58">_xlfn.XLOOKUP(A58,'Video Database'!L:L,'Video Database'!A:A,"")</f>
        <v>46182</v>
      </c>
      <c r="I58" s="103">
        <v>46201.0</v>
      </c>
      <c r="J58" s="104">
        <v>0.0</v>
      </c>
      <c r="K58" s="105"/>
      <c r="L58" s="105" t="str">
        <f t="shared" si="1"/>
        <v/>
      </c>
      <c r="O58" s="106" t="str">
        <f t="shared" si="2"/>
        <v>#N/A</v>
      </c>
      <c r="P58" s="106" t="str">
        <f t="shared" si="3"/>
        <v>#N/A</v>
      </c>
      <c r="Q58" s="84" t="str">
        <f t="shared" si="4"/>
        <v>#N/A</v>
      </c>
      <c r="R58" s="84" t="str">
        <f t="shared" si="5"/>
        <v>#N/A</v>
      </c>
      <c r="S58" s="107">
        <f t="shared" si="6"/>
        <v>-1.1</v>
      </c>
      <c r="T58" s="108">
        <f t="shared" si="7"/>
        <v>-1</v>
      </c>
      <c r="U58" s="106" t="str">
        <f t="shared" si="8"/>
        <v>#N/A</v>
      </c>
      <c r="V58" s="84" t="str">
        <f t="shared" si="9"/>
        <v/>
      </c>
      <c r="W58" s="109" t="str">
        <f t="shared" si="10"/>
        <v/>
      </c>
      <c r="X58" s="109" t="str">
        <f t="shared" si="11"/>
        <v/>
      </c>
      <c r="Y58" s="110" t="str">
        <f t="array" ref="Y58">_xlfn.XLOOKUP(A58,'Video Database'!L:L,'Video Database'!M:M,"")</f>
        <v>Bottom of Funnel</v>
      </c>
    </row>
    <row r="59" ht="22.5" customHeight="1">
      <c r="A59" s="113">
        <f t="shared" si="12"/>
        <v>58</v>
      </c>
      <c r="B59" s="98" t="str">
        <f t="array" ref="B59">_xlfn.XLOOKUP(A59,'Video Database'!L:L,'Video Database'!D:D,"")</f>
        <v>Erin</v>
      </c>
      <c r="C59" s="98" t="str">
        <f t="array" ref="C59">_xlfn.XLOOKUP(A59,'Video Database'!L:L,'Video Database'!E:E,"")</f>
        <v>Account 4</v>
      </c>
      <c r="D59" s="99" t="str">
        <f t="array" ref="D59">_xlfn.XLOOKUP(A59,'Video Database'!L:L,'Video Database'!G:G,"")</f>
        <v>Stainless Steel Gua Sha</v>
      </c>
      <c r="E59" s="100">
        <f t="array" ref="E59">_xlfn.XLOOKUP(A59,'Video Database'!L:L,'Video Database'!H:H,"")</f>
        <v>1.1</v>
      </c>
      <c r="F59" s="101">
        <v>0.0</v>
      </c>
      <c r="G59" s="87">
        <v>0.0</v>
      </c>
      <c r="H59" s="114">
        <f t="array" ref="H59">_xlfn.XLOOKUP(A59,'Video Database'!L:L,'Video Database'!A:A,"")</f>
        <v>46182</v>
      </c>
      <c r="I59" s="103">
        <v>46201.0</v>
      </c>
      <c r="J59" s="104">
        <v>0.0</v>
      </c>
      <c r="K59" s="105"/>
      <c r="L59" s="105" t="str">
        <f t="shared" si="1"/>
        <v/>
      </c>
      <c r="O59" s="106" t="str">
        <f t="shared" si="2"/>
        <v>#N/A</v>
      </c>
      <c r="P59" s="106" t="str">
        <f t="shared" si="3"/>
        <v>#N/A</v>
      </c>
      <c r="Q59" s="84" t="str">
        <f t="shared" si="4"/>
        <v>#N/A</v>
      </c>
      <c r="R59" s="84" t="str">
        <f t="shared" si="5"/>
        <v>#N/A</v>
      </c>
      <c r="S59" s="107">
        <f t="shared" si="6"/>
        <v>-1.1</v>
      </c>
      <c r="T59" s="108">
        <f t="shared" si="7"/>
        <v>-1</v>
      </c>
      <c r="U59" s="106" t="str">
        <f t="shared" si="8"/>
        <v>#N/A</v>
      </c>
      <c r="V59" s="84" t="str">
        <f t="shared" si="9"/>
        <v/>
      </c>
      <c r="W59" s="109" t="str">
        <f t="shared" si="10"/>
        <v/>
      </c>
      <c r="X59" s="109" t="str">
        <f t="shared" si="11"/>
        <v/>
      </c>
      <c r="Y59" s="110" t="str">
        <f t="array" ref="Y59">_xlfn.XLOOKUP(A59,'Video Database'!L:L,'Video Database'!M:M,"")</f>
        <v>Bottom of Funnel</v>
      </c>
    </row>
    <row r="60" ht="22.5" customHeight="1">
      <c r="A60" s="113">
        <f t="shared" si="12"/>
        <v>59</v>
      </c>
      <c r="B60" s="98" t="str">
        <f t="array" ref="B60">_xlfn.XLOOKUP(A60,'Video Database'!L:L,'Video Database'!D:D,"")</f>
        <v>Erin</v>
      </c>
      <c r="C60" s="98" t="str">
        <f t="array" ref="C60">_xlfn.XLOOKUP(A60,'Video Database'!L:L,'Video Database'!E:E,"")</f>
        <v>Account 4</v>
      </c>
      <c r="D60" s="99" t="str">
        <f t="array" ref="D60">_xlfn.XLOOKUP(A60,'Video Database'!L:L,'Video Database'!G:G,"")</f>
        <v>Stainless Steel Gua Sha</v>
      </c>
      <c r="E60" s="100">
        <f t="array" ref="E60">_xlfn.XLOOKUP(A60,'Video Database'!L:L,'Video Database'!H:H,"")</f>
        <v>1.1</v>
      </c>
      <c r="F60" s="101">
        <v>0.0</v>
      </c>
      <c r="G60" s="87">
        <v>0.0</v>
      </c>
      <c r="H60" s="114">
        <f t="array" ref="H60">_xlfn.XLOOKUP(A60,'Video Database'!L:L,'Video Database'!A:A,"")</f>
        <v>46182</v>
      </c>
      <c r="I60" s="103">
        <v>46201.0</v>
      </c>
      <c r="J60" s="104">
        <v>0.0</v>
      </c>
      <c r="K60" s="105"/>
      <c r="L60" s="105" t="str">
        <f t="shared" si="1"/>
        <v/>
      </c>
      <c r="O60" s="106" t="str">
        <f t="shared" si="2"/>
        <v>#N/A</v>
      </c>
      <c r="P60" s="106" t="str">
        <f t="shared" si="3"/>
        <v>#N/A</v>
      </c>
      <c r="Q60" s="84" t="str">
        <f t="shared" si="4"/>
        <v>#N/A</v>
      </c>
      <c r="R60" s="84" t="str">
        <f t="shared" si="5"/>
        <v>#N/A</v>
      </c>
      <c r="S60" s="107">
        <f t="shared" si="6"/>
        <v>-1.1</v>
      </c>
      <c r="T60" s="108">
        <f t="shared" si="7"/>
        <v>-1</v>
      </c>
      <c r="U60" s="106" t="str">
        <f t="shared" si="8"/>
        <v>#N/A</v>
      </c>
      <c r="V60" s="84" t="str">
        <f t="shared" si="9"/>
        <v/>
      </c>
      <c r="W60" s="109" t="str">
        <f t="shared" si="10"/>
        <v/>
      </c>
      <c r="X60" s="109" t="str">
        <f t="shared" si="11"/>
        <v/>
      </c>
      <c r="Y60" s="110" t="str">
        <f t="array" ref="Y60">_xlfn.XLOOKUP(A60,'Video Database'!L:L,'Video Database'!M:M,"")</f>
        <v>Bottom of Funnel</v>
      </c>
    </row>
    <row r="61" ht="22.5" customHeight="1">
      <c r="A61" s="113">
        <f t="shared" si="12"/>
        <v>60</v>
      </c>
      <c r="B61" s="98" t="str">
        <f t="array" ref="B61">_xlfn.XLOOKUP(A61,'Video Database'!L:L,'Video Database'!D:D,"")</f>
        <v>Erin</v>
      </c>
      <c r="C61" s="98" t="str">
        <f t="array" ref="C61">_xlfn.XLOOKUP(A61,'Video Database'!L:L,'Video Database'!E:E,"")</f>
        <v>Account 4</v>
      </c>
      <c r="D61" s="99" t="str">
        <f t="array" ref="D61">_xlfn.XLOOKUP(A61,'Video Database'!L:L,'Video Database'!G:G,"")</f>
        <v>Stainless Steel Gua Sha</v>
      </c>
      <c r="E61" s="100">
        <f t="array" ref="E61">_xlfn.XLOOKUP(A61,'Video Database'!L:L,'Video Database'!H:H,"")</f>
        <v>1.1</v>
      </c>
      <c r="F61" s="101">
        <v>0.0</v>
      </c>
      <c r="G61" s="87">
        <v>0.0</v>
      </c>
      <c r="H61" s="114">
        <f t="array" ref="H61">_xlfn.XLOOKUP(A61,'Video Database'!L:L,'Video Database'!A:A,"")</f>
        <v>46182</v>
      </c>
      <c r="I61" s="103">
        <v>46201.0</v>
      </c>
      <c r="J61" s="104">
        <v>0.0</v>
      </c>
      <c r="K61" s="105"/>
      <c r="L61" s="105" t="str">
        <f t="shared" si="1"/>
        <v/>
      </c>
      <c r="O61" s="106" t="str">
        <f t="shared" si="2"/>
        <v>#N/A</v>
      </c>
      <c r="P61" s="106" t="str">
        <f t="shared" si="3"/>
        <v>#N/A</v>
      </c>
      <c r="Q61" s="84" t="str">
        <f t="shared" si="4"/>
        <v>#N/A</v>
      </c>
      <c r="R61" s="84" t="str">
        <f t="shared" si="5"/>
        <v>#N/A</v>
      </c>
      <c r="S61" s="107">
        <f t="shared" si="6"/>
        <v>-1.1</v>
      </c>
      <c r="T61" s="108">
        <f t="shared" si="7"/>
        <v>-1</v>
      </c>
      <c r="U61" s="106" t="str">
        <f t="shared" si="8"/>
        <v>#N/A</v>
      </c>
      <c r="V61" s="84" t="str">
        <f t="shared" si="9"/>
        <v/>
      </c>
      <c r="W61" s="109" t="str">
        <f t="shared" si="10"/>
        <v/>
      </c>
      <c r="X61" s="109" t="str">
        <f t="shared" si="11"/>
        <v/>
      </c>
      <c r="Y61" s="110" t="str">
        <f t="array" ref="Y61">_xlfn.XLOOKUP(A61,'Video Database'!L:L,'Video Database'!M:M,"")</f>
        <v>Bottom of Funnel</v>
      </c>
    </row>
    <row r="62" ht="22.5" customHeight="1">
      <c r="A62" s="113">
        <f t="shared" si="12"/>
        <v>61</v>
      </c>
      <c r="B62" s="98" t="str">
        <f t="array" ref="B62">_xlfn.XLOOKUP(A62,'Video Database'!L:L,'Video Database'!D:D,"")</f>
        <v>Erin</v>
      </c>
      <c r="C62" s="98" t="str">
        <f t="array" ref="C62">_xlfn.XLOOKUP(A62,'Video Database'!L:L,'Video Database'!E:E,"")</f>
        <v>Account 4</v>
      </c>
      <c r="D62" s="99" t="str">
        <f t="array" ref="D62">_xlfn.XLOOKUP(A62,'Video Database'!L:L,'Video Database'!G:G,"")</f>
        <v>Stainless Steel Gua Sha</v>
      </c>
      <c r="E62" s="100">
        <f t="array" ref="E62">_xlfn.XLOOKUP(A62,'Video Database'!L:L,'Video Database'!H:H,"")</f>
        <v>1.1</v>
      </c>
      <c r="F62" s="101">
        <v>0.0</v>
      </c>
      <c r="G62" s="87">
        <v>0.0</v>
      </c>
      <c r="H62" s="114">
        <f t="array" ref="H62">_xlfn.XLOOKUP(A62,'Video Database'!L:L,'Video Database'!A:A,"")</f>
        <v>46182</v>
      </c>
      <c r="I62" s="103">
        <v>46201.0</v>
      </c>
      <c r="J62" s="104">
        <v>0.0</v>
      </c>
      <c r="K62" s="105"/>
      <c r="L62" s="105" t="str">
        <f t="shared" si="1"/>
        <v/>
      </c>
      <c r="O62" s="106" t="str">
        <f t="shared" si="2"/>
        <v>#N/A</v>
      </c>
      <c r="P62" s="106" t="str">
        <f t="shared" si="3"/>
        <v>#N/A</v>
      </c>
      <c r="Q62" s="84" t="str">
        <f t="shared" si="4"/>
        <v>#N/A</v>
      </c>
      <c r="R62" s="84" t="str">
        <f t="shared" si="5"/>
        <v>#N/A</v>
      </c>
      <c r="S62" s="107">
        <f t="shared" si="6"/>
        <v>-1.1</v>
      </c>
      <c r="T62" s="108">
        <f t="shared" si="7"/>
        <v>-1</v>
      </c>
      <c r="U62" s="106" t="str">
        <f t="shared" si="8"/>
        <v>#N/A</v>
      </c>
      <c r="V62" s="84" t="str">
        <f t="shared" si="9"/>
        <v/>
      </c>
      <c r="W62" s="109" t="str">
        <f t="shared" si="10"/>
        <v/>
      </c>
      <c r="X62" s="109" t="str">
        <f t="shared" si="11"/>
        <v/>
      </c>
      <c r="Y62" s="110" t="str">
        <f t="array" ref="Y62">_xlfn.XLOOKUP(A62,'Video Database'!L:L,'Video Database'!M:M,"")</f>
        <v>Bottom of Funnel</v>
      </c>
    </row>
    <row r="63" ht="22.5" customHeight="1">
      <c r="A63" s="113">
        <f t="shared" si="12"/>
        <v>62</v>
      </c>
      <c r="B63" s="98" t="str">
        <f t="array" ref="B63">_xlfn.XLOOKUP(A63,'Video Database'!L:L,'Video Database'!D:D,"")</f>
        <v>Blakely</v>
      </c>
      <c r="C63" s="98" t="str">
        <f t="array" ref="C63">_xlfn.XLOOKUP(A63,'Video Database'!L:L,'Video Database'!E:E,"")</f>
        <v>Account 4</v>
      </c>
      <c r="D63" s="99" t="str">
        <f t="array" ref="D63">_xlfn.XLOOKUP(A63,'Video Database'!L:L,'Video Database'!G:G,"")</f>
        <v>DR.DENT Purple Mouthwash</v>
      </c>
      <c r="E63" s="100">
        <f t="array" ref="E63">_xlfn.XLOOKUP(A63,'Video Database'!L:L,'Video Database'!H:H,"")</f>
        <v>0.11</v>
      </c>
      <c r="F63" s="101">
        <v>0.0</v>
      </c>
      <c r="G63" s="87">
        <v>0.0</v>
      </c>
      <c r="H63" s="114">
        <f t="array" ref="H63">_xlfn.XLOOKUP(A63,'Video Database'!L:L,'Video Database'!A:A,"")</f>
        <v>46183</v>
      </c>
      <c r="I63" s="103">
        <v>46201.0</v>
      </c>
      <c r="J63" s="104">
        <v>0.0</v>
      </c>
      <c r="K63" s="105"/>
      <c r="L63" s="105" t="str">
        <f t="shared" si="1"/>
        <v/>
      </c>
      <c r="O63" s="106" t="str">
        <f t="shared" si="2"/>
        <v>#N/A</v>
      </c>
      <c r="P63" s="106" t="str">
        <f t="shared" si="3"/>
        <v>#N/A</v>
      </c>
      <c r="Q63" s="84" t="str">
        <f t="shared" si="4"/>
        <v>#N/A</v>
      </c>
      <c r="R63" s="84" t="str">
        <f t="shared" si="5"/>
        <v>#N/A</v>
      </c>
      <c r="S63" s="107">
        <f t="shared" si="6"/>
        <v>-0.11</v>
      </c>
      <c r="T63" s="108">
        <f t="shared" si="7"/>
        <v>-1</v>
      </c>
      <c r="U63" s="106" t="str">
        <f t="shared" si="8"/>
        <v>#N/A</v>
      </c>
      <c r="V63" s="84" t="str">
        <f t="shared" si="9"/>
        <v/>
      </c>
      <c r="W63" s="109" t="str">
        <f t="shared" si="10"/>
        <v/>
      </c>
      <c r="X63" s="109" t="str">
        <f t="shared" si="11"/>
        <v/>
      </c>
      <c r="Y63" s="110" t="str">
        <f t="array" ref="Y63">_xlfn.XLOOKUP(A63,'Video Database'!L:L,'Video Database'!M:M,"")</f>
        <v>Bottom of Funnel</v>
      </c>
    </row>
    <row r="64" ht="22.5" customHeight="1">
      <c r="A64" s="113">
        <f t="shared" si="12"/>
        <v>63</v>
      </c>
      <c r="B64" s="98" t="str">
        <f t="array" ref="B64">_xlfn.XLOOKUP(A64,'Video Database'!L:L,'Video Database'!D:D,"")</f>
        <v>Blakely</v>
      </c>
      <c r="C64" s="98" t="str">
        <f t="array" ref="C64">_xlfn.XLOOKUP(A64,'Video Database'!L:L,'Video Database'!E:E,"")</f>
        <v>Account 4</v>
      </c>
      <c r="D64" s="99" t="str">
        <f t="array" ref="D64">_xlfn.XLOOKUP(A64,'Video Database'!L:L,'Video Database'!G:G,"")</f>
        <v>DR.DENT Purple Mouthwash</v>
      </c>
      <c r="E64" s="100">
        <f t="array" ref="E64">_xlfn.XLOOKUP(A64,'Video Database'!L:L,'Video Database'!H:H,"")</f>
        <v>0.11</v>
      </c>
      <c r="F64" s="101">
        <v>0.0</v>
      </c>
      <c r="G64" s="87">
        <v>0.0</v>
      </c>
      <c r="H64" s="114">
        <f t="array" ref="H64">_xlfn.XLOOKUP(A64,'Video Database'!L:L,'Video Database'!A:A,"")</f>
        <v>46183</v>
      </c>
      <c r="I64" s="103">
        <v>46201.0</v>
      </c>
      <c r="J64" s="104">
        <v>0.0</v>
      </c>
      <c r="K64" s="105"/>
      <c r="L64" s="105" t="str">
        <f t="shared" si="1"/>
        <v/>
      </c>
      <c r="O64" s="106" t="str">
        <f t="shared" si="2"/>
        <v>#N/A</v>
      </c>
      <c r="P64" s="106" t="str">
        <f t="shared" si="3"/>
        <v>#N/A</v>
      </c>
      <c r="Q64" s="84" t="str">
        <f t="shared" si="4"/>
        <v>#N/A</v>
      </c>
      <c r="R64" s="84" t="str">
        <f t="shared" si="5"/>
        <v>#N/A</v>
      </c>
      <c r="S64" s="107">
        <f t="shared" si="6"/>
        <v>-0.11</v>
      </c>
      <c r="T64" s="108">
        <f t="shared" si="7"/>
        <v>-1</v>
      </c>
      <c r="U64" s="106" t="str">
        <f t="shared" si="8"/>
        <v>#N/A</v>
      </c>
      <c r="V64" s="84" t="str">
        <f t="shared" si="9"/>
        <v/>
      </c>
      <c r="W64" s="109" t="str">
        <f t="shared" si="10"/>
        <v/>
      </c>
      <c r="X64" s="109" t="str">
        <f t="shared" si="11"/>
        <v/>
      </c>
      <c r="Y64" s="110" t="str">
        <f t="array" ref="Y64">_xlfn.XLOOKUP(A64,'Video Database'!L:L,'Video Database'!M:M,"")</f>
        <v>Bottom of Funnel</v>
      </c>
    </row>
    <row r="65" ht="22.5" customHeight="1">
      <c r="A65" s="113">
        <f t="shared" si="12"/>
        <v>64</v>
      </c>
      <c r="B65" s="98" t="str">
        <f t="array" ref="B65">_xlfn.XLOOKUP(A65,'Video Database'!L:L,'Video Database'!D:D,"")</f>
        <v>Blakely</v>
      </c>
      <c r="C65" s="98" t="str">
        <f t="array" ref="C65">_xlfn.XLOOKUP(A65,'Video Database'!L:L,'Video Database'!E:E,"")</f>
        <v>Account 4</v>
      </c>
      <c r="D65" s="99" t="str">
        <f t="array" ref="D65">_xlfn.XLOOKUP(A65,'Video Database'!L:L,'Video Database'!G:G,"")</f>
        <v>DR.DENT Purple Mouthwash</v>
      </c>
      <c r="E65" s="100">
        <f t="array" ref="E65">_xlfn.XLOOKUP(A65,'Video Database'!L:L,'Video Database'!H:H,"")</f>
        <v>0.11</v>
      </c>
      <c r="F65" s="101">
        <v>0.0</v>
      </c>
      <c r="G65" s="87">
        <v>0.0</v>
      </c>
      <c r="H65" s="114">
        <f t="array" ref="H65">_xlfn.XLOOKUP(A65,'Video Database'!L:L,'Video Database'!A:A,"")</f>
        <v>46183</v>
      </c>
      <c r="I65" s="103">
        <v>46201.0</v>
      </c>
      <c r="J65" s="104">
        <v>0.0</v>
      </c>
      <c r="K65" s="105"/>
      <c r="L65" s="105" t="str">
        <f t="shared" si="1"/>
        <v/>
      </c>
      <c r="O65" s="106" t="str">
        <f t="shared" si="2"/>
        <v>#N/A</v>
      </c>
      <c r="P65" s="106" t="str">
        <f t="shared" si="3"/>
        <v>#N/A</v>
      </c>
      <c r="Q65" s="84" t="str">
        <f t="shared" si="4"/>
        <v>#N/A</v>
      </c>
      <c r="R65" s="84" t="str">
        <f t="shared" si="5"/>
        <v>#N/A</v>
      </c>
      <c r="S65" s="107">
        <f t="shared" si="6"/>
        <v>-0.11</v>
      </c>
      <c r="T65" s="108">
        <f t="shared" si="7"/>
        <v>-1</v>
      </c>
      <c r="U65" s="106" t="str">
        <f t="shared" si="8"/>
        <v>#N/A</v>
      </c>
      <c r="V65" s="84" t="str">
        <f t="shared" si="9"/>
        <v/>
      </c>
      <c r="W65" s="109" t="str">
        <f t="shared" si="10"/>
        <v/>
      </c>
      <c r="X65" s="109" t="str">
        <f t="shared" si="11"/>
        <v/>
      </c>
      <c r="Y65" s="110" t="str">
        <f t="array" ref="Y65">_xlfn.XLOOKUP(A65,'Video Database'!L:L,'Video Database'!M:M,"")</f>
        <v>Bottom of Funnel</v>
      </c>
    </row>
    <row r="66" ht="22.5" customHeight="1">
      <c r="A66" s="113">
        <f t="shared" si="12"/>
        <v>65</v>
      </c>
      <c r="B66" s="98" t="str">
        <f t="array" ref="B66">_xlfn.XLOOKUP(A66,'Video Database'!L:L,'Video Database'!D:D,"")</f>
        <v>Blakely</v>
      </c>
      <c r="C66" s="98" t="str">
        <f t="array" ref="C66">_xlfn.XLOOKUP(A66,'Video Database'!L:L,'Video Database'!E:E,"")</f>
        <v>Account 4</v>
      </c>
      <c r="D66" s="99" t="str">
        <f t="array" ref="D66">_xlfn.XLOOKUP(A66,'Video Database'!L:L,'Video Database'!G:G,"")</f>
        <v>DR.DENT Purple Mouthwash</v>
      </c>
      <c r="E66" s="100">
        <f t="array" ref="E66">_xlfn.XLOOKUP(A66,'Video Database'!L:L,'Video Database'!H:H,"")</f>
        <v>0.11</v>
      </c>
      <c r="F66" s="101">
        <v>16.06</v>
      </c>
      <c r="G66" s="87">
        <v>1.0</v>
      </c>
      <c r="H66" s="114">
        <f t="array" ref="H66">_xlfn.XLOOKUP(A66,'Video Database'!L:L,'Video Database'!A:A,"")</f>
        <v>46183</v>
      </c>
      <c r="I66" s="103">
        <v>46201.0</v>
      </c>
      <c r="J66" s="104">
        <v>1.7</v>
      </c>
      <c r="K66" s="87">
        <v>3.0</v>
      </c>
      <c r="L66" s="105">
        <f t="shared" si="1"/>
        <v>498</v>
      </c>
      <c r="M66" s="87">
        <v>498.0</v>
      </c>
      <c r="O66" s="106">
        <f t="shared" si="2"/>
        <v>0.006024096386</v>
      </c>
      <c r="P66" s="106">
        <f t="shared" si="3"/>
        <v>0.3333333333</v>
      </c>
      <c r="Q66" s="84">
        <f t="shared" si="4"/>
        <v>1.7</v>
      </c>
      <c r="R66" s="84">
        <f t="shared" si="5"/>
        <v>16.06</v>
      </c>
      <c r="S66" s="107">
        <f t="shared" si="6"/>
        <v>1.59</v>
      </c>
      <c r="T66" s="108">
        <f t="shared" si="7"/>
        <v>14.45454545</v>
      </c>
      <c r="U66" s="106">
        <f t="shared" si="8"/>
        <v>0.9352941176</v>
      </c>
      <c r="V66" s="129">
        <f t="shared" si="9"/>
        <v>0.11</v>
      </c>
      <c r="W66" s="109">
        <f t="shared" si="10"/>
        <v>0.03666666667</v>
      </c>
      <c r="X66" s="109">
        <f t="shared" si="11"/>
        <v>0.6849315068</v>
      </c>
      <c r="Y66" s="110" t="str">
        <f t="array" ref="Y66">_xlfn.XLOOKUP(A66,'Video Database'!L:L,'Video Database'!M:M,"")</f>
        <v>Bottom of Funnel</v>
      </c>
    </row>
    <row r="67" ht="22.5" customHeight="1">
      <c r="A67" s="113">
        <f t="shared" si="12"/>
        <v>66</v>
      </c>
      <c r="B67" s="98" t="str">
        <f t="array" ref="B67">_xlfn.XLOOKUP(A67,'Video Database'!L:L,'Video Database'!D:D,"")</f>
        <v>Blakely</v>
      </c>
      <c r="C67" s="98" t="str">
        <f t="array" ref="C67">_xlfn.XLOOKUP(A67,'Video Database'!L:L,'Video Database'!E:E,"")</f>
        <v>Account 4</v>
      </c>
      <c r="D67" s="99" t="str">
        <f t="array" ref="D67">_xlfn.XLOOKUP(A67,'Video Database'!L:L,'Video Database'!G:G,"")</f>
        <v>DR.DENT Purple Mouthwash</v>
      </c>
      <c r="E67" s="100">
        <f t="array" ref="E67">_xlfn.XLOOKUP(A67,'Video Database'!L:L,'Video Database'!H:H,"")</f>
        <v>0.11</v>
      </c>
      <c r="F67" s="101">
        <v>0.0</v>
      </c>
      <c r="G67" s="87">
        <v>0.0</v>
      </c>
      <c r="H67" s="114">
        <f t="array" ref="H67">_xlfn.XLOOKUP(A67,'Video Database'!L:L,'Video Database'!A:A,"")</f>
        <v>46183</v>
      </c>
      <c r="I67" s="103">
        <v>46201.0</v>
      </c>
      <c r="J67" s="104">
        <v>0.0</v>
      </c>
      <c r="K67" s="105"/>
      <c r="L67" s="105" t="str">
        <f t="shared" si="1"/>
        <v/>
      </c>
      <c r="O67" s="106" t="str">
        <f t="shared" si="2"/>
        <v>#N/A</v>
      </c>
      <c r="P67" s="106" t="str">
        <f t="shared" si="3"/>
        <v>#N/A</v>
      </c>
      <c r="Q67" s="84" t="str">
        <f t="shared" si="4"/>
        <v>#N/A</v>
      </c>
      <c r="R67" s="84" t="str">
        <f t="shared" si="5"/>
        <v>#N/A</v>
      </c>
      <c r="S67" s="107">
        <f t="shared" si="6"/>
        <v>-0.11</v>
      </c>
      <c r="T67" s="108">
        <f t="shared" si="7"/>
        <v>-1</v>
      </c>
      <c r="U67" s="106" t="str">
        <f t="shared" si="8"/>
        <v>#N/A</v>
      </c>
      <c r="V67" s="84" t="str">
        <f t="shared" si="9"/>
        <v/>
      </c>
      <c r="W67" s="109" t="str">
        <f t="shared" si="10"/>
        <v/>
      </c>
      <c r="X67" s="109" t="str">
        <f t="shared" si="11"/>
        <v/>
      </c>
      <c r="Y67" s="110" t="str">
        <f t="array" ref="Y67">_xlfn.XLOOKUP(A67,'Video Database'!L:L,'Video Database'!M:M,"")</f>
        <v>Bottom of Funnel</v>
      </c>
    </row>
    <row r="68" ht="22.5" customHeight="1">
      <c r="A68" s="113">
        <f t="shared" si="12"/>
        <v>67</v>
      </c>
      <c r="B68" s="98" t="str">
        <f t="array" ref="B68">_xlfn.XLOOKUP(A68,'Video Database'!L:L,'Video Database'!D:D,"")</f>
        <v>Blakely</v>
      </c>
      <c r="C68" s="98" t="str">
        <f t="array" ref="C68">_xlfn.XLOOKUP(A68,'Video Database'!L:L,'Video Database'!E:E,"")</f>
        <v>Account 4</v>
      </c>
      <c r="D68" s="99" t="str">
        <f t="array" ref="D68">_xlfn.XLOOKUP(A68,'Video Database'!L:L,'Video Database'!G:G,"")</f>
        <v>DR.DENT Purple Mouthwash</v>
      </c>
      <c r="E68" s="100">
        <f t="array" ref="E68">_xlfn.XLOOKUP(A68,'Video Database'!L:L,'Video Database'!H:H,"")</f>
        <v>0.11</v>
      </c>
      <c r="F68" s="101">
        <v>0.0</v>
      </c>
      <c r="G68" s="87">
        <v>0.0</v>
      </c>
      <c r="H68" s="114">
        <f t="array" ref="H68">_xlfn.XLOOKUP(A68,'Video Database'!L:L,'Video Database'!A:A,"")</f>
        <v>46183</v>
      </c>
      <c r="I68" s="103">
        <v>46201.0</v>
      </c>
      <c r="J68" s="104">
        <v>0.0</v>
      </c>
      <c r="K68" s="105"/>
      <c r="L68" s="105" t="str">
        <f t="shared" si="1"/>
        <v/>
      </c>
      <c r="O68" s="106" t="str">
        <f t="shared" si="2"/>
        <v>#N/A</v>
      </c>
      <c r="P68" s="106" t="str">
        <f t="shared" si="3"/>
        <v>#N/A</v>
      </c>
      <c r="Q68" s="84" t="str">
        <f t="shared" si="4"/>
        <v>#N/A</v>
      </c>
      <c r="R68" s="84" t="str">
        <f t="shared" si="5"/>
        <v>#N/A</v>
      </c>
      <c r="S68" s="107">
        <f t="shared" si="6"/>
        <v>-0.11</v>
      </c>
      <c r="T68" s="108">
        <f t="shared" si="7"/>
        <v>-1</v>
      </c>
      <c r="U68" s="106" t="str">
        <f t="shared" si="8"/>
        <v>#N/A</v>
      </c>
      <c r="V68" s="84" t="str">
        <f t="shared" si="9"/>
        <v/>
      </c>
      <c r="W68" s="109" t="str">
        <f t="shared" si="10"/>
        <v/>
      </c>
      <c r="X68" s="109" t="str">
        <f t="shared" si="11"/>
        <v/>
      </c>
      <c r="Y68" s="110" t="str">
        <f t="array" ref="Y68">_xlfn.XLOOKUP(A68,'Video Database'!L:L,'Video Database'!M:M,"")</f>
        <v>Bottom of Funnel</v>
      </c>
    </row>
    <row r="69" ht="22.5" customHeight="1">
      <c r="A69" s="113">
        <f t="shared" si="12"/>
        <v>68</v>
      </c>
      <c r="B69" s="98" t="str">
        <f t="array" ref="B69">_xlfn.XLOOKUP(A69,'Video Database'!L:L,'Video Database'!D:D,"")</f>
        <v>Blakely</v>
      </c>
      <c r="C69" s="98" t="str">
        <f t="array" ref="C69">_xlfn.XLOOKUP(A69,'Video Database'!L:L,'Video Database'!E:E,"")</f>
        <v>Account 4</v>
      </c>
      <c r="D69" s="99" t="str">
        <f t="array" ref="D69">_xlfn.XLOOKUP(A69,'Video Database'!L:L,'Video Database'!G:G,"")</f>
        <v>DR.DENT Purple Mouthwash</v>
      </c>
      <c r="E69" s="100">
        <f t="array" ref="E69">_xlfn.XLOOKUP(A69,'Video Database'!L:L,'Video Database'!H:H,"")</f>
        <v>0.11</v>
      </c>
      <c r="F69" s="101">
        <v>0.0</v>
      </c>
      <c r="G69" s="87">
        <v>0.0</v>
      </c>
      <c r="H69" s="114">
        <f t="array" ref="H69">_xlfn.XLOOKUP(A69,'Video Database'!L:L,'Video Database'!A:A,"")</f>
        <v>46183</v>
      </c>
      <c r="I69" s="103">
        <v>46201.0</v>
      </c>
      <c r="J69" s="104">
        <v>0.0</v>
      </c>
      <c r="K69" s="105"/>
      <c r="L69" s="105" t="str">
        <f t="shared" si="1"/>
        <v/>
      </c>
      <c r="O69" s="106" t="str">
        <f t="shared" si="2"/>
        <v>#N/A</v>
      </c>
      <c r="P69" s="106" t="str">
        <f t="shared" si="3"/>
        <v>#N/A</v>
      </c>
      <c r="Q69" s="84" t="str">
        <f t="shared" si="4"/>
        <v>#N/A</v>
      </c>
      <c r="R69" s="84" t="str">
        <f t="shared" si="5"/>
        <v>#N/A</v>
      </c>
      <c r="S69" s="107">
        <f t="shared" si="6"/>
        <v>-0.11</v>
      </c>
      <c r="T69" s="108">
        <f t="shared" si="7"/>
        <v>-1</v>
      </c>
      <c r="U69" s="106" t="str">
        <f t="shared" si="8"/>
        <v>#N/A</v>
      </c>
      <c r="V69" s="84" t="str">
        <f t="shared" si="9"/>
        <v/>
      </c>
      <c r="W69" s="109" t="str">
        <f t="shared" si="10"/>
        <v/>
      </c>
      <c r="X69" s="109" t="str">
        <f t="shared" si="11"/>
        <v/>
      </c>
      <c r="Y69" s="110" t="str">
        <f t="array" ref="Y69">_xlfn.XLOOKUP(A69,'Video Database'!L:L,'Video Database'!M:M,"")</f>
        <v>Bottom of Funnel</v>
      </c>
    </row>
    <row r="70" ht="22.5" customHeight="1">
      <c r="A70" s="113">
        <f t="shared" si="12"/>
        <v>69</v>
      </c>
      <c r="B70" s="98" t="str">
        <f t="array" ref="B70">_xlfn.XLOOKUP(A70,'Video Database'!L:L,'Video Database'!D:D,"")</f>
        <v>Blakely</v>
      </c>
      <c r="C70" s="98" t="str">
        <f t="array" ref="C70">_xlfn.XLOOKUP(A70,'Video Database'!L:L,'Video Database'!E:E,"")</f>
        <v>Account 4</v>
      </c>
      <c r="D70" s="99" t="str">
        <f t="array" ref="D70">_xlfn.XLOOKUP(A70,'Video Database'!L:L,'Video Database'!G:G,"")</f>
        <v>DR.DENT Purple Mouthwash</v>
      </c>
      <c r="E70" s="100">
        <f t="array" ref="E70">_xlfn.XLOOKUP(A70,'Video Database'!L:L,'Video Database'!H:H,"")</f>
        <v>0.11</v>
      </c>
      <c r="F70" s="101">
        <v>0.0</v>
      </c>
      <c r="G70" s="87">
        <v>0.0</v>
      </c>
      <c r="H70" s="114">
        <f t="array" ref="H70">_xlfn.XLOOKUP(A70,'Video Database'!L:L,'Video Database'!A:A,"")</f>
        <v>46183</v>
      </c>
      <c r="I70" s="103">
        <v>46201.0</v>
      </c>
      <c r="J70" s="104">
        <v>0.0</v>
      </c>
      <c r="K70" s="105"/>
      <c r="L70" s="105" t="str">
        <f t="shared" si="1"/>
        <v/>
      </c>
      <c r="O70" s="106" t="str">
        <f t="shared" si="2"/>
        <v>#N/A</v>
      </c>
      <c r="P70" s="106" t="str">
        <f t="shared" si="3"/>
        <v>#N/A</v>
      </c>
      <c r="Q70" s="84" t="str">
        <f t="shared" si="4"/>
        <v>#N/A</v>
      </c>
      <c r="R70" s="84" t="str">
        <f t="shared" si="5"/>
        <v>#N/A</v>
      </c>
      <c r="S70" s="107">
        <f t="shared" si="6"/>
        <v>-0.11</v>
      </c>
      <c r="T70" s="108">
        <f t="shared" si="7"/>
        <v>-1</v>
      </c>
      <c r="U70" s="106" t="str">
        <f t="shared" si="8"/>
        <v>#N/A</v>
      </c>
      <c r="V70" s="84" t="str">
        <f t="shared" si="9"/>
        <v/>
      </c>
      <c r="W70" s="109" t="str">
        <f t="shared" si="10"/>
        <v/>
      </c>
      <c r="X70" s="109" t="str">
        <f t="shared" si="11"/>
        <v/>
      </c>
      <c r="Y70" s="110" t="str">
        <f t="array" ref="Y70">_xlfn.XLOOKUP(A70,'Video Database'!L:L,'Video Database'!M:M,"")</f>
        <v>Bottom of Funnel</v>
      </c>
    </row>
    <row r="71" ht="22.5" customHeight="1">
      <c r="A71" s="113">
        <f t="shared" si="12"/>
        <v>70</v>
      </c>
      <c r="B71" s="98" t="str">
        <f t="array" ref="B71">_xlfn.XLOOKUP(A71,'Video Database'!L:L,'Video Database'!D:D,"")</f>
        <v>Blakely</v>
      </c>
      <c r="C71" s="98" t="str">
        <f t="array" ref="C71">_xlfn.XLOOKUP(A71,'Video Database'!L:L,'Video Database'!E:E,"")</f>
        <v>Account 4</v>
      </c>
      <c r="D71" s="99" t="str">
        <f t="array" ref="D71">_xlfn.XLOOKUP(A71,'Video Database'!L:L,'Video Database'!G:G,"")</f>
        <v>DR.DENT Purple Mouthwash</v>
      </c>
      <c r="E71" s="100">
        <f t="array" ref="E71">_xlfn.XLOOKUP(A71,'Video Database'!L:L,'Video Database'!H:H,"")</f>
        <v>0.11</v>
      </c>
      <c r="F71" s="101">
        <v>0.0</v>
      </c>
      <c r="G71" s="87">
        <v>0.0</v>
      </c>
      <c r="H71" s="114">
        <f t="array" ref="H71">_xlfn.XLOOKUP(A71,'Video Database'!L:L,'Video Database'!A:A,"")</f>
        <v>46183</v>
      </c>
      <c r="I71" s="103">
        <v>46201.0</v>
      </c>
      <c r="J71" s="104">
        <v>0.0</v>
      </c>
      <c r="K71" s="105"/>
      <c r="L71" s="105" t="str">
        <f t="shared" si="1"/>
        <v/>
      </c>
      <c r="O71" s="106" t="str">
        <f t="shared" si="2"/>
        <v>#N/A</v>
      </c>
      <c r="P71" s="106" t="str">
        <f t="shared" si="3"/>
        <v>#N/A</v>
      </c>
      <c r="Q71" s="84" t="str">
        <f t="shared" si="4"/>
        <v>#N/A</v>
      </c>
      <c r="R71" s="84" t="str">
        <f t="shared" si="5"/>
        <v>#N/A</v>
      </c>
      <c r="S71" s="107">
        <f t="shared" si="6"/>
        <v>-0.11</v>
      </c>
      <c r="T71" s="108">
        <f t="shared" si="7"/>
        <v>-1</v>
      </c>
      <c r="U71" s="106" t="str">
        <f t="shared" si="8"/>
        <v>#N/A</v>
      </c>
      <c r="V71" s="84" t="str">
        <f t="shared" si="9"/>
        <v/>
      </c>
      <c r="W71" s="109" t="str">
        <f t="shared" si="10"/>
        <v/>
      </c>
      <c r="X71" s="109" t="str">
        <f t="shared" si="11"/>
        <v/>
      </c>
      <c r="Y71" s="110" t="str">
        <f t="array" ref="Y71">_xlfn.XLOOKUP(A71,'Video Database'!L:L,'Video Database'!M:M,"")</f>
        <v>Bottom of Funnel</v>
      </c>
    </row>
    <row r="72" ht="22.5" customHeight="1">
      <c r="A72" s="113">
        <f t="shared" si="12"/>
        <v>71</v>
      </c>
      <c r="B72" s="98" t="str">
        <f t="array" ref="B72">_xlfn.XLOOKUP(A72,'Video Database'!L:L,'Video Database'!D:D,"")</f>
        <v>Blakely</v>
      </c>
      <c r="C72" s="98" t="str">
        <f t="array" ref="C72">_xlfn.XLOOKUP(A72,'Video Database'!L:L,'Video Database'!E:E,"")</f>
        <v>Account 4</v>
      </c>
      <c r="D72" s="99" t="str">
        <f t="array" ref="D72">_xlfn.XLOOKUP(A72,'Video Database'!L:L,'Video Database'!G:G,"")</f>
        <v>DR.DENT Purple Mouthwash</v>
      </c>
      <c r="E72" s="100">
        <f t="array" ref="E72">_xlfn.XLOOKUP(A72,'Video Database'!L:L,'Video Database'!H:H,"")</f>
        <v>0.11</v>
      </c>
      <c r="F72" s="101">
        <v>0.0</v>
      </c>
      <c r="G72" s="87">
        <v>0.0</v>
      </c>
      <c r="H72" s="114">
        <f t="array" ref="H72">_xlfn.XLOOKUP(A72,'Video Database'!L:L,'Video Database'!A:A,"")</f>
        <v>46183</v>
      </c>
      <c r="I72" s="103">
        <v>46201.0</v>
      </c>
      <c r="J72" s="104">
        <v>0.0</v>
      </c>
      <c r="K72" s="105"/>
      <c r="L72" s="105" t="str">
        <f t="shared" si="1"/>
        <v/>
      </c>
      <c r="O72" s="106" t="str">
        <f t="shared" si="2"/>
        <v>#N/A</v>
      </c>
      <c r="P72" s="106" t="str">
        <f t="shared" si="3"/>
        <v>#N/A</v>
      </c>
      <c r="Q72" s="84" t="str">
        <f t="shared" si="4"/>
        <v>#N/A</v>
      </c>
      <c r="R72" s="84" t="str">
        <f t="shared" si="5"/>
        <v>#N/A</v>
      </c>
      <c r="S72" s="107">
        <f t="shared" si="6"/>
        <v>-0.11</v>
      </c>
      <c r="T72" s="108">
        <f t="shared" si="7"/>
        <v>-1</v>
      </c>
      <c r="U72" s="106" t="str">
        <f t="shared" si="8"/>
        <v>#N/A</v>
      </c>
      <c r="V72" s="84" t="str">
        <f t="shared" si="9"/>
        <v/>
      </c>
      <c r="W72" s="109" t="str">
        <f t="shared" si="10"/>
        <v/>
      </c>
      <c r="X72" s="109" t="str">
        <f t="shared" si="11"/>
        <v/>
      </c>
      <c r="Y72" s="110" t="str">
        <f t="array" ref="Y72">_xlfn.XLOOKUP(A72,'Video Database'!L:L,'Video Database'!M:M,"")</f>
        <v>Bottom of Funnel</v>
      </c>
    </row>
    <row r="73" ht="22.5" customHeight="1">
      <c r="A73" s="113">
        <f t="shared" si="12"/>
        <v>72</v>
      </c>
      <c r="B73" s="98" t="str">
        <f t="array" ref="B73">_xlfn.XLOOKUP(A73,'Video Database'!L:L,'Video Database'!D:D,"")</f>
        <v>Blakely</v>
      </c>
      <c r="C73" s="98" t="str">
        <f t="array" ref="C73">_xlfn.XLOOKUP(A73,'Video Database'!L:L,'Video Database'!E:E,"")</f>
        <v>Account 4</v>
      </c>
      <c r="D73" s="99" t="str">
        <f t="array" ref="D73">_xlfn.XLOOKUP(A73,'Video Database'!L:L,'Video Database'!G:G,"")</f>
        <v>DR.DENT Purple Mouthwash</v>
      </c>
      <c r="E73" s="100">
        <f t="array" ref="E73">_xlfn.XLOOKUP(A73,'Video Database'!L:L,'Video Database'!H:H,"")</f>
        <v>0.11</v>
      </c>
      <c r="F73" s="101">
        <v>0.0</v>
      </c>
      <c r="G73" s="87">
        <v>0.0</v>
      </c>
      <c r="H73" s="114">
        <f t="array" ref="H73">_xlfn.XLOOKUP(A73,'Video Database'!L:L,'Video Database'!A:A,"")</f>
        <v>46183</v>
      </c>
      <c r="I73" s="103">
        <v>46201.0</v>
      </c>
      <c r="J73" s="104">
        <v>0.0</v>
      </c>
      <c r="K73" s="105"/>
      <c r="L73" s="105" t="str">
        <f t="shared" si="1"/>
        <v/>
      </c>
      <c r="O73" s="106" t="str">
        <f t="shared" si="2"/>
        <v>#N/A</v>
      </c>
      <c r="P73" s="106" t="str">
        <f t="shared" si="3"/>
        <v>#N/A</v>
      </c>
      <c r="Q73" s="84" t="str">
        <f t="shared" si="4"/>
        <v>#N/A</v>
      </c>
      <c r="R73" s="84" t="str">
        <f t="shared" si="5"/>
        <v>#N/A</v>
      </c>
      <c r="S73" s="107">
        <f t="shared" si="6"/>
        <v>-0.11</v>
      </c>
      <c r="T73" s="108">
        <f t="shared" si="7"/>
        <v>-1</v>
      </c>
      <c r="U73" s="106" t="str">
        <f t="shared" si="8"/>
        <v>#N/A</v>
      </c>
      <c r="V73" s="84" t="str">
        <f t="shared" si="9"/>
        <v/>
      </c>
      <c r="W73" s="109" t="str">
        <f t="shared" si="10"/>
        <v/>
      </c>
      <c r="X73" s="109" t="str">
        <f t="shared" si="11"/>
        <v/>
      </c>
      <c r="Y73" s="110" t="str">
        <f t="array" ref="Y73">_xlfn.XLOOKUP(A73,'Video Database'!L:L,'Video Database'!M:M,"")</f>
        <v>Bottom of Funnel</v>
      </c>
    </row>
    <row r="74" ht="22.5" customHeight="1">
      <c r="A74" s="113">
        <f t="shared" si="12"/>
        <v>73</v>
      </c>
      <c r="B74" s="98" t="str">
        <f t="array" ref="B74">_xlfn.XLOOKUP(A74,'Video Database'!L:L,'Video Database'!D:D,"")</f>
        <v>Blakely</v>
      </c>
      <c r="C74" s="98" t="str">
        <f t="array" ref="C74">_xlfn.XLOOKUP(A74,'Video Database'!L:L,'Video Database'!E:E,"")</f>
        <v>Account 4</v>
      </c>
      <c r="D74" s="99" t="str">
        <f t="array" ref="D74">_xlfn.XLOOKUP(A74,'Video Database'!L:L,'Video Database'!G:G,"")</f>
        <v>DR.DENT Purple Mouthwash</v>
      </c>
      <c r="E74" s="100">
        <f t="array" ref="E74">_xlfn.XLOOKUP(A74,'Video Database'!L:L,'Video Database'!H:H,"")</f>
        <v>0.11</v>
      </c>
      <c r="F74" s="101">
        <v>0.0</v>
      </c>
      <c r="G74" s="87">
        <v>0.0</v>
      </c>
      <c r="H74" s="114">
        <f t="array" ref="H74">_xlfn.XLOOKUP(A74,'Video Database'!L:L,'Video Database'!A:A,"")</f>
        <v>46183</v>
      </c>
      <c r="I74" s="103">
        <v>46201.0</v>
      </c>
      <c r="J74" s="104">
        <v>0.0</v>
      </c>
      <c r="K74" s="105"/>
      <c r="L74" s="105" t="str">
        <f t="shared" si="1"/>
        <v/>
      </c>
      <c r="O74" s="106" t="str">
        <f t="shared" si="2"/>
        <v>#N/A</v>
      </c>
      <c r="P74" s="106" t="str">
        <f t="shared" si="3"/>
        <v>#N/A</v>
      </c>
      <c r="Q74" s="84" t="str">
        <f t="shared" si="4"/>
        <v>#N/A</v>
      </c>
      <c r="R74" s="84" t="str">
        <f t="shared" si="5"/>
        <v>#N/A</v>
      </c>
      <c r="S74" s="107">
        <f t="shared" si="6"/>
        <v>-0.11</v>
      </c>
      <c r="T74" s="108">
        <f t="shared" si="7"/>
        <v>-1</v>
      </c>
      <c r="U74" s="106" t="str">
        <f t="shared" si="8"/>
        <v>#N/A</v>
      </c>
      <c r="V74" s="84" t="str">
        <f t="shared" si="9"/>
        <v/>
      </c>
      <c r="W74" s="109" t="str">
        <f t="shared" si="10"/>
        <v/>
      </c>
      <c r="X74" s="109" t="str">
        <f t="shared" si="11"/>
        <v/>
      </c>
      <c r="Y74" s="110" t="str">
        <f t="array" ref="Y74">_xlfn.XLOOKUP(A74,'Video Database'!L:L,'Video Database'!M:M,"")</f>
        <v>Bottom of Funnel</v>
      </c>
    </row>
    <row r="75" ht="22.5" customHeight="1">
      <c r="A75" s="113">
        <f t="shared" si="12"/>
        <v>74</v>
      </c>
      <c r="B75" s="98" t="str">
        <f t="array" ref="B75">_xlfn.XLOOKUP(A75,'Video Database'!L:L,'Video Database'!D:D,"")</f>
        <v>Blakely</v>
      </c>
      <c r="C75" s="98" t="str">
        <f t="array" ref="C75">_xlfn.XLOOKUP(A75,'Video Database'!L:L,'Video Database'!E:E,"")</f>
        <v>Account 4</v>
      </c>
      <c r="D75" s="99" t="str">
        <f t="array" ref="D75">_xlfn.XLOOKUP(A75,'Video Database'!L:L,'Video Database'!G:G,"")</f>
        <v>DR.DENT Purple Mouthwash</v>
      </c>
      <c r="E75" s="100">
        <f t="array" ref="E75">_xlfn.XLOOKUP(A75,'Video Database'!L:L,'Video Database'!H:H,"")</f>
        <v>0.11</v>
      </c>
      <c r="F75" s="101">
        <v>0.0</v>
      </c>
      <c r="G75" s="87">
        <v>0.0</v>
      </c>
      <c r="H75" s="114">
        <f t="array" ref="H75">_xlfn.XLOOKUP(A75,'Video Database'!L:L,'Video Database'!A:A,"")</f>
        <v>46183</v>
      </c>
      <c r="I75" s="103">
        <v>46201.0</v>
      </c>
      <c r="J75" s="104">
        <v>0.0</v>
      </c>
      <c r="K75" s="105"/>
      <c r="L75" s="105" t="str">
        <f t="shared" si="1"/>
        <v/>
      </c>
      <c r="O75" s="106" t="str">
        <f t="shared" si="2"/>
        <v>#N/A</v>
      </c>
      <c r="P75" s="106" t="str">
        <f t="shared" si="3"/>
        <v>#N/A</v>
      </c>
      <c r="Q75" s="84" t="str">
        <f t="shared" si="4"/>
        <v>#N/A</v>
      </c>
      <c r="R75" s="84" t="str">
        <f t="shared" si="5"/>
        <v>#N/A</v>
      </c>
      <c r="S75" s="107">
        <f t="shared" si="6"/>
        <v>-0.11</v>
      </c>
      <c r="T75" s="108">
        <f t="shared" si="7"/>
        <v>-1</v>
      </c>
      <c r="U75" s="106" t="str">
        <f t="shared" si="8"/>
        <v>#N/A</v>
      </c>
      <c r="V75" s="84" t="str">
        <f t="shared" si="9"/>
        <v/>
      </c>
      <c r="W75" s="109" t="str">
        <f t="shared" si="10"/>
        <v/>
      </c>
      <c r="X75" s="109" t="str">
        <f t="shared" si="11"/>
        <v/>
      </c>
      <c r="Y75" s="110" t="str">
        <f t="array" ref="Y75">_xlfn.XLOOKUP(A75,'Video Database'!L:L,'Video Database'!M:M,"")</f>
        <v>Bottom of Funnel</v>
      </c>
    </row>
    <row r="76" ht="22.5" customHeight="1">
      <c r="A76" s="113">
        <f t="shared" si="12"/>
        <v>75</v>
      </c>
      <c r="B76" s="98" t="str">
        <f t="array" ref="B76">_xlfn.XLOOKUP(A76,'Video Database'!L:L,'Video Database'!D:D,"")</f>
        <v>Blakely</v>
      </c>
      <c r="C76" s="98" t="str">
        <f t="array" ref="C76">_xlfn.XLOOKUP(A76,'Video Database'!L:L,'Video Database'!E:E,"")</f>
        <v>Account 4</v>
      </c>
      <c r="D76" s="99" t="str">
        <f t="array" ref="D76">_xlfn.XLOOKUP(A76,'Video Database'!L:L,'Video Database'!G:G,"")</f>
        <v>DR.DENT Purple Mouthwash</v>
      </c>
      <c r="E76" s="100">
        <f t="array" ref="E76">_xlfn.XLOOKUP(A76,'Video Database'!L:L,'Video Database'!H:H,"")</f>
        <v>0.11</v>
      </c>
      <c r="F76" s="101">
        <v>0.0</v>
      </c>
      <c r="G76" s="87">
        <v>0.0</v>
      </c>
      <c r="H76" s="114">
        <f t="array" ref="H76">_xlfn.XLOOKUP(A76,'Video Database'!L:L,'Video Database'!A:A,"")</f>
        <v>46183</v>
      </c>
      <c r="I76" s="103">
        <v>46201.0</v>
      </c>
      <c r="J76" s="104">
        <v>0.0</v>
      </c>
      <c r="K76" s="105"/>
      <c r="L76" s="105" t="str">
        <f t="shared" si="1"/>
        <v/>
      </c>
      <c r="O76" s="106" t="str">
        <f t="shared" si="2"/>
        <v>#N/A</v>
      </c>
      <c r="P76" s="106" t="str">
        <f t="shared" si="3"/>
        <v>#N/A</v>
      </c>
      <c r="Q76" s="84" t="str">
        <f t="shared" si="4"/>
        <v>#N/A</v>
      </c>
      <c r="R76" s="84" t="str">
        <f t="shared" si="5"/>
        <v>#N/A</v>
      </c>
      <c r="S76" s="107">
        <f t="shared" si="6"/>
        <v>-0.11</v>
      </c>
      <c r="T76" s="108">
        <f t="shared" si="7"/>
        <v>-1</v>
      </c>
      <c r="U76" s="106" t="str">
        <f t="shared" si="8"/>
        <v>#N/A</v>
      </c>
      <c r="V76" s="84" t="str">
        <f t="shared" si="9"/>
        <v/>
      </c>
      <c r="W76" s="109" t="str">
        <f t="shared" si="10"/>
        <v/>
      </c>
      <c r="X76" s="109" t="str">
        <f t="shared" si="11"/>
        <v/>
      </c>
      <c r="Y76" s="110" t="str">
        <f t="array" ref="Y76">_xlfn.XLOOKUP(A76,'Video Database'!L:L,'Video Database'!M:M,"")</f>
        <v>Bottom of Funnel</v>
      </c>
    </row>
    <row r="77" ht="22.5" customHeight="1">
      <c r="A77" s="113">
        <f t="shared" si="12"/>
        <v>76</v>
      </c>
      <c r="B77" s="98" t="str">
        <f t="array" ref="B77">_xlfn.XLOOKUP(A77,'Video Database'!L:L,'Video Database'!D:D,"")</f>
        <v>Blakely</v>
      </c>
      <c r="C77" s="98" t="str">
        <f t="array" ref="C77">_xlfn.XLOOKUP(A77,'Video Database'!L:L,'Video Database'!E:E,"")</f>
        <v>Account 4</v>
      </c>
      <c r="D77" s="99" t="str">
        <f t="array" ref="D77">_xlfn.XLOOKUP(A77,'Video Database'!L:L,'Video Database'!G:G,"")</f>
        <v>DR.DENT Purple Mouthwash</v>
      </c>
      <c r="E77" s="100">
        <f t="array" ref="E77">_xlfn.XLOOKUP(A77,'Video Database'!L:L,'Video Database'!H:H,"")</f>
        <v>0.11</v>
      </c>
      <c r="F77" s="101">
        <v>0.0</v>
      </c>
      <c r="G77" s="87">
        <v>0.0</v>
      </c>
      <c r="H77" s="114">
        <f t="array" ref="H77">_xlfn.XLOOKUP(A77,'Video Database'!L:L,'Video Database'!A:A,"")</f>
        <v>46183</v>
      </c>
      <c r="I77" s="103">
        <v>46201.0</v>
      </c>
      <c r="J77" s="104">
        <v>0.0</v>
      </c>
      <c r="K77" s="105"/>
      <c r="L77" s="105" t="str">
        <f t="shared" si="1"/>
        <v/>
      </c>
      <c r="O77" s="106" t="str">
        <f t="shared" si="2"/>
        <v>#N/A</v>
      </c>
      <c r="P77" s="106" t="str">
        <f t="shared" si="3"/>
        <v>#N/A</v>
      </c>
      <c r="Q77" s="84" t="str">
        <f t="shared" si="4"/>
        <v>#N/A</v>
      </c>
      <c r="R77" s="84" t="str">
        <f t="shared" si="5"/>
        <v>#N/A</v>
      </c>
      <c r="S77" s="107">
        <f t="shared" si="6"/>
        <v>-0.11</v>
      </c>
      <c r="T77" s="108">
        <f t="shared" si="7"/>
        <v>-1</v>
      </c>
      <c r="U77" s="106" t="str">
        <f t="shared" si="8"/>
        <v>#N/A</v>
      </c>
      <c r="V77" s="84" t="str">
        <f t="shared" si="9"/>
        <v/>
      </c>
      <c r="W77" s="109" t="str">
        <f t="shared" si="10"/>
        <v/>
      </c>
      <c r="X77" s="109" t="str">
        <f t="shared" si="11"/>
        <v/>
      </c>
      <c r="Y77" s="110" t="str">
        <f t="array" ref="Y77">_xlfn.XLOOKUP(A77,'Video Database'!L:L,'Video Database'!M:M,"")</f>
        <v>Bottom of Funnel</v>
      </c>
    </row>
    <row r="78" ht="22.5" customHeight="1">
      <c r="A78" s="113">
        <f t="shared" si="12"/>
        <v>77</v>
      </c>
      <c r="B78" s="98" t="str">
        <f t="array" ref="B78">_xlfn.XLOOKUP(A78,'Video Database'!L:L,'Video Database'!D:D,"")</f>
        <v>Blakely</v>
      </c>
      <c r="C78" s="98" t="str">
        <f t="array" ref="C78">_xlfn.XLOOKUP(A78,'Video Database'!L:L,'Video Database'!E:E,"")</f>
        <v>Account 1</v>
      </c>
      <c r="D78" s="99" t="str">
        <f t="array" ref="D78">_xlfn.XLOOKUP(A78,'Video Database'!L:L,'Video Database'!G:G,"")</f>
        <v>Goli Women's Complete Multi Gummy</v>
      </c>
      <c r="E78" s="100">
        <f t="array" ref="E78">_xlfn.XLOOKUP(A78,'Video Database'!L:L,'Video Database'!H:H,"")</f>
        <v>0.11</v>
      </c>
      <c r="F78" s="101">
        <v>0.0</v>
      </c>
      <c r="G78" s="87">
        <v>0.0</v>
      </c>
      <c r="H78" s="114">
        <f t="array" ref="H78">_xlfn.XLOOKUP(A78,'Video Database'!L:L,'Video Database'!A:A,"")</f>
        <v>46183</v>
      </c>
      <c r="I78" s="103">
        <v>46201.0</v>
      </c>
      <c r="J78" s="104">
        <v>0.0</v>
      </c>
      <c r="K78" s="105"/>
      <c r="L78" s="105" t="str">
        <f t="shared" si="1"/>
        <v/>
      </c>
      <c r="O78" s="106" t="str">
        <f t="shared" si="2"/>
        <v>#N/A</v>
      </c>
      <c r="P78" s="106" t="str">
        <f t="shared" si="3"/>
        <v>#N/A</v>
      </c>
      <c r="Q78" s="84" t="str">
        <f t="shared" si="4"/>
        <v>#N/A</v>
      </c>
      <c r="R78" s="84" t="str">
        <f t="shared" si="5"/>
        <v>#N/A</v>
      </c>
      <c r="S78" s="107">
        <f t="shared" si="6"/>
        <v>-0.11</v>
      </c>
      <c r="T78" s="108">
        <f t="shared" si="7"/>
        <v>-1</v>
      </c>
      <c r="U78" s="106" t="str">
        <f t="shared" si="8"/>
        <v>#N/A</v>
      </c>
      <c r="V78" s="84" t="str">
        <f t="shared" si="9"/>
        <v/>
      </c>
      <c r="W78" s="109" t="str">
        <f t="shared" si="10"/>
        <v/>
      </c>
      <c r="X78" s="109" t="str">
        <f t="shared" si="11"/>
        <v/>
      </c>
      <c r="Y78" s="110" t="str">
        <f t="array" ref="Y78">_xlfn.XLOOKUP(A78,'Video Database'!L:L,'Video Database'!M:M,"")</f>
        <v>Bottom of Funnel</v>
      </c>
    </row>
    <row r="79" ht="22.5" customHeight="1">
      <c r="A79" s="113">
        <f t="shared" si="12"/>
        <v>78</v>
      </c>
      <c r="B79" s="98" t="str">
        <f t="array" ref="B79">_xlfn.XLOOKUP(A79,'Video Database'!L:L,'Video Database'!D:D,"")</f>
        <v>Blakely</v>
      </c>
      <c r="C79" s="98" t="str">
        <f t="array" ref="C79">_xlfn.XLOOKUP(A79,'Video Database'!L:L,'Video Database'!E:E,"")</f>
        <v>Account 1</v>
      </c>
      <c r="D79" s="99" t="str">
        <f t="array" ref="D79">_xlfn.XLOOKUP(A79,'Video Database'!L:L,'Video Database'!G:G,"")</f>
        <v>Goli Women's Complete Multi Gummy</v>
      </c>
      <c r="E79" s="100">
        <f t="array" ref="E79">_xlfn.XLOOKUP(A79,'Video Database'!L:L,'Video Database'!H:H,"")</f>
        <v>0.11</v>
      </c>
      <c r="F79" s="101">
        <v>0.0</v>
      </c>
      <c r="G79" s="87">
        <v>0.0</v>
      </c>
      <c r="H79" s="114">
        <f t="array" ref="H79">_xlfn.XLOOKUP(A79,'Video Database'!L:L,'Video Database'!A:A,"")</f>
        <v>46183</v>
      </c>
      <c r="I79" s="103">
        <v>46201.0</v>
      </c>
      <c r="J79" s="104">
        <v>0.0</v>
      </c>
      <c r="K79" s="105"/>
      <c r="L79" s="105" t="str">
        <f t="shared" si="1"/>
        <v/>
      </c>
      <c r="O79" s="106" t="str">
        <f t="shared" si="2"/>
        <v>#N/A</v>
      </c>
      <c r="P79" s="106" t="str">
        <f t="shared" si="3"/>
        <v>#N/A</v>
      </c>
      <c r="Q79" s="84" t="str">
        <f t="shared" si="4"/>
        <v>#N/A</v>
      </c>
      <c r="R79" s="84" t="str">
        <f t="shared" si="5"/>
        <v>#N/A</v>
      </c>
      <c r="S79" s="107">
        <f t="shared" si="6"/>
        <v>-0.11</v>
      </c>
      <c r="T79" s="108">
        <f t="shared" si="7"/>
        <v>-1</v>
      </c>
      <c r="U79" s="106" t="str">
        <f t="shared" si="8"/>
        <v>#N/A</v>
      </c>
      <c r="V79" s="84" t="str">
        <f t="shared" si="9"/>
        <v/>
      </c>
      <c r="W79" s="109" t="str">
        <f t="shared" si="10"/>
        <v/>
      </c>
      <c r="X79" s="109" t="str">
        <f t="shared" si="11"/>
        <v/>
      </c>
      <c r="Y79" s="110" t="str">
        <f t="array" ref="Y79">_xlfn.XLOOKUP(A79,'Video Database'!L:L,'Video Database'!M:M,"")</f>
        <v>Bottom of Funnel</v>
      </c>
    </row>
    <row r="80" ht="22.5" customHeight="1">
      <c r="A80" s="113">
        <f t="shared" si="12"/>
        <v>79</v>
      </c>
      <c r="B80" s="98" t="str">
        <f t="array" ref="B80">_xlfn.XLOOKUP(A80,'Video Database'!L:L,'Video Database'!D:D,"")</f>
        <v>Blakely</v>
      </c>
      <c r="C80" s="98" t="str">
        <f t="array" ref="C80">_xlfn.XLOOKUP(A80,'Video Database'!L:L,'Video Database'!E:E,"")</f>
        <v>Account 1</v>
      </c>
      <c r="D80" s="99" t="str">
        <f t="array" ref="D80">_xlfn.XLOOKUP(A80,'Video Database'!L:L,'Video Database'!G:G,"")</f>
        <v>Goli Women's Complete Multi Gummy</v>
      </c>
      <c r="E80" s="100">
        <f t="array" ref="E80">_xlfn.XLOOKUP(A80,'Video Database'!L:L,'Video Database'!H:H,"")</f>
        <v>0.11</v>
      </c>
      <c r="F80" s="101">
        <v>0.0</v>
      </c>
      <c r="G80" s="87">
        <v>0.0</v>
      </c>
      <c r="H80" s="114">
        <f t="array" ref="H80">_xlfn.XLOOKUP(A80,'Video Database'!L:L,'Video Database'!A:A,"")</f>
        <v>46183</v>
      </c>
      <c r="I80" s="103">
        <v>46201.0</v>
      </c>
      <c r="J80" s="104">
        <v>0.0</v>
      </c>
      <c r="K80" s="105"/>
      <c r="L80" s="105" t="str">
        <f t="shared" si="1"/>
        <v/>
      </c>
      <c r="O80" s="106" t="str">
        <f t="shared" si="2"/>
        <v>#N/A</v>
      </c>
      <c r="P80" s="106" t="str">
        <f t="shared" si="3"/>
        <v>#N/A</v>
      </c>
      <c r="Q80" s="84" t="str">
        <f t="shared" si="4"/>
        <v>#N/A</v>
      </c>
      <c r="R80" s="84" t="str">
        <f t="shared" si="5"/>
        <v>#N/A</v>
      </c>
      <c r="S80" s="107">
        <f t="shared" si="6"/>
        <v>-0.11</v>
      </c>
      <c r="T80" s="108">
        <f t="shared" si="7"/>
        <v>-1</v>
      </c>
      <c r="U80" s="106" t="str">
        <f t="shared" si="8"/>
        <v>#N/A</v>
      </c>
      <c r="V80" s="84" t="str">
        <f t="shared" si="9"/>
        <v/>
      </c>
      <c r="W80" s="109" t="str">
        <f t="shared" si="10"/>
        <v/>
      </c>
      <c r="X80" s="109" t="str">
        <f t="shared" si="11"/>
        <v/>
      </c>
      <c r="Y80" s="110" t="str">
        <f t="array" ref="Y80">_xlfn.XLOOKUP(A80,'Video Database'!L:L,'Video Database'!M:M,"")</f>
        <v>Bottom of Funnel</v>
      </c>
    </row>
    <row r="81" ht="22.5" customHeight="1">
      <c r="A81" s="113">
        <f t="shared" si="12"/>
        <v>80</v>
      </c>
      <c r="B81" s="98" t="str">
        <f t="array" ref="B81">_xlfn.XLOOKUP(A81,'Video Database'!L:L,'Video Database'!D:D,"")</f>
        <v>Blakely</v>
      </c>
      <c r="C81" s="98" t="str">
        <f t="array" ref="C81">_xlfn.XLOOKUP(A81,'Video Database'!L:L,'Video Database'!E:E,"")</f>
        <v>Account 1</v>
      </c>
      <c r="D81" s="99" t="str">
        <f t="array" ref="D81">_xlfn.XLOOKUP(A81,'Video Database'!L:L,'Video Database'!G:G,"")</f>
        <v>Goli Women's Complete Multi Gummy</v>
      </c>
      <c r="E81" s="100">
        <f t="array" ref="E81">_xlfn.XLOOKUP(A81,'Video Database'!L:L,'Video Database'!H:H,"")</f>
        <v>0.11</v>
      </c>
      <c r="F81" s="101">
        <v>0.0</v>
      </c>
      <c r="G81" s="87">
        <v>0.0</v>
      </c>
      <c r="H81" s="114">
        <f t="array" ref="H81">_xlfn.XLOOKUP(A81,'Video Database'!L:L,'Video Database'!A:A,"")</f>
        <v>46183</v>
      </c>
      <c r="I81" s="103">
        <v>46201.0</v>
      </c>
      <c r="J81" s="104">
        <v>0.0</v>
      </c>
      <c r="K81" s="105"/>
      <c r="L81" s="105" t="str">
        <f t="shared" si="1"/>
        <v/>
      </c>
      <c r="O81" s="106" t="str">
        <f t="shared" si="2"/>
        <v>#N/A</v>
      </c>
      <c r="P81" s="106" t="str">
        <f t="shared" si="3"/>
        <v>#N/A</v>
      </c>
      <c r="Q81" s="84" t="str">
        <f t="shared" si="4"/>
        <v>#N/A</v>
      </c>
      <c r="R81" s="84" t="str">
        <f t="shared" si="5"/>
        <v>#N/A</v>
      </c>
      <c r="S81" s="107">
        <f t="shared" si="6"/>
        <v>-0.11</v>
      </c>
      <c r="T81" s="108">
        <f t="shared" si="7"/>
        <v>-1</v>
      </c>
      <c r="U81" s="106" t="str">
        <f t="shared" si="8"/>
        <v>#N/A</v>
      </c>
      <c r="V81" s="84" t="str">
        <f t="shared" si="9"/>
        <v/>
      </c>
      <c r="W81" s="109" t="str">
        <f t="shared" si="10"/>
        <v/>
      </c>
      <c r="X81" s="109" t="str">
        <f t="shared" si="11"/>
        <v/>
      </c>
      <c r="Y81" s="110" t="str">
        <f t="array" ref="Y81">_xlfn.XLOOKUP(A81,'Video Database'!L:L,'Video Database'!M:M,"")</f>
        <v>Bottom of Funnel</v>
      </c>
    </row>
    <row r="82" ht="22.5" customHeight="1">
      <c r="A82" s="113">
        <f t="shared" si="12"/>
        <v>81</v>
      </c>
      <c r="B82" s="98" t="str">
        <f t="array" ref="B82">_xlfn.XLOOKUP(A82,'Video Database'!L:L,'Video Database'!D:D,"")</f>
        <v>Blakely</v>
      </c>
      <c r="C82" s="98" t="str">
        <f t="array" ref="C82">_xlfn.XLOOKUP(A82,'Video Database'!L:L,'Video Database'!E:E,"")</f>
        <v>Account 1</v>
      </c>
      <c r="D82" s="99" t="str">
        <f t="array" ref="D82">_xlfn.XLOOKUP(A82,'Video Database'!L:L,'Video Database'!G:G,"")</f>
        <v>Goli Women's Complete Multi Gummy</v>
      </c>
      <c r="E82" s="100">
        <f t="array" ref="E82">_xlfn.XLOOKUP(A82,'Video Database'!L:L,'Video Database'!H:H,"")</f>
        <v>0.11</v>
      </c>
      <c r="F82" s="101">
        <v>0.0</v>
      </c>
      <c r="G82" s="87">
        <v>0.0</v>
      </c>
      <c r="H82" s="114">
        <f t="array" ref="H82">_xlfn.XLOOKUP(A82,'Video Database'!L:L,'Video Database'!A:A,"")</f>
        <v>46183</v>
      </c>
      <c r="I82" s="103">
        <v>46201.0</v>
      </c>
      <c r="J82" s="104">
        <v>0.0</v>
      </c>
      <c r="K82" s="105"/>
      <c r="L82" s="105" t="str">
        <f t="shared" si="1"/>
        <v/>
      </c>
      <c r="O82" s="106" t="str">
        <f t="shared" si="2"/>
        <v>#N/A</v>
      </c>
      <c r="P82" s="106" t="str">
        <f t="shared" si="3"/>
        <v>#N/A</v>
      </c>
      <c r="Q82" s="84" t="str">
        <f t="shared" si="4"/>
        <v>#N/A</v>
      </c>
      <c r="R82" s="84" t="str">
        <f t="shared" si="5"/>
        <v>#N/A</v>
      </c>
      <c r="S82" s="107">
        <f t="shared" si="6"/>
        <v>-0.11</v>
      </c>
      <c r="T82" s="108">
        <f t="shared" si="7"/>
        <v>-1</v>
      </c>
      <c r="U82" s="106" t="str">
        <f t="shared" si="8"/>
        <v>#N/A</v>
      </c>
      <c r="V82" s="84" t="str">
        <f t="shared" si="9"/>
        <v/>
      </c>
      <c r="W82" s="109" t="str">
        <f t="shared" si="10"/>
        <v/>
      </c>
      <c r="X82" s="109" t="str">
        <f t="shared" si="11"/>
        <v/>
      </c>
      <c r="Y82" s="110" t="str">
        <f t="array" ref="Y82">_xlfn.XLOOKUP(A82,'Video Database'!L:L,'Video Database'!M:M,"")</f>
        <v>Bottom of Funnel</v>
      </c>
    </row>
    <row r="83" ht="22.5" customHeight="1">
      <c r="A83" s="113">
        <f t="shared" si="12"/>
        <v>82</v>
      </c>
      <c r="B83" s="98" t="str">
        <f t="array" ref="B83">_xlfn.XLOOKUP(A83,'Video Database'!L:L,'Video Database'!D:D,"")</f>
        <v>Blakely</v>
      </c>
      <c r="C83" s="98" t="str">
        <f t="array" ref="C83">_xlfn.XLOOKUP(A83,'Video Database'!L:L,'Video Database'!E:E,"")</f>
        <v>Account 1</v>
      </c>
      <c r="D83" s="99" t="str">
        <f t="array" ref="D83">_xlfn.XLOOKUP(A83,'Video Database'!L:L,'Video Database'!G:G,"")</f>
        <v>Goli Women's Complete Multi Gummy</v>
      </c>
      <c r="E83" s="100">
        <f t="array" ref="E83">_xlfn.XLOOKUP(A83,'Video Database'!L:L,'Video Database'!H:H,"")</f>
        <v>0.11</v>
      </c>
      <c r="F83" s="101">
        <v>0.0</v>
      </c>
      <c r="G83" s="87">
        <v>0.0</v>
      </c>
      <c r="H83" s="114">
        <f t="array" ref="H83">_xlfn.XLOOKUP(A83,'Video Database'!L:L,'Video Database'!A:A,"")</f>
        <v>46184</v>
      </c>
      <c r="I83" s="103">
        <v>46201.0</v>
      </c>
      <c r="J83" s="104">
        <v>0.0</v>
      </c>
      <c r="K83" s="105"/>
      <c r="L83" s="105" t="str">
        <f t="shared" si="1"/>
        <v/>
      </c>
      <c r="O83" s="106" t="str">
        <f t="shared" si="2"/>
        <v>#N/A</v>
      </c>
      <c r="P83" s="106" t="str">
        <f t="shared" si="3"/>
        <v>#N/A</v>
      </c>
      <c r="Q83" s="84" t="str">
        <f t="shared" si="4"/>
        <v>#N/A</v>
      </c>
      <c r="R83" s="84" t="str">
        <f t="shared" si="5"/>
        <v>#N/A</v>
      </c>
      <c r="S83" s="107">
        <f t="shared" si="6"/>
        <v>-0.11</v>
      </c>
      <c r="T83" s="108">
        <f t="shared" si="7"/>
        <v>-1</v>
      </c>
      <c r="U83" s="106" t="str">
        <f t="shared" si="8"/>
        <v>#N/A</v>
      </c>
      <c r="V83" s="84" t="str">
        <f t="shared" si="9"/>
        <v/>
      </c>
      <c r="W83" s="109" t="str">
        <f t="shared" si="10"/>
        <v/>
      </c>
      <c r="X83" s="109" t="str">
        <f t="shared" si="11"/>
        <v/>
      </c>
      <c r="Y83" s="110" t="str">
        <f t="array" ref="Y83">_xlfn.XLOOKUP(A83,'Video Database'!L:L,'Video Database'!M:M,"")</f>
        <v>Bottom of Funnel</v>
      </c>
    </row>
    <row r="84" ht="22.5" customHeight="1">
      <c r="A84" s="113">
        <f t="shared" si="12"/>
        <v>83</v>
      </c>
      <c r="B84" s="98" t="str">
        <f t="array" ref="B84">_xlfn.XLOOKUP(A84,'Video Database'!L:L,'Video Database'!D:D,"")</f>
        <v>Blakely</v>
      </c>
      <c r="C84" s="98" t="str">
        <f t="array" ref="C84">_xlfn.XLOOKUP(A84,'Video Database'!L:L,'Video Database'!E:E,"")</f>
        <v>Account 1</v>
      </c>
      <c r="D84" s="99" t="str">
        <f t="array" ref="D84">_xlfn.XLOOKUP(A84,'Video Database'!L:L,'Video Database'!G:G,"")</f>
        <v>Goli Women's Complete Multi Gummy</v>
      </c>
      <c r="E84" s="100">
        <f t="array" ref="E84">_xlfn.XLOOKUP(A84,'Video Database'!L:L,'Video Database'!H:H,"")</f>
        <v>0.11</v>
      </c>
      <c r="F84" s="101">
        <v>0.0</v>
      </c>
      <c r="G84" s="87">
        <v>0.0</v>
      </c>
      <c r="H84" s="114">
        <f t="array" ref="H84">_xlfn.XLOOKUP(A84,'Video Database'!L:L,'Video Database'!A:A,"")</f>
        <v>46184</v>
      </c>
      <c r="I84" s="103">
        <v>46201.0</v>
      </c>
      <c r="J84" s="104">
        <v>0.0</v>
      </c>
      <c r="K84" s="105"/>
      <c r="L84" s="105" t="str">
        <f t="shared" si="1"/>
        <v/>
      </c>
      <c r="O84" s="106" t="str">
        <f t="shared" si="2"/>
        <v>#N/A</v>
      </c>
      <c r="P84" s="106" t="str">
        <f t="shared" si="3"/>
        <v>#N/A</v>
      </c>
      <c r="Q84" s="84" t="str">
        <f t="shared" si="4"/>
        <v>#N/A</v>
      </c>
      <c r="R84" s="84" t="str">
        <f t="shared" si="5"/>
        <v>#N/A</v>
      </c>
      <c r="S84" s="107">
        <f t="shared" si="6"/>
        <v>-0.11</v>
      </c>
      <c r="T84" s="108">
        <f t="shared" si="7"/>
        <v>-1</v>
      </c>
      <c r="U84" s="106" t="str">
        <f t="shared" si="8"/>
        <v>#N/A</v>
      </c>
      <c r="V84" s="84" t="str">
        <f t="shared" si="9"/>
        <v/>
      </c>
      <c r="W84" s="109" t="str">
        <f t="shared" si="10"/>
        <v/>
      </c>
      <c r="X84" s="109" t="str">
        <f t="shared" si="11"/>
        <v/>
      </c>
      <c r="Y84" s="110" t="str">
        <f t="array" ref="Y84">_xlfn.XLOOKUP(A84,'Video Database'!L:L,'Video Database'!M:M,"")</f>
        <v>Bottom of Funnel</v>
      </c>
    </row>
    <row r="85" ht="22.5" customHeight="1">
      <c r="A85" s="113">
        <f t="shared" si="12"/>
        <v>84</v>
      </c>
      <c r="B85" s="98" t="str">
        <f t="array" ref="B85">_xlfn.XLOOKUP(A85,'Video Database'!L:L,'Video Database'!D:D,"")</f>
        <v>Blakely</v>
      </c>
      <c r="C85" s="98" t="str">
        <f t="array" ref="C85">_xlfn.XLOOKUP(A85,'Video Database'!L:L,'Video Database'!E:E,"")</f>
        <v>Account 1</v>
      </c>
      <c r="D85" s="99" t="str">
        <f t="array" ref="D85">_xlfn.XLOOKUP(A85,'Video Database'!L:L,'Video Database'!G:G,"")</f>
        <v>Goli Women's Complete Multi Gummy</v>
      </c>
      <c r="E85" s="100">
        <f t="array" ref="E85">_xlfn.XLOOKUP(A85,'Video Database'!L:L,'Video Database'!H:H,"")</f>
        <v>0.11</v>
      </c>
      <c r="F85" s="101">
        <v>0.0</v>
      </c>
      <c r="G85" s="87">
        <v>0.0</v>
      </c>
      <c r="H85" s="114">
        <f t="array" ref="H85">_xlfn.XLOOKUP(A85,'Video Database'!L:L,'Video Database'!A:A,"")</f>
        <v>46184</v>
      </c>
      <c r="I85" s="103">
        <v>46201.0</v>
      </c>
      <c r="J85" s="104">
        <v>0.0</v>
      </c>
      <c r="K85" s="105"/>
      <c r="L85" s="105" t="str">
        <f t="shared" si="1"/>
        <v/>
      </c>
      <c r="O85" s="106" t="str">
        <f t="shared" si="2"/>
        <v>#N/A</v>
      </c>
      <c r="P85" s="106" t="str">
        <f t="shared" si="3"/>
        <v>#N/A</v>
      </c>
      <c r="Q85" s="84" t="str">
        <f t="shared" si="4"/>
        <v>#N/A</v>
      </c>
      <c r="R85" s="84" t="str">
        <f t="shared" si="5"/>
        <v>#N/A</v>
      </c>
      <c r="S85" s="107">
        <f t="shared" si="6"/>
        <v>-0.11</v>
      </c>
      <c r="T85" s="108">
        <f t="shared" si="7"/>
        <v>-1</v>
      </c>
      <c r="U85" s="106" t="str">
        <f t="shared" si="8"/>
        <v>#N/A</v>
      </c>
      <c r="V85" s="84" t="str">
        <f t="shared" si="9"/>
        <v/>
      </c>
      <c r="W85" s="109" t="str">
        <f t="shared" si="10"/>
        <v/>
      </c>
      <c r="X85" s="109" t="str">
        <f t="shared" si="11"/>
        <v/>
      </c>
      <c r="Y85" s="110" t="str">
        <f t="array" ref="Y85">_xlfn.XLOOKUP(A85,'Video Database'!L:L,'Video Database'!M:M,"")</f>
        <v>Bottom of Funnel</v>
      </c>
    </row>
    <row r="86" ht="22.5" customHeight="1">
      <c r="A86" s="113">
        <f t="shared" si="12"/>
        <v>85</v>
      </c>
      <c r="B86" s="98" t="str">
        <f t="array" ref="B86">_xlfn.XLOOKUP(A86,'Video Database'!L:L,'Video Database'!D:D,"")</f>
        <v>Blakely</v>
      </c>
      <c r="C86" s="98" t="str">
        <f t="array" ref="C86">_xlfn.XLOOKUP(A86,'Video Database'!L:L,'Video Database'!E:E,"")</f>
        <v>Account 1</v>
      </c>
      <c r="D86" s="99" t="str">
        <f t="array" ref="D86">_xlfn.XLOOKUP(A86,'Video Database'!L:L,'Video Database'!G:G,"")</f>
        <v>Goli Women's Complete Multi Gummy</v>
      </c>
      <c r="E86" s="100">
        <f t="array" ref="E86">_xlfn.XLOOKUP(A86,'Video Database'!L:L,'Video Database'!H:H,"")</f>
        <v>0.11</v>
      </c>
      <c r="F86" s="101">
        <v>0.0</v>
      </c>
      <c r="G86" s="87">
        <v>0.0</v>
      </c>
      <c r="H86" s="114">
        <f t="array" ref="H86">_xlfn.XLOOKUP(A86,'Video Database'!L:L,'Video Database'!A:A,"")</f>
        <v>46184</v>
      </c>
      <c r="I86" s="103">
        <v>46201.0</v>
      </c>
      <c r="J86" s="104">
        <v>0.0</v>
      </c>
      <c r="K86" s="105"/>
      <c r="L86" s="105" t="str">
        <f t="shared" si="1"/>
        <v/>
      </c>
      <c r="O86" s="106" t="str">
        <f t="shared" si="2"/>
        <v>#N/A</v>
      </c>
      <c r="P86" s="106" t="str">
        <f t="shared" si="3"/>
        <v>#N/A</v>
      </c>
      <c r="Q86" s="84" t="str">
        <f t="shared" si="4"/>
        <v>#N/A</v>
      </c>
      <c r="R86" s="84" t="str">
        <f t="shared" si="5"/>
        <v>#N/A</v>
      </c>
      <c r="S86" s="107">
        <f t="shared" si="6"/>
        <v>-0.11</v>
      </c>
      <c r="T86" s="108">
        <f t="shared" si="7"/>
        <v>-1</v>
      </c>
      <c r="U86" s="106" t="str">
        <f t="shared" si="8"/>
        <v>#N/A</v>
      </c>
      <c r="V86" s="84" t="str">
        <f t="shared" si="9"/>
        <v/>
      </c>
      <c r="W86" s="109" t="str">
        <f t="shared" si="10"/>
        <v/>
      </c>
      <c r="X86" s="109" t="str">
        <f t="shared" si="11"/>
        <v/>
      </c>
      <c r="Y86" s="110" t="str">
        <f t="array" ref="Y86">_xlfn.XLOOKUP(A86,'Video Database'!L:L,'Video Database'!M:M,"")</f>
        <v>Bottom of Funnel</v>
      </c>
    </row>
    <row r="87" ht="22.5" customHeight="1">
      <c r="A87" s="113">
        <f t="shared" si="12"/>
        <v>86</v>
      </c>
      <c r="B87" s="98" t="str">
        <f t="array" ref="B87">_xlfn.XLOOKUP(A87,'Video Database'!L:L,'Video Database'!D:D,"")</f>
        <v>Blakely</v>
      </c>
      <c r="C87" s="98" t="str">
        <f t="array" ref="C87">_xlfn.XLOOKUP(A87,'Video Database'!L:L,'Video Database'!E:E,"")</f>
        <v>Account 1</v>
      </c>
      <c r="D87" s="99" t="str">
        <f t="array" ref="D87">_xlfn.XLOOKUP(A87,'Video Database'!L:L,'Video Database'!G:G,"")</f>
        <v>Goli Women's Complete Multi Gummy</v>
      </c>
      <c r="E87" s="100">
        <f t="array" ref="E87">_xlfn.XLOOKUP(A87,'Video Database'!L:L,'Video Database'!H:H,"")</f>
        <v>0.11</v>
      </c>
      <c r="F87" s="101">
        <v>0.0</v>
      </c>
      <c r="G87" s="87">
        <v>0.0</v>
      </c>
      <c r="H87" s="114">
        <f t="array" ref="H87">_xlfn.XLOOKUP(A87,'Video Database'!L:L,'Video Database'!A:A,"")</f>
        <v>46184</v>
      </c>
      <c r="I87" s="103">
        <v>46201.0</v>
      </c>
      <c r="J87" s="104">
        <v>0.0</v>
      </c>
      <c r="K87" s="105"/>
      <c r="L87" s="105" t="str">
        <f t="shared" si="1"/>
        <v/>
      </c>
      <c r="O87" s="106" t="str">
        <f t="shared" si="2"/>
        <v>#N/A</v>
      </c>
      <c r="P87" s="106" t="str">
        <f t="shared" si="3"/>
        <v>#N/A</v>
      </c>
      <c r="Q87" s="84" t="str">
        <f t="shared" si="4"/>
        <v>#N/A</v>
      </c>
      <c r="R87" s="84" t="str">
        <f t="shared" si="5"/>
        <v>#N/A</v>
      </c>
      <c r="S87" s="107">
        <f t="shared" si="6"/>
        <v>-0.11</v>
      </c>
      <c r="T87" s="108">
        <f t="shared" si="7"/>
        <v>-1</v>
      </c>
      <c r="U87" s="106" t="str">
        <f t="shared" si="8"/>
        <v>#N/A</v>
      </c>
      <c r="V87" s="84" t="str">
        <f t="shared" si="9"/>
        <v/>
      </c>
      <c r="W87" s="109" t="str">
        <f t="shared" si="10"/>
        <v/>
      </c>
      <c r="X87" s="109" t="str">
        <f t="shared" si="11"/>
        <v/>
      </c>
      <c r="Y87" s="110" t="str">
        <f t="array" ref="Y87">_xlfn.XLOOKUP(A87,'Video Database'!L:L,'Video Database'!M:M,"")</f>
        <v>Bottom of Funnel</v>
      </c>
    </row>
    <row r="88" ht="22.5" customHeight="1">
      <c r="A88" s="113">
        <f t="shared" si="12"/>
        <v>87</v>
      </c>
      <c r="B88" s="98" t="str">
        <f t="array" ref="B88">_xlfn.XLOOKUP(A88,'Video Database'!L:L,'Video Database'!D:D,"")</f>
        <v>Blakely</v>
      </c>
      <c r="C88" s="98" t="str">
        <f t="array" ref="C88">_xlfn.XLOOKUP(A88,'Video Database'!L:L,'Video Database'!E:E,"")</f>
        <v>Account 2</v>
      </c>
      <c r="D88" s="99" t="str">
        <f t="array" ref="D88">_xlfn.XLOOKUP(A88,'Video Database'!L:L,'Video Database'!G:G,"")</f>
        <v>Beast Bites Creatine Gummies</v>
      </c>
      <c r="E88" s="100">
        <f t="array" ref="E88">_xlfn.XLOOKUP(A88,'Video Database'!L:L,'Video Database'!H:H,"")</f>
        <v>0.11</v>
      </c>
      <c r="F88" s="101">
        <v>0.0</v>
      </c>
      <c r="G88" s="87">
        <v>0.0</v>
      </c>
      <c r="H88" s="114">
        <f t="array" ref="H88">_xlfn.XLOOKUP(A88,'Video Database'!L:L,'Video Database'!A:A,"")</f>
        <v>46184</v>
      </c>
      <c r="I88" s="103">
        <v>46201.0</v>
      </c>
      <c r="J88" s="104">
        <v>0.0</v>
      </c>
      <c r="K88" s="105"/>
      <c r="L88" s="105" t="str">
        <f t="shared" si="1"/>
        <v/>
      </c>
      <c r="O88" s="106" t="str">
        <f t="shared" si="2"/>
        <v>#N/A</v>
      </c>
      <c r="P88" s="106" t="str">
        <f t="shared" si="3"/>
        <v>#N/A</v>
      </c>
      <c r="Q88" s="84" t="str">
        <f t="shared" si="4"/>
        <v>#N/A</v>
      </c>
      <c r="R88" s="84" t="str">
        <f t="shared" si="5"/>
        <v>#N/A</v>
      </c>
      <c r="S88" s="107">
        <f t="shared" si="6"/>
        <v>-0.11</v>
      </c>
      <c r="T88" s="108">
        <f t="shared" si="7"/>
        <v>-1</v>
      </c>
      <c r="U88" s="106" t="str">
        <f t="shared" si="8"/>
        <v>#N/A</v>
      </c>
      <c r="V88" s="84" t="str">
        <f t="shared" si="9"/>
        <v/>
      </c>
      <c r="W88" s="109" t="str">
        <f t="shared" si="10"/>
        <v/>
      </c>
      <c r="X88" s="109" t="str">
        <f t="shared" si="11"/>
        <v/>
      </c>
      <c r="Y88" s="110" t="str">
        <f t="array" ref="Y88">_xlfn.XLOOKUP(A88,'Video Database'!L:L,'Video Database'!M:M,"")</f>
        <v>Middle of Funnel</v>
      </c>
    </row>
    <row r="89" ht="22.5" customHeight="1">
      <c r="A89" s="113">
        <f t="shared" si="12"/>
        <v>88</v>
      </c>
      <c r="B89" s="98" t="str">
        <f t="array" ref="B89">_xlfn.XLOOKUP(A89,'Video Database'!L:L,'Video Database'!D:D,"")</f>
        <v>Blakely</v>
      </c>
      <c r="C89" s="98" t="str">
        <f t="array" ref="C89">_xlfn.XLOOKUP(A89,'Video Database'!L:L,'Video Database'!E:E,"")</f>
        <v>Account 2</v>
      </c>
      <c r="D89" s="99" t="str">
        <f t="array" ref="D89">_xlfn.XLOOKUP(A89,'Video Database'!L:L,'Video Database'!G:G,"")</f>
        <v>Beast Bites Creatine Gummies</v>
      </c>
      <c r="E89" s="100">
        <f t="array" ref="E89">_xlfn.XLOOKUP(A89,'Video Database'!L:L,'Video Database'!H:H,"")</f>
        <v>0.11</v>
      </c>
      <c r="F89" s="101">
        <v>0.0</v>
      </c>
      <c r="G89" s="87">
        <v>0.0</v>
      </c>
      <c r="H89" s="114">
        <f t="array" ref="H89">_xlfn.XLOOKUP(A89,'Video Database'!L:L,'Video Database'!A:A,"")</f>
        <v>46184</v>
      </c>
      <c r="I89" s="103">
        <v>46201.0</v>
      </c>
      <c r="J89" s="104">
        <v>0.0</v>
      </c>
      <c r="K89" s="105"/>
      <c r="L89" s="105" t="str">
        <f t="shared" si="1"/>
        <v/>
      </c>
      <c r="O89" s="106" t="str">
        <f t="shared" si="2"/>
        <v>#N/A</v>
      </c>
      <c r="P89" s="106" t="str">
        <f t="shared" si="3"/>
        <v>#N/A</v>
      </c>
      <c r="Q89" s="84" t="str">
        <f t="shared" si="4"/>
        <v>#N/A</v>
      </c>
      <c r="R89" s="84" t="str">
        <f t="shared" si="5"/>
        <v>#N/A</v>
      </c>
      <c r="S89" s="107">
        <f t="shared" si="6"/>
        <v>-0.11</v>
      </c>
      <c r="T89" s="108">
        <f t="shared" si="7"/>
        <v>-1</v>
      </c>
      <c r="U89" s="106" t="str">
        <f t="shared" si="8"/>
        <v>#N/A</v>
      </c>
      <c r="V89" s="84" t="str">
        <f t="shared" si="9"/>
        <v/>
      </c>
      <c r="W89" s="109" t="str">
        <f t="shared" si="10"/>
        <v/>
      </c>
      <c r="X89" s="109" t="str">
        <f t="shared" si="11"/>
        <v/>
      </c>
      <c r="Y89" s="110" t="str">
        <f t="array" ref="Y89">_xlfn.XLOOKUP(A89,'Video Database'!L:L,'Video Database'!M:M,"")</f>
        <v>Middle of Funnel</v>
      </c>
    </row>
    <row r="90" ht="22.5" customHeight="1">
      <c r="A90" s="113">
        <f t="shared" si="12"/>
        <v>89</v>
      </c>
      <c r="B90" s="98" t="str">
        <f t="array" ref="B90">_xlfn.XLOOKUP(A90,'Video Database'!L:L,'Video Database'!D:D,"")</f>
        <v>Blakely</v>
      </c>
      <c r="C90" s="98" t="str">
        <f t="array" ref="C90">_xlfn.XLOOKUP(A90,'Video Database'!L:L,'Video Database'!E:E,"")</f>
        <v>Account 2</v>
      </c>
      <c r="D90" s="99" t="str">
        <f t="array" ref="D90">_xlfn.XLOOKUP(A90,'Video Database'!L:L,'Video Database'!G:G,"")</f>
        <v>Beast Bites Creatine Gummies</v>
      </c>
      <c r="E90" s="100">
        <f t="array" ref="E90">_xlfn.XLOOKUP(A90,'Video Database'!L:L,'Video Database'!H:H,"")</f>
        <v>0.11</v>
      </c>
      <c r="F90" s="101">
        <v>0.0</v>
      </c>
      <c r="G90" s="87">
        <v>0.0</v>
      </c>
      <c r="H90" s="114">
        <f t="array" ref="H90">_xlfn.XLOOKUP(A90,'Video Database'!L:L,'Video Database'!A:A,"")</f>
        <v>46184</v>
      </c>
      <c r="I90" s="103">
        <v>46201.0</v>
      </c>
      <c r="J90" s="104">
        <v>0.0</v>
      </c>
      <c r="K90" s="105"/>
      <c r="L90" s="105" t="str">
        <f t="shared" si="1"/>
        <v/>
      </c>
      <c r="O90" s="106" t="str">
        <f t="shared" si="2"/>
        <v>#N/A</v>
      </c>
      <c r="P90" s="106" t="str">
        <f t="shared" si="3"/>
        <v>#N/A</v>
      </c>
      <c r="Q90" s="84" t="str">
        <f t="shared" si="4"/>
        <v>#N/A</v>
      </c>
      <c r="R90" s="84" t="str">
        <f t="shared" si="5"/>
        <v>#N/A</v>
      </c>
      <c r="S90" s="107">
        <f t="shared" si="6"/>
        <v>-0.11</v>
      </c>
      <c r="T90" s="108">
        <f t="shared" si="7"/>
        <v>-1</v>
      </c>
      <c r="U90" s="106" t="str">
        <f t="shared" si="8"/>
        <v>#N/A</v>
      </c>
      <c r="V90" s="84" t="str">
        <f t="shared" si="9"/>
        <v/>
      </c>
      <c r="W90" s="109" t="str">
        <f t="shared" si="10"/>
        <v/>
      </c>
      <c r="X90" s="109" t="str">
        <f t="shared" si="11"/>
        <v/>
      </c>
      <c r="Y90" s="110" t="str">
        <f t="array" ref="Y90">_xlfn.XLOOKUP(A90,'Video Database'!L:L,'Video Database'!M:M,"")</f>
        <v>Middle of Funnel</v>
      </c>
    </row>
    <row r="91" ht="22.5" customHeight="1">
      <c r="A91" s="113">
        <f t="shared" si="12"/>
        <v>90</v>
      </c>
      <c r="B91" s="98" t="str">
        <f t="array" ref="B91">_xlfn.XLOOKUP(A91,'Video Database'!L:L,'Video Database'!D:D,"")</f>
        <v>Blakely</v>
      </c>
      <c r="C91" s="98" t="str">
        <f t="array" ref="C91">_xlfn.XLOOKUP(A91,'Video Database'!L:L,'Video Database'!E:E,"")</f>
        <v>Account 2</v>
      </c>
      <c r="D91" s="99" t="str">
        <f t="array" ref="D91">_xlfn.XLOOKUP(A91,'Video Database'!L:L,'Video Database'!G:G,"")</f>
        <v>Beast Bites Creatine Gummies</v>
      </c>
      <c r="E91" s="100">
        <f t="array" ref="E91">_xlfn.XLOOKUP(A91,'Video Database'!L:L,'Video Database'!H:H,"")</f>
        <v>0.11</v>
      </c>
      <c r="F91" s="101">
        <v>0.0</v>
      </c>
      <c r="G91" s="87">
        <v>0.0</v>
      </c>
      <c r="H91" s="114">
        <f t="array" ref="H91">_xlfn.XLOOKUP(A91,'Video Database'!L:L,'Video Database'!A:A,"")</f>
        <v>46184</v>
      </c>
      <c r="I91" s="103">
        <v>46201.0</v>
      </c>
      <c r="J91" s="104">
        <v>0.0</v>
      </c>
      <c r="K91" s="105"/>
      <c r="L91" s="105" t="str">
        <f t="shared" si="1"/>
        <v/>
      </c>
      <c r="O91" s="106" t="str">
        <f t="shared" si="2"/>
        <v>#N/A</v>
      </c>
      <c r="P91" s="106" t="str">
        <f t="shared" si="3"/>
        <v>#N/A</v>
      </c>
      <c r="Q91" s="84" t="str">
        <f t="shared" si="4"/>
        <v>#N/A</v>
      </c>
      <c r="R91" s="84" t="str">
        <f t="shared" si="5"/>
        <v>#N/A</v>
      </c>
      <c r="S91" s="107">
        <f t="shared" si="6"/>
        <v>-0.11</v>
      </c>
      <c r="T91" s="108">
        <f t="shared" si="7"/>
        <v>-1</v>
      </c>
      <c r="U91" s="106" t="str">
        <f t="shared" si="8"/>
        <v>#N/A</v>
      </c>
      <c r="V91" s="84" t="str">
        <f t="shared" si="9"/>
        <v/>
      </c>
      <c r="W91" s="109" t="str">
        <f t="shared" si="10"/>
        <v/>
      </c>
      <c r="X91" s="109" t="str">
        <f t="shared" si="11"/>
        <v/>
      </c>
      <c r="Y91" s="110" t="str">
        <f t="array" ref="Y91">_xlfn.XLOOKUP(A91,'Video Database'!L:L,'Video Database'!M:M,"")</f>
        <v>Middle of Funnel</v>
      </c>
    </row>
    <row r="92" ht="22.5" customHeight="1">
      <c r="A92" s="113">
        <f t="shared" si="12"/>
        <v>91</v>
      </c>
      <c r="B92" s="98" t="str">
        <f t="array" ref="B92">_xlfn.XLOOKUP(A92,'Video Database'!L:L,'Video Database'!D:D,"")</f>
        <v>Blakely</v>
      </c>
      <c r="C92" s="98" t="str">
        <f t="array" ref="C92">_xlfn.XLOOKUP(A92,'Video Database'!L:L,'Video Database'!E:E,"")</f>
        <v>Account 2</v>
      </c>
      <c r="D92" s="99" t="str">
        <f t="array" ref="D92">_xlfn.XLOOKUP(A92,'Video Database'!L:L,'Video Database'!G:G,"")</f>
        <v>Beast Bites Creatine Gummies</v>
      </c>
      <c r="E92" s="100">
        <f t="array" ref="E92">_xlfn.XLOOKUP(A92,'Video Database'!L:L,'Video Database'!H:H,"")</f>
        <v>0.11</v>
      </c>
      <c r="F92" s="101">
        <v>0.0</v>
      </c>
      <c r="G92" s="87">
        <v>0.0</v>
      </c>
      <c r="H92" s="114">
        <f t="array" ref="H92">_xlfn.XLOOKUP(A92,'Video Database'!L:L,'Video Database'!A:A,"")</f>
        <v>46184</v>
      </c>
      <c r="I92" s="103">
        <v>46201.0</v>
      </c>
      <c r="J92" s="104">
        <v>0.0</v>
      </c>
      <c r="K92" s="105"/>
      <c r="L92" s="105" t="str">
        <f t="shared" si="1"/>
        <v/>
      </c>
      <c r="O92" s="106" t="str">
        <f t="shared" si="2"/>
        <v>#N/A</v>
      </c>
      <c r="P92" s="106" t="str">
        <f t="shared" si="3"/>
        <v>#N/A</v>
      </c>
      <c r="Q92" s="84" t="str">
        <f t="shared" si="4"/>
        <v>#N/A</v>
      </c>
      <c r="R92" s="84" t="str">
        <f t="shared" si="5"/>
        <v>#N/A</v>
      </c>
      <c r="S92" s="107">
        <f t="shared" si="6"/>
        <v>-0.11</v>
      </c>
      <c r="T92" s="108">
        <f t="shared" si="7"/>
        <v>-1</v>
      </c>
      <c r="U92" s="106" t="str">
        <f t="shared" si="8"/>
        <v>#N/A</v>
      </c>
      <c r="V92" s="84" t="str">
        <f t="shared" si="9"/>
        <v/>
      </c>
      <c r="W92" s="109" t="str">
        <f t="shared" si="10"/>
        <v/>
      </c>
      <c r="X92" s="109" t="str">
        <f t="shared" si="11"/>
        <v/>
      </c>
      <c r="Y92" s="110" t="str">
        <f t="array" ref="Y92">_xlfn.XLOOKUP(A92,'Video Database'!L:L,'Video Database'!M:M,"")</f>
        <v>Middle of Funnel</v>
      </c>
    </row>
    <row r="93" ht="22.5" customHeight="1">
      <c r="A93" s="113">
        <f t="shared" si="12"/>
        <v>92</v>
      </c>
      <c r="B93" s="98" t="str">
        <f t="array" ref="B93">_xlfn.XLOOKUP(A93,'Video Database'!L:L,'Video Database'!D:D,"")</f>
        <v>Erin</v>
      </c>
      <c r="C93" s="98" t="str">
        <f t="array" ref="C93">_xlfn.XLOOKUP(A93,'Video Database'!L:L,'Video Database'!E:E,"")</f>
        <v>Account 4</v>
      </c>
      <c r="D93" s="99" t="str">
        <f t="array" ref="D93">_xlfn.XLOOKUP(A93,'Video Database'!L:L,'Video Database'!G:G,"")</f>
        <v>LullaBites Natural Sleep Gummies</v>
      </c>
      <c r="E93" s="100">
        <f t="array" ref="E93">_xlfn.XLOOKUP(A93,'Video Database'!L:L,'Video Database'!H:H,"")</f>
        <v>1.1</v>
      </c>
      <c r="F93" s="101">
        <v>0.0</v>
      </c>
      <c r="G93" s="87">
        <v>0.0</v>
      </c>
      <c r="H93" s="114">
        <f t="array" ref="H93">_xlfn.XLOOKUP(A93,'Video Database'!L:L,'Video Database'!A:A,"")</f>
        <v>46184</v>
      </c>
      <c r="I93" s="103">
        <v>46201.0</v>
      </c>
      <c r="J93" s="104">
        <v>0.0</v>
      </c>
      <c r="K93" s="105"/>
      <c r="L93" s="105" t="str">
        <f t="shared" si="1"/>
        <v/>
      </c>
      <c r="O93" s="106" t="str">
        <f t="shared" si="2"/>
        <v>#N/A</v>
      </c>
      <c r="P93" s="106" t="str">
        <f t="shared" si="3"/>
        <v>#N/A</v>
      </c>
      <c r="Q93" s="84" t="str">
        <f t="shared" si="4"/>
        <v>#N/A</v>
      </c>
      <c r="R93" s="84" t="str">
        <f t="shared" si="5"/>
        <v>#N/A</v>
      </c>
      <c r="S93" s="107">
        <f t="shared" si="6"/>
        <v>-1.1</v>
      </c>
      <c r="T93" s="108">
        <f t="shared" si="7"/>
        <v>-1</v>
      </c>
      <c r="U93" s="106" t="str">
        <f t="shared" si="8"/>
        <v>#N/A</v>
      </c>
      <c r="V93" s="84" t="str">
        <f t="shared" si="9"/>
        <v/>
      </c>
      <c r="W93" s="109" t="str">
        <f t="shared" si="10"/>
        <v/>
      </c>
      <c r="X93" s="109" t="str">
        <f t="shared" si="11"/>
        <v/>
      </c>
      <c r="Y93" s="110" t="str">
        <f t="array" ref="Y93">_xlfn.XLOOKUP(A93,'Video Database'!L:L,'Video Database'!M:M,"")</f>
        <v>Bottom of Funnel</v>
      </c>
    </row>
    <row r="94" ht="22.5" customHeight="1">
      <c r="A94" s="113">
        <f t="shared" si="12"/>
        <v>93</v>
      </c>
      <c r="B94" s="98" t="str">
        <f t="array" ref="B94">_xlfn.XLOOKUP(A94,'Video Database'!L:L,'Video Database'!D:D,"")</f>
        <v>Erin</v>
      </c>
      <c r="C94" s="98" t="str">
        <f t="array" ref="C94">_xlfn.XLOOKUP(A94,'Video Database'!L:L,'Video Database'!E:E,"")</f>
        <v>Account 4</v>
      </c>
      <c r="D94" s="99" t="str">
        <f t="array" ref="D94">_xlfn.XLOOKUP(A94,'Video Database'!L:L,'Video Database'!G:G,"")</f>
        <v>LullaBites Natural Sleep Gummies</v>
      </c>
      <c r="E94" s="100">
        <f t="array" ref="E94">_xlfn.XLOOKUP(A94,'Video Database'!L:L,'Video Database'!H:H,"")</f>
        <v>1.1</v>
      </c>
      <c r="F94" s="101">
        <v>0.0</v>
      </c>
      <c r="G94" s="87">
        <v>0.0</v>
      </c>
      <c r="H94" s="114">
        <f t="array" ref="H94">_xlfn.XLOOKUP(A94,'Video Database'!L:L,'Video Database'!A:A,"")</f>
        <v>46184</v>
      </c>
      <c r="I94" s="103">
        <v>46201.0</v>
      </c>
      <c r="J94" s="104">
        <v>0.0</v>
      </c>
      <c r="K94" s="105"/>
      <c r="L94" s="105" t="str">
        <f t="shared" si="1"/>
        <v/>
      </c>
      <c r="O94" s="106" t="str">
        <f t="shared" si="2"/>
        <v>#N/A</v>
      </c>
      <c r="P94" s="106" t="str">
        <f t="shared" si="3"/>
        <v>#N/A</v>
      </c>
      <c r="Q94" s="84" t="str">
        <f t="shared" si="4"/>
        <v>#N/A</v>
      </c>
      <c r="R94" s="84" t="str">
        <f t="shared" si="5"/>
        <v>#N/A</v>
      </c>
      <c r="S94" s="107">
        <f t="shared" si="6"/>
        <v>-1.1</v>
      </c>
      <c r="T94" s="108">
        <f t="shared" si="7"/>
        <v>-1</v>
      </c>
      <c r="U94" s="106" t="str">
        <f t="shared" si="8"/>
        <v>#N/A</v>
      </c>
      <c r="V94" s="84" t="str">
        <f t="shared" si="9"/>
        <v/>
      </c>
      <c r="W94" s="109" t="str">
        <f t="shared" si="10"/>
        <v/>
      </c>
      <c r="X94" s="109" t="str">
        <f t="shared" si="11"/>
        <v/>
      </c>
      <c r="Y94" s="110" t="str">
        <f t="array" ref="Y94">_xlfn.XLOOKUP(A94,'Video Database'!L:L,'Video Database'!M:M,"")</f>
        <v>Bottom of Funnel</v>
      </c>
    </row>
    <row r="95" ht="22.5" customHeight="1">
      <c r="A95" s="113">
        <f t="shared" si="12"/>
        <v>94</v>
      </c>
      <c r="B95" s="98" t="str">
        <f t="array" ref="B95">_xlfn.XLOOKUP(A95,'Video Database'!L:L,'Video Database'!D:D,"")</f>
        <v>Erin</v>
      </c>
      <c r="C95" s="98" t="str">
        <f t="array" ref="C95">_xlfn.XLOOKUP(A95,'Video Database'!L:L,'Video Database'!E:E,"")</f>
        <v>Account 4</v>
      </c>
      <c r="D95" s="99" t="str">
        <f t="array" ref="D95">_xlfn.XLOOKUP(A95,'Video Database'!L:L,'Video Database'!G:G,"")</f>
        <v>LullaBites Natural Sleep Gummies</v>
      </c>
      <c r="E95" s="100">
        <f t="array" ref="E95">_xlfn.XLOOKUP(A95,'Video Database'!L:L,'Video Database'!H:H,"")</f>
        <v>1.1</v>
      </c>
      <c r="F95" s="101">
        <v>0.0</v>
      </c>
      <c r="G95" s="87">
        <v>0.0</v>
      </c>
      <c r="H95" s="114">
        <f t="array" ref="H95">_xlfn.XLOOKUP(A95,'Video Database'!L:L,'Video Database'!A:A,"")</f>
        <v>46184</v>
      </c>
      <c r="I95" s="103">
        <v>46201.0</v>
      </c>
      <c r="J95" s="104">
        <v>0.0</v>
      </c>
      <c r="K95" s="105"/>
      <c r="L95" s="105" t="str">
        <f t="shared" si="1"/>
        <v/>
      </c>
      <c r="O95" s="106" t="str">
        <f t="shared" si="2"/>
        <v>#N/A</v>
      </c>
      <c r="P95" s="106" t="str">
        <f t="shared" si="3"/>
        <v>#N/A</v>
      </c>
      <c r="Q95" s="84" t="str">
        <f t="shared" si="4"/>
        <v>#N/A</v>
      </c>
      <c r="R95" s="84" t="str">
        <f t="shared" si="5"/>
        <v>#N/A</v>
      </c>
      <c r="S95" s="107">
        <f t="shared" si="6"/>
        <v>-1.1</v>
      </c>
      <c r="T95" s="108">
        <f t="shared" si="7"/>
        <v>-1</v>
      </c>
      <c r="U95" s="106" t="str">
        <f t="shared" si="8"/>
        <v>#N/A</v>
      </c>
      <c r="V95" s="84" t="str">
        <f t="shared" si="9"/>
        <v/>
      </c>
      <c r="W95" s="109" t="str">
        <f t="shared" si="10"/>
        <v/>
      </c>
      <c r="X95" s="109" t="str">
        <f t="shared" si="11"/>
        <v/>
      </c>
      <c r="Y95" s="110" t="str">
        <f t="array" ref="Y95">_xlfn.XLOOKUP(A95,'Video Database'!L:L,'Video Database'!M:M,"")</f>
        <v>Bottom of Funnel</v>
      </c>
    </row>
    <row r="96" ht="22.5" customHeight="1">
      <c r="A96" s="113">
        <f t="shared" si="12"/>
        <v>95</v>
      </c>
      <c r="B96" s="98" t="str">
        <f t="array" ref="B96">_xlfn.XLOOKUP(A96,'Video Database'!L:L,'Video Database'!D:D,"")</f>
        <v>Erin</v>
      </c>
      <c r="C96" s="98" t="str">
        <f t="array" ref="C96">_xlfn.XLOOKUP(A96,'Video Database'!L:L,'Video Database'!E:E,"")</f>
        <v>Account 4</v>
      </c>
      <c r="D96" s="99" t="str">
        <f t="array" ref="D96">_xlfn.XLOOKUP(A96,'Video Database'!L:L,'Video Database'!G:G,"")</f>
        <v>LullaBites Natural Sleep Gummies</v>
      </c>
      <c r="E96" s="100">
        <f t="array" ref="E96">_xlfn.XLOOKUP(A96,'Video Database'!L:L,'Video Database'!H:H,"")</f>
        <v>1.1</v>
      </c>
      <c r="F96" s="101">
        <v>19.99</v>
      </c>
      <c r="G96" s="87">
        <v>1.0</v>
      </c>
      <c r="H96" s="114">
        <f t="array" ref="H96">_xlfn.XLOOKUP(A96,'Video Database'!L:L,'Video Database'!A:A,"")</f>
        <v>46184</v>
      </c>
      <c r="I96" s="103">
        <v>46201.0</v>
      </c>
      <c r="J96" s="104">
        <v>2.5</v>
      </c>
      <c r="K96" s="87">
        <v>3.0</v>
      </c>
      <c r="L96" s="105">
        <f t="shared" si="1"/>
        <v>1000</v>
      </c>
      <c r="M96" s="87">
        <v>1000.0</v>
      </c>
      <c r="O96" s="106">
        <f t="shared" si="2"/>
        <v>0.003</v>
      </c>
      <c r="P96" s="106">
        <f t="shared" si="3"/>
        <v>0.3333333333</v>
      </c>
      <c r="Q96" s="84">
        <f t="shared" si="4"/>
        <v>2.5</v>
      </c>
      <c r="R96" s="84">
        <f t="shared" si="5"/>
        <v>19.99</v>
      </c>
      <c r="S96" s="107">
        <f t="shared" si="6"/>
        <v>1.4</v>
      </c>
      <c r="T96" s="108">
        <f t="shared" si="7"/>
        <v>1.272727273</v>
      </c>
      <c r="U96" s="106">
        <f t="shared" si="8"/>
        <v>0.56</v>
      </c>
      <c r="V96" s="129">
        <f t="shared" si="9"/>
        <v>1.1</v>
      </c>
      <c r="W96" s="109">
        <f t="shared" si="10"/>
        <v>0.3666666667</v>
      </c>
      <c r="X96" s="109">
        <f t="shared" si="11"/>
        <v>5.502751376</v>
      </c>
      <c r="Y96" s="110" t="str">
        <f t="array" ref="Y96">_xlfn.XLOOKUP(A96,'Video Database'!L:L,'Video Database'!M:M,"")</f>
        <v>Bottom of Funnel</v>
      </c>
    </row>
    <row r="97" ht="22.5" customHeight="1">
      <c r="A97" s="113">
        <f t="shared" si="12"/>
        <v>96</v>
      </c>
      <c r="B97" s="98" t="str">
        <f t="array" ref="B97">_xlfn.XLOOKUP(A97,'Video Database'!L:L,'Video Database'!D:D,"")</f>
        <v>Erin</v>
      </c>
      <c r="C97" s="98" t="str">
        <f t="array" ref="C97">_xlfn.XLOOKUP(A97,'Video Database'!L:L,'Video Database'!E:E,"")</f>
        <v>Account 4</v>
      </c>
      <c r="D97" s="99" t="str">
        <f t="array" ref="D97">_xlfn.XLOOKUP(A97,'Video Database'!L:L,'Video Database'!G:G,"")</f>
        <v>LullaBites Natural Sleep Gummies</v>
      </c>
      <c r="E97" s="100">
        <f t="array" ref="E97">_xlfn.XLOOKUP(A97,'Video Database'!L:L,'Video Database'!H:H,"")</f>
        <v>1.1</v>
      </c>
      <c r="F97" s="101">
        <v>18.04</v>
      </c>
      <c r="G97" s="87">
        <v>1.0</v>
      </c>
      <c r="H97" s="114">
        <f t="array" ref="H97">_xlfn.XLOOKUP(A97,'Video Database'!L:L,'Video Database'!A:A,"")</f>
        <v>46184</v>
      </c>
      <c r="I97" s="103">
        <v>46201.0</v>
      </c>
      <c r="J97" s="104">
        <v>5.0</v>
      </c>
      <c r="K97" s="87">
        <v>2.0</v>
      </c>
      <c r="L97" s="105">
        <f t="shared" si="1"/>
        <v>701</v>
      </c>
      <c r="M97" s="87">
        <v>701.0</v>
      </c>
      <c r="O97" s="106">
        <f t="shared" si="2"/>
        <v>0.002853067047</v>
      </c>
      <c r="P97" s="106">
        <f t="shared" si="3"/>
        <v>0.5</v>
      </c>
      <c r="Q97" s="84">
        <f t="shared" si="4"/>
        <v>5</v>
      </c>
      <c r="R97" s="84">
        <f t="shared" si="5"/>
        <v>18.04</v>
      </c>
      <c r="S97" s="107">
        <f t="shared" si="6"/>
        <v>3.9</v>
      </c>
      <c r="T97" s="108">
        <f t="shared" si="7"/>
        <v>3.545454545</v>
      </c>
      <c r="U97" s="106">
        <f t="shared" si="8"/>
        <v>0.78</v>
      </c>
      <c r="V97" s="129">
        <f t="shared" si="9"/>
        <v>1.1</v>
      </c>
      <c r="W97" s="109">
        <f t="shared" si="10"/>
        <v>0.55</v>
      </c>
      <c r="X97" s="109">
        <f t="shared" si="11"/>
        <v>6.097560976</v>
      </c>
      <c r="Y97" s="110" t="str">
        <f t="array" ref="Y97">_xlfn.XLOOKUP(A97,'Video Database'!L:L,'Video Database'!M:M,"")</f>
        <v>Bottom of Funnel</v>
      </c>
    </row>
    <row r="98" ht="22.5" customHeight="1">
      <c r="A98" s="113">
        <f t="shared" si="12"/>
        <v>97</v>
      </c>
      <c r="B98" s="98" t="str">
        <f t="array" ref="B98">_xlfn.XLOOKUP(A98,'Video Database'!L:L,'Video Database'!D:D,"")</f>
        <v>Erin</v>
      </c>
      <c r="C98" s="98" t="str">
        <f t="array" ref="C98">_xlfn.XLOOKUP(A98,'Video Database'!L:L,'Video Database'!E:E,"")</f>
        <v>Account 4</v>
      </c>
      <c r="D98" s="99" t="str">
        <f t="array" ref="D98">_xlfn.XLOOKUP(A98,'Video Database'!L:L,'Video Database'!G:G,"")</f>
        <v>LullaBites Natural Sleep Gummies</v>
      </c>
      <c r="E98" s="100">
        <f t="array" ref="E98">_xlfn.XLOOKUP(A98,'Video Database'!L:L,'Video Database'!H:H,"")</f>
        <v>1.1</v>
      </c>
      <c r="F98" s="101">
        <v>0.0</v>
      </c>
      <c r="G98" s="87">
        <v>0.0</v>
      </c>
      <c r="H98" s="114">
        <f t="array" ref="H98">_xlfn.XLOOKUP(A98,'Video Database'!L:L,'Video Database'!A:A,"")</f>
        <v>46184</v>
      </c>
      <c r="I98" s="103">
        <v>46201.0</v>
      </c>
      <c r="J98" s="104">
        <v>0.0</v>
      </c>
      <c r="K98" s="105"/>
      <c r="L98" s="105" t="str">
        <f t="shared" si="1"/>
        <v/>
      </c>
      <c r="O98" s="106" t="str">
        <f t="shared" si="2"/>
        <v>#N/A</v>
      </c>
      <c r="P98" s="106" t="str">
        <f t="shared" si="3"/>
        <v>#N/A</v>
      </c>
      <c r="Q98" s="84" t="str">
        <f t="shared" si="4"/>
        <v>#N/A</v>
      </c>
      <c r="R98" s="84" t="str">
        <f t="shared" si="5"/>
        <v>#N/A</v>
      </c>
      <c r="S98" s="107">
        <f t="shared" si="6"/>
        <v>-1.1</v>
      </c>
      <c r="T98" s="108">
        <f t="shared" si="7"/>
        <v>-1</v>
      </c>
      <c r="U98" s="106" t="str">
        <f t="shared" si="8"/>
        <v>#N/A</v>
      </c>
      <c r="V98" s="84" t="str">
        <f t="shared" si="9"/>
        <v/>
      </c>
      <c r="W98" s="109" t="str">
        <f t="shared" si="10"/>
        <v/>
      </c>
      <c r="X98" s="109" t="str">
        <f t="shared" si="11"/>
        <v/>
      </c>
      <c r="Y98" s="110" t="str">
        <f t="array" ref="Y98">_xlfn.XLOOKUP(A98,'Video Database'!L:L,'Video Database'!M:M,"")</f>
        <v>Bottom of Funnel</v>
      </c>
    </row>
    <row r="99" ht="22.5" customHeight="1">
      <c r="A99" s="113">
        <f t="shared" si="12"/>
        <v>98</v>
      </c>
      <c r="B99" s="98" t="str">
        <f t="array" ref="B99">_xlfn.XLOOKUP(A99,'Video Database'!L:L,'Video Database'!D:D,"")</f>
        <v>Erin</v>
      </c>
      <c r="C99" s="98" t="str">
        <f t="array" ref="C99">_xlfn.XLOOKUP(A99,'Video Database'!L:L,'Video Database'!E:E,"")</f>
        <v>Account 4</v>
      </c>
      <c r="D99" s="99" t="str">
        <f t="array" ref="D99">_xlfn.XLOOKUP(A99,'Video Database'!L:L,'Video Database'!G:G,"")</f>
        <v>LullaBites Natural Sleep Gummies</v>
      </c>
      <c r="E99" s="100">
        <f t="array" ref="E99">_xlfn.XLOOKUP(A99,'Video Database'!L:L,'Video Database'!H:H,"")</f>
        <v>1.1</v>
      </c>
      <c r="F99" s="101">
        <v>0.0</v>
      </c>
      <c r="G99" s="87">
        <v>0.0</v>
      </c>
      <c r="H99" s="114">
        <f t="array" ref="H99">_xlfn.XLOOKUP(A99,'Video Database'!L:L,'Video Database'!A:A,"")</f>
        <v>46184</v>
      </c>
      <c r="I99" s="103">
        <v>46201.0</v>
      </c>
      <c r="J99" s="104">
        <v>0.0</v>
      </c>
      <c r="K99" s="105"/>
      <c r="L99" s="105" t="str">
        <f t="shared" si="1"/>
        <v/>
      </c>
      <c r="O99" s="106" t="str">
        <f t="shared" si="2"/>
        <v>#N/A</v>
      </c>
      <c r="P99" s="106" t="str">
        <f t="shared" si="3"/>
        <v>#N/A</v>
      </c>
      <c r="Q99" s="84" t="str">
        <f t="shared" si="4"/>
        <v>#N/A</v>
      </c>
      <c r="R99" s="84" t="str">
        <f t="shared" si="5"/>
        <v>#N/A</v>
      </c>
      <c r="S99" s="107">
        <f t="shared" si="6"/>
        <v>-1.1</v>
      </c>
      <c r="T99" s="108">
        <f t="shared" si="7"/>
        <v>-1</v>
      </c>
      <c r="U99" s="106" t="str">
        <f t="shared" si="8"/>
        <v>#N/A</v>
      </c>
      <c r="V99" s="84" t="str">
        <f t="shared" si="9"/>
        <v/>
      </c>
      <c r="W99" s="109" t="str">
        <f t="shared" si="10"/>
        <v/>
      </c>
      <c r="X99" s="109" t="str">
        <f t="shared" si="11"/>
        <v/>
      </c>
      <c r="Y99" s="110" t="str">
        <f t="array" ref="Y99">_xlfn.XLOOKUP(A99,'Video Database'!L:L,'Video Database'!M:M,"")</f>
        <v>Bottom of Funnel</v>
      </c>
    </row>
    <row r="100" ht="22.5" customHeight="1">
      <c r="A100" s="113">
        <f t="shared" si="12"/>
        <v>99</v>
      </c>
      <c r="B100" s="98" t="str">
        <f t="array" ref="B100">_xlfn.XLOOKUP(A100,'Video Database'!L:L,'Video Database'!D:D,"")</f>
        <v>Erin</v>
      </c>
      <c r="C100" s="98" t="str">
        <f t="array" ref="C100">_xlfn.XLOOKUP(A100,'Video Database'!L:L,'Video Database'!E:E,"")</f>
        <v>Account 4</v>
      </c>
      <c r="D100" s="99" t="str">
        <f t="array" ref="D100">_xlfn.XLOOKUP(A100,'Video Database'!L:L,'Video Database'!G:G,"")</f>
        <v>LullaBites Natural Sleep Gummies</v>
      </c>
      <c r="E100" s="100">
        <f t="array" ref="E100">_xlfn.XLOOKUP(A100,'Video Database'!L:L,'Video Database'!H:H,"")</f>
        <v>1.1</v>
      </c>
      <c r="F100" s="101">
        <v>0.0</v>
      </c>
      <c r="G100" s="87">
        <v>0.0</v>
      </c>
      <c r="H100" s="114">
        <f t="array" ref="H100">_xlfn.XLOOKUP(A100,'Video Database'!L:L,'Video Database'!A:A,"")</f>
        <v>46184</v>
      </c>
      <c r="I100" s="103">
        <v>46201.0</v>
      </c>
      <c r="J100" s="104">
        <v>0.0</v>
      </c>
      <c r="K100" s="105"/>
      <c r="L100" s="105" t="str">
        <f t="shared" si="1"/>
        <v/>
      </c>
      <c r="O100" s="106" t="str">
        <f t="shared" si="2"/>
        <v>#N/A</v>
      </c>
      <c r="P100" s="106" t="str">
        <f t="shared" si="3"/>
        <v>#N/A</v>
      </c>
      <c r="Q100" s="84" t="str">
        <f t="shared" si="4"/>
        <v>#N/A</v>
      </c>
      <c r="R100" s="84" t="str">
        <f t="shared" si="5"/>
        <v>#N/A</v>
      </c>
      <c r="S100" s="107">
        <f t="shared" si="6"/>
        <v>-1.1</v>
      </c>
      <c r="T100" s="108">
        <f t="shared" si="7"/>
        <v>-1</v>
      </c>
      <c r="U100" s="106" t="str">
        <f t="shared" si="8"/>
        <v>#N/A</v>
      </c>
      <c r="V100" s="84" t="str">
        <f t="shared" si="9"/>
        <v/>
      </c>
      <c r="W100" s="109" t="str">
        <f t="shared" si="10"/>
        <v/>
      </c>
      <c r="X100" s="109" t="str">
        <f t="shared" si="11"/>
        <v/>
      </c>
      <c r="Y100" s="110" t="str">
        <f t="array" ref="Y100">_xlfn.XLOOKUP(A100,'Video Database'!L:L,'Video Database'!M:M,"")</f>
        <v>Bottom of Funnel</v>
      </c>
    </row>
    <row r="101" ht="22.5" customHeight="1">
      <c r="A101" s="113">
        <f t="shared" si="12"/>
        <v>100</v>
      </c>
      <c r="B101" s="98" t="str">
        <f t="array" ref="B101">_xlfn.XLOOKUP(A101,'Video Database'!L:L,'Video Database'!D:D,"")</f>
        <v>Erin</v>
      </c>
      <c r="C101" s="98" t="str">
        <f t="array" ref="C101">_xlfn.XLOOKUP(A101,'Video Database'!L:L,'Video Database'!E:E,"")</f>
        <v>Account 4</v>
      </c>
      <c r="D101" s="99" t="str">
        <f t="array" ref="D101">_xlfn.XLOOKUP(A101,'Video Database'!L:L,'Video Database'!G:G,"")</f>
        <v>LullaBites Natural Sleep Gummies</v>
      </c>
      <c r="E101" s="100">
        <f t="array" ref="E101">_xlfn.XLOOKUP(A101,'Video Database'!L:L,'Video Database'!H:H,"")</f>
        <v>1.1</v>
      </c>
      <c r="F101" s="101">
        <v>0.0</v>
      </c>
      <c r="G101" s="87">
        <v>0.0</v>
      </c>
      <c r="H101" s="114">
        <f t="array" ref="H101">_xlfn.XLOOKUP(A101,'Video Database'!L:L,'Video Database'!A:A,"")</f>
        <v>46184</v>
      </c>
      <c r="I101" s="103">
        <v>46201.0</v>
      </c>
      <c r="J101" s="104">
        <v>0.0</v>
      </c>
      <c r="K101" s="105"/>
      <c r="L101" s="105" t="str">
        <f t="shared" si="1"/>
        <v/>
      </c>
      <c r="O101" s="106" t="str">
        <f t="shared" si="2"/>
        <v>#N/A</v>
      </c>
      <c r="P101" s="106" t="str">
        <f t="shared" si="3"/>
        <v>#N/A</v>
      </c>
      <c r="Q101" s="84" t="str">
        <f t="shared" si="4"/>
        <v>#N/A</v>
      </c>
      <c r="R101" s="84" t="str">
        <f t="shared" si="5"/>
        <v>#N/A</v>
      </c>
      <c r="S101" s="107">
        <f t="shared" si="6"/>
        <v>-1.1</v>
      </c>
      <c r="T101" s="108">
        <f t="shared" si="7"/>
        <v>-1</v>
      </c>
      <c r="U101" s="106" t="str">
        <f t="shared" si="8"/>
        <v>#N/A</v>
      </c>
      <c r="V101" s="84" t="str">
        <f t="shared" si="9"/>
        <v/>
      </c>
      <c r="W101" s="109" t="str">
        <f t="shared" si="10"/>
        <v/>
      </c>
      <c r="X101" s="109" t="str">
        <f t="shared" si="11"/>
        <v/>
      </c>
      <c r="Y101" s="110" t="str">
        <f t="array" ref="Y101">_xlfn.XLOOKUP(A101,'Video Database'!L:L,'Video Database'!M:M,"")</f>
        <v>Bottom of Funnel</v>
      </c>
    </row>
    <row r="102" ht="22.5" customHeight="1">
      <c r="A102" s="113">
        <f t="shared" si="12"/>
        <v>101</v>
      </c>
      <c r="B102" s="98" t="str">
        <f t="array" ref="B102">_xlfn.XLOOKUP(A102,'Video Database'!L:L,'Video Database'!D:D,"")</f>
        <v>Erin</v>
      </c>
      <c r="C102" s="98" t="str">
        <f t="array" ref="C102">_xlfn.XLOOKUP(A102,'Video Database'!L:L,'Video Database'!E:E,"")</f>
        <v>Account 4</v>
      </c>
      <c r="D102" s="99" t="str">
        <f t="array" ref="D102">_xlfn.XLOOKUP(A102,'Video Database'!L:L,'Video Database'!G:G,"")</f>
        <v>LullaBites Natural Sleep Gummies</v>
      </c>
      <c r="E102" s="100">
        <f t="array" ref="E102">_xlfn.XLOOKUP(A102,'Video Database'!L:L,'Video Database'!H:H,"")</f>
        <v>1.1</v>
      </c>
      <c r="F102" s="101">
        <v>0.0</v>
      </c>
      <c r="G102" s="87">
        <v>0.0</v>
      </c>
      <c r="H102" s="114">
        <f t="array" ref="H102">_xlfn.XLOOKUP(A102,'Video Database'!L:L,'Video Database'!A:A,"")</f>
        <v>46184</v>
      </c>
      <c r="I102" s="103">
        <v>46201.0</v>
      </c>
      <c r="J102" s="104">
        <v>0.0</v>
      </c>
      <c r="K102" s="105"/>
      <c r="L102" s="105" t="str">
        <f t="shared" si="1"/>
        <v/>
      </c>
      <c r="O102" s="106" t="str">
        <f t="shared" si="2"/>
        <v>#N/A</v>
      </c>
      <c r="P102" s="106" t="str">
        <f t="shared" si="3"/>
        <v>#N/A</v>
      </c>
      <c r="Q102" s="84" t="str">
        <f t="shared" si="4"/>
        <v>#N/A</v>
      </c>
      <c r="R102" s="84" t="str">
        <f t="shared" si="5"/>
        <v>#N/A</v>
      </c>
      <c r="S102" s="107">
        <f t="shared" si="6"/>
        <v>-1.1</v>
      </c>
      <c r="T102" s="108">
        <f t="shared" si="7"/>
        <v>-1</v>
      </c>
      <c r="U102" s="106" t="str">
        <f t="shared" si="8"/>
        <v>#N/A</v>
      </c>
      <c r="V102" s="84" t="str">
        <f t="shared" si="9"/>
        <v/>
      </c>
      <c r="W102" s="109" t="str">
        <f t="shared" si="10"/>
        <v/>
      </c>
      <c r="X102" s="109" t="str">
        <f t="shared" si="11"/>
        <v/>
      </c>
      <c r="Y102" s="110" t="str">
        <f t="array" ref="Y102">_xlfn.XLOOKUP(A102,'Video Database'!L:L,'Video Database'!M:M,"")</f>
        <v>Bottom of Funnel</v>
      </c>
    </row>
    <row r="103" ht="22.5" customHeight="1">
      <c r="A103" s="113">
        <f t="shared" si="12"/>
        <v>102</v>
      </c>
      <c r="B103" s="98" t="str">
        <f t="array" ref="B103">_xlfn.XLOOKUP(A103,'Video Database'!L:L,'Video Database'!D:D,"")</f>
        <v>Erin</v>
      </c>
      <c r="C103" s="98" t="str">
        <f t="array" ref="C103">_xlfn.XLOOKUP(A103,'Video Database'!L:L,'Video Database'!E:E,"")</f>
        <v>Account 4</v>
      </c>
      <c r="D103" s="99" t="str">
        <f t="array" ref="D103">_xlfn.XLOOKUP(A103,'Video Database'!L:L,'Video Database'!G:G,"")</f>
        <v>LullaBites Natural Sleep Gummies</v>
      </c>
      <c r="E103" s="100">
        <f t="array" ref="E103">_xlfn.XLOOKUP(A103,'Video Database'!L:L,'Video Database'!H:H,"")</f>
        <v>1.1</v>
      </c>
      <c r="F103" s="101">
        <v>0.0</v>
      </c>
      <c r="G103" s="87">
        <v>0.0</v>
      </c>
      <c r="H103" s="114">
        <f t="array" ref="H103">_xlfn.XLOOKUP(A103,'Video Database'!L:L,'Video Database'!A:A,"")</f>
        <v>46184</v>
      </c>
      <c r="I103" s="103">
        <v>46201.0</v>
      </c>
      <c r="J103" s="104">
        <v>0.0</v>
      </c>
      <c r="K103" s="105"/>
      <c r="L103" s="105" t="str">
        <f t="shared" si="1"/>
        <v/>
      </c>
      <c r="O103" s="106" t="str">
        <f t="shared" si="2"/>
        <v>#N/A</v>
      </c>
      <c r="P103" s="106" t="str">
        <f t="shared" si="3"/>
        <v>#N/A</v>
      </c>
      <c r="Q103" s="84" t="str">
        <f t="shared" si="4"/>
        <v>#N/A</v>
      </c>
      <c r="R103" s="84" t="str">
        <f t="shared" si="5"/>
        <v>#N/A</v>
      </c>
      <c r="S103" s="107">
        <f t="shared" si="6"/>
        <v>-1.1</v>
      </c>
      <c r="T103" s="108">
        <f t="shared" si="7"/>
        <v>-1</v>
      </c>
      <c r="U103" s="106" t="str">
        <f t="shared" si="8"/>
        <v>#N/A</v>
      </c>
      <c r="V103" s="84" t="str">
        <f t="shared" si="9"/>
        <v/>
      </c>
      <c r="W103" s="109" t="str">
        <f t="shared" si="10"/>
        <v/>
      </c>
      <c r="X103" s="109" t="str">
        <f t="shared" si="11"/>
        <v/>
      </c>
      <c r="Y103" s="110" t="str">
        <f t="array" ref="Y103">_xlfn.XLOOKUP(A103,'Video Database'!L:L,'Video Database'!M:M,"")</f>
        <v>Bottom of Funnel</v>
      </c>
    </row>
    <row r="104" ht="22.5" customHeight="1">
      <c r="A104" s="113">
        <f t="shared" si="12"/>
        <v>103</v>
      </c>
      <c r="B104" s="98" t="str">
        <f t="array" ref="B104">_xlfn.XLOOKUP(A104,'Video Database'!L:L,'Video Database'!D:D,"")</f>
        <v>Erin</v>
      </c>
      <c r="C104" s="98" t="str">
        <f t="array" ref="C104">_xlfn.XLOOKUP(A104,'Video Database'!L:L,'Video Database'!E:E,"")</f>
        <v>Account 4</v>
      </c>
      <c r="D104" s="99" t="str">
        <f t="array" ref="D104">_xlfn.XLOOKUP(A104,'Video Database'!L:L,'Video Database'!G:G,"")</f>
        <v>LullaBites Natural Sleep Gummies</v>
      </c>
      <c r="E104" s="100">
        <f t="array" ref="E104">_xlfn.XLOOKUP(A104,'Video Database'!L:L,'Video Database'!H:H,"")</f>
        <v>1.1</v>
      </c>
      <c r="F104" s="101">
        <v>0.0</v>
      </c>
      <c r="G104" s="87">
        <v>0.0</v>
      </c>
      <c r="H104" s="114">
        <f t="array" ref="H104">_xlfn.XLOOKUP(A104,'Video Database'!L:L,'Video Database'!A:A,"")</f>
        <v>46184</v>
      </c>
      <c r="I104" s="103">
        <v>46201.0</v>
      </c>
      <c r="J104" s="104">
        <v>0.0</v>
      </c>
      <c r="K104" s="105"/>
      <c r="L104" s="105" t="str">
        <f t="shared" si="1"/>
        <v/>
      </c>
      <c r="O104" s="106" t="str">
        <f t="shared" si="2"/>
        <v>#N/A</v>
      </c>
      <c r="P104" s="106" t="str">
        <f t="shared" si="3"/>
        <v>#N/A</v>
      </c>
      <c r="Q104" s="84" t="str">
        <f t="shared" si="4"/>
        <v>#N/A</v>
      </c>
      <c r="R104" s="84" t="str">
        <f t="shared" si="5"/>
        <v>#N/A</v>
      </c>
      <c r="S104" s="107">
        <f t="shared" si="6"/>
        <v>-1.1</v>
      </c>
      <c r="T104" s="108">
        <f t="shared" si="7"/>
        <v>-1</v>
      </c>
      <c r="U104" s="106" t="str">
        <f t="shared" si="8"/>
        <v>#N/A</v>
      </c>
      <c r="V104" s="84" t="str">
        <f t="shared" si="9"/>
        <v/>
      </c>
      <c r="W104" s="109" t="str">
        <f t="shared" si="10"/>
        <v/>
      </c>
      <c r="X104" s="109" t="str">
        <f t="shared" si="11"/>
        <v/>
      </c>
      <c r="Y104" s="110" t="str">
        <f t="array" ref="Y104">_xlfn.XLOOKUP(A104,'Video Database'!L:L,'Video Database'!M:M,"")</f>
        <v>Bottom of Funnel</v>
      </c>
    </row>
    <row r="105" ht="22.5" customHeight="1">
      <c r="A105" s="113">
        <f t="shared" si="12"/>
        <v>104</v>
      </c>
      <c r="B105" s="98" t="str">
        <f t="array" ref="B105">_xlfn.XLOOKUP(A105,'Video Database'!L:L,'Video Database'!D:D,"")</f>
        <v>Erin</v>
      </c>
      <c r="C105" s="98" t="str">
        <f t="array" ref="C105">_xlfn.XLOOKUP(A105,'Video Database'!L:L,'Video Database'!E:E,"")</f>
        <v>Account 4</v>
      </c>
      <c r="D105" s="99" t="str">
        <f t="array" ref="D105">_xlfn.XLOOKUP(A105,'Video Database'!L:L,'Video Database'!G:G,"")</f>
        <v>LullaBites Natural Sleep Gummies</v>
      </c>
      <c r="E105" s="100">
        <f t="array" ref="E105">_xlfn.XLOOKUP(A105,'Video Database'!L:L,'Video Database'!H:H,"")</f>
        <v>1.1</v>
      </c>
      <c r="F105" s="101">
        <v>0.0</v>
      </c>
      <c r="G105" s="87">
        <v>0.0</v>
      </c>
      <c r="H105" s="114">
        <f t="array" ref="H105">_xlfn.XLOOKUP(A105,'Video Database'!L:L,'Video Database'!A:A,"")</f>
        <v>46184</v>
      </c>
      <c r="I105" s="103">
        <v>46201.0</v>
      </c>
      <c r="J105" s="104">
        <v>0.0</v>
      </c>
      <c r="K105" s="105"/>
      <c r="L105" s="105" t="str">
        <f t="shared" si="1"/>
        <v/>
      </c>
      <c r="O105" s="106" t="str">
        <f t="shared" si="2"/>
        <v>#N/A</v>
      </c>
      <c r="P105" s="106" t="str">
        <f t="shared" si="3"/>
        <v>#N/A</v>
      </c>
      <c r="Q105" s="84" t="str">
        <f t="shared" si="4"/>
        <v>#N/A</v>
      </c>
      <c r="R105" s="84" t="str">
        <f t="shared" si="5"/>
        <v>#N/A</v>
      </c>
      <c r="S105" s="107">
        <f t="shared" si="6"/>
        <v>-1.1</v>
      </c>
      <c r="T105" s="108">
        <f t="shared" si="7"/>
        <v>-1</v>
      </c>
      <c r="U105" s="106" t="str">
        <f t="shared" si="8"/>
        <v>#N/A</v>
      </c>
      <c r="V105" s="84" t="str">
        <f t="shared" si="9"/>
        <v/>
      </c>
      <c r="W105" s="109" t="str">
        <f t="shared" si="10"/>
        <v/>
      </c>
      <c r="X105" s="109" t="str">
        <f t="shared" si="11"/>
        <v/>
      </c>
      <c r="Y105" s="110" t="str">
        <f t="array" ref="Y105">_xlfn.XLOOKUP(A105,'Video Database'!L:L,'Video Database'!M:M,"")</f>
        <v>Bottom of Funnel</v>
      </c>
    </row>
    <row r="106" ht="22.5" customHeight="1">
      <c r="A106" s="113">
        <f t="shared" si="12"/>
        <v>105</v>
      </c>
      <c r="B106" s="98" t="str">
        <f t="array" ref="B106">_xlfn.XLOOKUP(A106,'Video Database'!L:L,'Video Database'!D:D,"")</f>
        <v>Erin</v>
      </c>
      <c r="C106" s="98" t="str">
        <f t="array" ref="C106">_xlfn.XLOOKUP(A106,'Video Database'!L:L,'Video Database'!E:E,"")</f>
        <v>Account 4</v>
      </c>
      <c r="D106" s="99" t="str">
        <f t="array" ref="D106">_xlfn.XLOOKUP(A106,'Video Database'!L:L,'Video Database'!G:G,"")</f>
        <v>LullaBites Natural Sleep Gummies</v>
      </c>
      <c r="E106" s="100">
        <f t="array" ref="E106">_xlfn.XLOOKUP(A106,'Video Database'!L:L,'Video Database'!H:H,"")</f>
        <v>1.1</v>
      </c>
      <c r="F106" s="101">
        <v>0.0</v>
      </c>
      <c r="G106" s="87">
        <v>0.0</v>
      </c>
      <c r="H106" s="114">
        <f t="array" ref="H106">_xlfn.XLOOKUP(A106,'Video Database'!L:L,'Video Database'!A:A,"")</f>
        <v>46184</v>
      </c>
      <c r="I106" s="103">
        <v>46201.0</v>
      </c>
      <c r="J106" s="104">
        <v>0.0</v>
      </c>
      <c r="K106" s="105"/>
      <c r="L106" s="105" t="str">
        <f t="shared" si="1"/>
        <v/>
      </c>
      <c r="O106" s="106" t="str">
        <f t="shared" si="2"/>
        <v>#N/A</v>
      </c>
      <c r="P106" s="106" t="str">
        <f t="shared" si="3"/>
        <v>#N/A</v>
      </c>
      <c r="Q106" s="84" t="str">
        <f t="shared" si="4"/>
        <v>#N/A</v>
      </c>
      <c r="R106" s="84" t="str">
        <f t="shared" si="5"/>
        <v>#N/A</v>
      </c>
      <c r="S106" s="107">
        <f t="shared" si="6"/>
        <v>-1.1</v>
      </c>
      <c r="T106" s="108">
        <f t="shared" si="7"/>
        <v>-1</v>
      </c>
      <c r="U106" s="106" t="str">
        <f t="shared" si="8"/>
        <v>#N/A</v>
      </c>
      <c r="V106" s="84" t="str">
        <f t="shared" si="9"/>
        <v/>
      </c>
      <c r="W106" s="109" t="str">
        <f t="shared" si="10"/>
        <v/>
      </c>
      <c r="X106" s="109" t="str">
        <f t="shared" si="11"/>
        <v/>
      </c>
      <c r="Y106" s="110" t="str">
        <f t="array" ref="Y106">_xlfn.XLOOKUP(A106,'Video Database'!L:L,'Video Database'!M:M,"")</f>
        <v>Bottom of Funnel</v>
      </c>
    </row>
    <row r="107" ht="22.5" customHeight="1">
      <c r="A107" s="113">
        <f t="shared" si="12"/>
        <v>106</v>
      </c>
      <c r="B107" s="98" t="str">
        <f t="array" ref="B107">_xlfn.XLOOKUP(A107,'Video Database'!L:L,'Video Database'!D:D,"")</f>
        <v>Erin</v>
      </c>
      <c r="C107" s="98" t="str">
        <f t="array" ref="C107">_xlfn.XLOOKUP(A107,'Video Database'!L:L,'Video Database'!E:E,"")</f>
        <v>Account 4</v>
      </c>
      <c r="D107" s="99" t="str">
        <f t="array" ref="D107">_xlfn.XLOOKUP(A107,'Video Database'!L:L,'Video Database'!G:G,"")</f>
        <v>LullaBites Natural Sleep Gummies</v>
      </c>
      <c r="E107" s="100">
        <f t="array" ref="E107">_xlfn.XLOOKUP(A107,'Video Database'!L:L,'Video Database'!H:H,"")</f>
        <v>1.1</v>
      </c>
      <c r="F107" s="101">
        <v>0.0</v>
      </c>
      <c r="G107" s="87">
        <v>0.0</v>
      </c>
      <c r="H107" s="114">
        <f t="array" ref="H107">_xlfn.XLOOKUP(A107,'Video Database'!L:L,'Video Database'!A:A,"")</f>
        <v>46184</v>
      </c>
      <c r="I107" s="103">
        <v>46201.0</v>
      </c>
      <c r="J107" s="104">
        <v>0.0</v>
      </c>
      <c r="K107" s="105"/>
      <c r="L107" s="105" t="str">
        <f t="shared" si="1"/>
        <v/>
      </c>
      <c r="O107" s="106" t="str">
        <f t="shared" si="2"/>
        <v>#N/A</v>
      </c>
      <c r="P107" s="106" t="str">
        <f t="shared" si="3"/>
        <v>#N/A</v>
      </c>
      <c r="Q107" s="84" t="str">
        <f t="shared" si="4"/>
        <v>#N/A</v>
      </c>
      <c r="R107" s="84" t="str">
        <f t="shared" si="5"/>
        <v>#N/A</v>
      </c>
      <c r="S107" s="107">
        <f t="shared" si="6"/>
        <v>-1.1</v>
      </c>
      <c r="T107" s="108">
        <f t="shared" si="7"/>
        <v>-1</v>
      </c>
      <c r="U107" s="106" t="str">
        <f t="shared" si="8"/>
        <v>#N/A</v>
      </c>
      <c r="V107" s="84" t="str">
        <f t="shared" si="9"/>
        <v/>
      </c>
      <c r="W107" s="109" t="str">
        <f t="shared" si="10"/>
        <v/>
      </c>
      <c r="X107" s="109" t="str">
        <f t="shared" si="11"/>
        <v/>
      </c>
      <c r="Y107" s="110" t="str">
        <f t="array" ref="Y107">_xlfn.XLOOKUP(A107,'Video Database'!L:L,'Video Database'!M:M,"")</f>
        <v>Bottom of Funnel</v>
      </c>
    </row>
    <row r="108" ht="22.5" customHeight="1">
      <c r="A108" s="113">
        <f t="shared" si="12"/>
        <v>107</v>
      </c>
      <c r="B108" s="98" t="str">
        <f t="array" ref="B108">_xlfn.XLOOKUP(A108,'Video Database'!L:L,'Video Database'!D:D,"")</f>
        <v>Blakely</v>
      </c>
      <c r="C108" s="98" t="str">
        <f t="array" ref="C108">_xlfn.XLOOKUP(A108,'Video Database'!L:L,'Video Database'!E:E,"")</f>
        <v>Account 1</v>
      </c>
      <c r="D108" s="99" t="str">
        <f t="array" ref="D108">_xlfn.XLOOKUP(A108,'Video Database'!L:L,'Video Database'!G:G,"")</f>
        <v>Goli Women's Complete Multi Gummy</v>
      </c>
      <c r="E108" s="100">
        <f t="array" ref="E108">_xlfn.XLOOKUP(A108,'Video Database'!L:L,'Video Database'!H:H,"")</f>
        <v>0.11</v>
      </c>
      <c r="F108" s="101">
        <v>0.0</v>
      </c>
      <c r="G108" s="87">
        <v>0.0</v>
      </c>
      <c r="H108" s="114">
        <f t="array" ref="H108">_xlfn.XLOOKUP(A108,'Video Database'!L:L,'Video Database'!A:A,"")</f>
        <v>46185</v>
      </c>
      <c r="I108" s="103">
        <v>46201.0</v>
      </c>
      <c r="J108" s="104">
        <v>0.0</v>
      </c>
      <c r="K108" s="105"/>
      <c r="L108" s="105" t="str">
        <f t="shared" si="1"/>
        <v/>
      </c>
      <c r="O108" s="106" t="str">
        <f t="shared" si="2"/>
        <v>#N/A</v>
      </c>
      <c r="P108" s="106" t="str">
        <f t="shared" si="3"/>
        <v>#N/A</v>
      </c>
      <c r="Q108" s="84" t="str">
        <f t="shared" si="4"/>
        <v>#N/A</v>
      </c>
      <c r="R108" s="84" t="str">
        <f t="shared" si="5"/>
        <v>#N/A</v>
      </c>
      <c r="S108" s="107">
        <f t="shared" si="6"/>
        <v>-0.11</v>
      </c>
      <c r="T108" s="108">
        <f t="shared" si="7"/>
        <v>-1</v>
      </c>
      <c r="U108" s="106" t="str">
        <f t="shared" si="8"/>
        <v>#N/A</v>
      </c>
      <c r="V108" s="84" t="str">
        <f t="shared" si="9"/>
        <v/>
      </c>
      <c r="W108" s="109" t="str">
        <f t="shared" si="10"/>
        <v/>
      </c>
      <c r="X108" s="109" t="str">
        <f t="shared" si="11"/>
        <v/>
      </c>
      <c r="Y108" s="110" t="str">
        <f t="array" ref="Y108">_xlfn.XLOOKUP(A108,'Video Database'!L:L,'Video Database'!M:M,"")</f>
        <v>Bottom of Funnel</v>
      </c>
    </row>
    <row r="109" ht="22.5" customHeight="1">
      <c r="A109" s="113">
        <f t="shared" si="12"/>
        <v>108</v>
      </c>
      <c r="B109" s="98" t="str">
        <f t="array" ref="B109">_xlfn.XLOOKUP(A109,'Video Database'!L:L,'Video Database'!D:D,"")</f>
        <v>Blakely</v>
      </c>
      <c r="C109" s="98" t="str">
        <f t="array" ref="C109">_xlfn.XLOOKUP(A109,'Video Database'!L:L,'Video Database'!E:E,"")</f>
        <v>Account 1</v>
      </c>
      <c r="D109" s="99" t="str">
        <f t="array" ref="D109">_xlfn.XLOOKUP(A109,'Video Database'!L:L,'Video Database'!G:G,"")</f>
        <v>Goli Women's Complete Multi Gummy</v>
      </c>
      <c r="E109" s="100">
        <f t="array" ref="E109">_xlfn.XLOOKUP(A109,'Video Database'!L:L,'Video Database'!H:H,"")</f>
        <v>0.11</v>
      </c>
      <c r="F109" s="101">
        <v>0.0</v>
      </c>
      <c r="G109" s="87">
        <v>0.0</v>
      </c>
      <c r="H109" s="114">
        <f t="array" ref="H109">_xlfn.XLOOKUP(A109,'Video Database'!L:L,'Video Database'!A:A,"")</f>
        <v>46185</v>
      </c>
      <c r="I109" s="103">
        <v>46201.0</v>
      </c>
      <c r="J109" s="104">
        <v>0.0</v>
      </c>
      <c r="K109" s="105"/>
      <c r="L109" s="105" t="str">
        <f t="shared" si="1"/>
        <v/>
      </c>
      <c r="O109" s="106" t="str">
        <f t="shared" si="2"/>
        <v>#N/A</v>
      </c>
      <c r="P109" s="106" t="str">
        <f t="shared" si="3"/>
        <v>#N/A</v>
      </c>
      <c r="Q109" s="84" t="str">
        <f t="shared" si="4"/>
        <v>#N/A</v>
      </c>
      <c r="R109" s="84" t="str">
        <f t="shared" si="5"/>
        <v>#N/A</v>
      </c>
      <c r="S109" s="107">
        <f t="shared" si="6"/>
        <v>-0.11</v>
      </c>
      <c r="T109" s="108">
        <f t="shared" si="7"/>
        <v>-1</v>
      </c>
      <c r="U109" s="106" t="str">
        <f t="shared" si="8"/>
        <v>#N/A</v>
      </c>
      <c r="V109" s="84" t="str">
        <f t="shared" si="9"/>
        <v/>
      </c>
      <c r="W109" s="109" t="str">
        <f t="shared" si="10"/>
        <v/>
      </c>
      <c r="X109" s="109" t="str">
        <f t="shared" si="11"/>
        <v/>
      </c>
      <c r="Y109" s="110" t="str">
        <f t="array" ref="Y109">_xlfn.XLOOKUP(A109,'Video Database'!L:L,'Video Database'!M:M,"")</f>
        <v>Bottom of Funnel</v>
      </c>
    </row>
    <row r="110" ht="22.5" customHeight="1">
      <c r="A110" s="113">
        <f t="shared" si="12"/>
        <v>109</v>
      </c>
      <c r="B110" s="98" t="str">
        <f t="array" ref="B110">_xlfn.XLOOKUP(A110,'Video Database'!L:L,'Video Database'!D:D,"")</f>
        <v>Blakely</v>
      </c>
      <c r="C110" s="98" t="str">
        <f t="array" ref="C110">_xlfn.XLOOKUP(A110,'Video Database'!L:L,'Video Database'!E:E,"")</f>
        <v>Account 1</v>
      </c>
      <c r="D110" s="99" t="str">
        <f t="array" ref="D110">_xlfn.XLOOKUP(A110,'Video Database'!L:L,'Video Database'!G:G,"")</f>
        <v>Goli Women's Complete Multi Gummy</v>
      </c>
      <c r="E110" s="100">
        <f t="array" ref="E110">_xlfn.XLOOKUP(A110,'Video Database'!L:L,'Video Database'!H:H,"")</f>
        <v>0.11</v>
      </c>
      <c r="F110" s="101">
        <v>0.0</v>
      </c>
      <c r="G110" s="87">
        <v>0.0</v>
      </c>
      <c r="H110" s="114">
        <f t="array" ref="H110">_xlfn.XLOOKUP(A110,'Video Database'!L:L,'Video Database'!A:A,"")</f>
        <v>46185</v>
      </c>
      <c r="I110" s="103">
        <v>46201.0</v>
      </c>
      <c r="J110" s="104">
        <v>0.0</v>
      </c>
      <c r="K110" s="105"/>
      <c r="L110" s="105" t="str">
        <f t="shared" si="1"/>
        <v/>
      </c>
      <c r="O110" s="106" t="str">
        <f t="shared" si="2"/>
        <v>#N/A</v>
      </c>
      <c r="P110" s="106" t="str">
        <f t="shared" si="3"/>
        <v>#N/A</v>
      </c>
      <c r="Q110" s="84" t="str">
        <f t="shared" si="4"/>
        <v>#N/A</v>
      </c>
      <c r="R110" s="84" t="str">
        <f t="shared" si="5"/>
        <v>#N/A</v>
      </c>
      <c r="S110" s="107">
        <f t="shared" si="6"/>
        <v>-0.11</v>
      </c>
      <c r="T110" s="108">
        <f t="shared" si="7"/>
        <v>-1</v>
      </c>
      <c r="U110" s="106" t="str">
        <f t="shared" si="8"/>
        <v>#N/A</v>
      </c>
      <c r="V110" s="84" t="str">
        <f t="shared" si="9"/>
        <v/>
      </c>
      <c r="W110" s="109" t="str">
        <f t="shared" si="10"/>
        <v/>
      </c>
      <c r="X110" s="109" t="str">
        <f t="shared" si="11"/>
        <v/>
      </c>
      <c r="Y110" s="110" t="str">
        <f t="array" ref="Y110">_xlfn.XLOOKUP(A110,'Video Database'!L:L,'Video Database'!M:M,"")</f>
        <v>Bottom of Funnel</v>
      </c>
    </row>
    <row r="111" ht="22.5" customHeight="1">
      <c r="A111" s="113">
        <f t="shared" si="12"/>
        <v>110</v>
      </c>
      <c r="B111" s="98" t="str">
        <f t="array" ref="B111">_xlfn.XLOOKUP(A111,'Video Database'!L:L,'Video Database'!D:D,"")</f>
        <v>Blakely</v>
      </c>
      <c r="C111" s="98" t="str">
        <f t="array" ref="C111">_xlfn.XLOOKUP(A111,'Video Database'!L:L,'Video Database'!E:E,"")</f>
        <v>Account 1</v>
      </c>
      <c r="D111" s="99" t="str">
        <f t="array" ref="D111">_xlfn.XLOOKUP(A111,'Video Database'!L:L,'Video Database'!G:G,"")</f>
        <v>Goli Women's Complete Multi Gummy</v>
      </c>
      <c r="E111" s="100">
        <f t="array" ref="E111">_xlfn.XLOOKUP(A111,'Video Database'!L:L,'Video Database'!H:H,"")</f>
        <v>0.11</v>
      </c>
      <c r="F111" s="101">
        <v>0.0</v>
      </c>
      <c r="G111" s="87">
        <v>0.0</v>
      </c>
      <c r="H111" s="114">
        <f t="array" ref="H111">_xlfn.XLOOKUP(A111,'Video Database'!L:L,'Video Database'!A:A,"")</f>
        <v>46185</v>
      </c>
      <c r="I111" s="103">
        <v>46201.0</v>
      </c>
      <c r="J111" s="104">
        <v>0.0</v>
      </c>
      <c r="K111" s="105"/>
      <c r="L111" s="105" t="str">
        <f t="shared" si="1"/>
        <v/>
      </c>
      <c r="O111" s="106" t="str">
        <f t="shared" si="2"/>
        <v>#N/A</v>
      </c>
      <c r="P111" s="106" t="str">
        <f t="shared" si="3"/>
        <v>#N/A</v>
      </c>
      <c r="Q111" s="84" t="str">
        <f t="shared" si="4"/>
        <v>#N/A</v>
      </c>
      <c r="R111" s="84" t="str">
        <f t="shared" si="5"/>
        <v>#N/A</v>
      </c>
      <c r="S111" s="107">
        <f t="shared" si="6"/>
        <v>-0.11</v>
      </c>
      <c r="T111" s="108">
        <f t="shared" si="7"/>
        <v>-1</v>
      </c>
      <c r="U111" s="106" t="str">
        <f t="shared" si="8"/>
        <v>#N/A</v>
      </c>
      <c r="V111" s="84" t="str">
        <f t="shared" si="9"/>
        <v/>
      </c>
      <c r="W111" s="109" t="str">
        <f t="shared" si="10"/>
        <v/>
      </c>
      <c r="X111" s="109" t="str">
        <f t="shared" si="11"/>
        <v/>
      </c>
      <c r="Y111" s="110" t="str">
        <f t="array" ref="Y111">_xlfn.XLOOKUP(A111,'Video Database'!L:L,'Video Database'!M:M,"")</f>
        <v>Bottom of Funnel</v>
      </c>
    </row>
    <row r="112" ht="22.5" customHeight="1">
      <c r="A112" s="113">
        <f t="shared" si="12"/>
        <v>111</v>
      </c>
      <c r="B112" s="98" t="str">
        <f t="array" ref="B112">_xlfn.XLOOKUP(A112,'Video Database'!L:L,'Video Database'!D:D,"")</f>
        <v>Blakely</v>
      </c>
      <c r="C112" s="98" t="str">
        <f t="array" ref="C112">_xlfn.XLOOKUP(A112,'Video Database'!L:L,'Video Database'!E:E,"")</f>
        <v>Account 1</v>
      </c>
      <c r="D112" s="99" t="str">
        <f t="array" ref="D112">_xlfn.XLOOKUP(A112,'Video Database'!L:L,'Video Database'!G:G,"")</f>
        <v>Goli Women's Complete Multi Gummy</v>
      </c>
      <c r="E112" s="100">
        <f t="array" ref="E112">_xlfn.XLOOKUP(A112,'Video Database'!L:L,'Video Database'!H:H,"")</f>
        <v>0.11</v>
      </c>
      <c r="F112" s="101">
        <v>0.0</v>
      </c>
      <c r="G112" s="87">
        <v>0.0</v>
      </c>
      <c r="H112" s="114">
        <f t="array" ref="H112">_xlfn.XLOOKUP(A112,'Video Database'!L:L,'Video Database'!A:A,"")</f>
        <v>46185</v>
      </c>
      <c r="I112" s="103">
        <v>46201.0</v>
      </c>
      <c r="J112" s="104">
        <v>0.0</v>
      </c>
      <c r="K112" s="105"/>
      <c r="L112" s="105" t="str">
        <f t="shared" si="1"/>
        <v/>
      </c>
      <c r="O112" s="106" t="str">
        <f t="shared" si="2"/>
        <v>#N/A</v>
      </c>
      <c r="P112" s="106" t="str">
        <f t="shared" si="3"/>
        <v>#N/A</v>
      </c>
      <c r="Q112" s="84" t="str">
        <f t="shared" si="4"/>
        <v>#N/A</v>
      </c>
      <c r="R112" s="84" t="str">
        <f t="shared" si="5"/>
        <v>#N/A</v>
      </c>
      <c r="S112" s="107">
        <f t="shared" si="6"/>
        <v>-0.11</v>
      </c>
      <c r="T112" s="108">
        <f t="shared" si="7"/>
        <v>-1</v>
      </c>
      <c r="U112" s="106" t="str">
        <f t="shared" si="8"/>
        <v>#N/A</v>
      </c>
      <c r="V112" s="84" t="str">
        <f t="shared" si="9"/>
        <v/>
      </c>
      <c r="W112" s="109" t="str">
        <f t="shared" si="10"/>
        <v/>
      </c>
      <c r="X112" s="109" t="str">
        <f t="shared" si="11"/>
        <v/>
      </c>
      <c r="Y112" s="110" t="str">
        <f t="array" ref="Y112">_xlfn.XLOOKUP(A112,'Video Database'!L:L,'Video Database'!M:M,"")</f>
        <v>Middle of Funnel</v>
      </c>
    </row>
    <row r="113" ht="22.5" customHeight="1">
      <c r="A113" s="113">
        <f t="shared" si="12"/>
        <v>112</v>
      </c>
      <c r="B113" s="98" t="str">
        <f t="array" ref="B113">_xlfn.XLOOKUP(A113,'Video Database'!L:L,'Video Database'!D:D,"")</f>
        <v>Blakely</v>
      </c>
      <c r="C113" s="98" t="str">
        <f t="array" ref="C113">_xlfn.XLOOKUP(A113,'Video Database'!L:L,'Video Database'!E:E,"")</f>
        <v>Account 1</v>
      </c>
      <c r="D113" s="99" t="str">
        <f t="array" ref="D113">_xlfn.XLOOKUP(A113,'Video Database'!L:L,'Video Database'!G:G,"")</f>
        <v>Goli Women's Complete Multi Gummy</v>
      </c>
      <c r="E113" s="100">
        <f t="array" ref="E113">_xlfn.XLOOKUP(A113,'Video Database'!L:L,'Video Database'!H:H,"")</f>
        <v>0.11</v>
      </c>
      <c r="F113" s="101">
        <v>0.0</v>
      </c>
      <c r="G113" s="87">
        <v>0.0</v>
      </c>
      <c r="H113" s="114">
        <f t="array" ref="H113">_xlfn.XLOOKUP(A113,'Video Database'!L:L,'Video Database'!A:A,"")</f>
        <v>46185</v>
      </c>
      <c r="I113" s="103">
        <v>46201.0</v>
      </c>
      <c r="J113" s="104">
        <v>0.0</v>
      </c>
      <c r="K113" s="105"/>
      <c r="L113" s="105" t="str">
        <f t="shared" si="1"/>
        <v/>
      </c>
      <c r="O113" s="106" t="str">
        <f t="shared" si="2"/>
        <v>#N/A</v>
      </c>
      <c r="P113" s="106" t="str">
        <f t="shared" si="3"/>
        <v>#N/A</v>
      </c>
      <c r="Q113" s="84" t="str">
        <f t="shared" si="4"/>
        <v>#N/A</v>
      </c>
      <c r="R113" s="84" t="str">
        <f t="shared" si="5"/>
        <v>#N/A</v>
      </c>
      <c r="S113" s="107">
        <f t="shared" si="6"/>
        <v>-0.11</v>
      </c>
      <c r="T113" s="108">
        <f t="shared" si="7"/>
        <v>-1</v>
      </c>
      <c r="U113" s="106" t="str">
        <f t="shared" si="8"/>
        <v>#N/A</v>
      </c>
      <c r="V113" s="84" t="str">
        <f t="shared" si="9"/>
        <v/>
      </c>
      <c r="W113" s="109" t="str">
        <f t="shared" si="10"/>
        <v/>
      </c>
      <c r="X113" s="109" t="str">
        <f t="shared" si="11"/>
        <v/>
      </c>
      <c r="Y113" s="110" t="str">
        <f t="array" ref="Y113">_xlfn.XLOOKUP(A113,'Video Database'!L:L,'Video Database'!M:M,"")</f>
        <v>Middle of Funnel</v>
      </c>
    </row>
    <row r="114" ht="22.5" customHeight="1">
      <c r="A114" s="113">
        <f t="shared" si="12"/>
        <v>113</v>
      </c>
      <c r="B114" s="98" t="str">
        <f t="array" ref="B114">_xlfn.XLOOKUP(A114,'Video Database'!L:L,'Video Database'!D:D,"")</f>
        <v>Blakely</v>
      </c>
      <c r="C114" s="98" t="str">
        <f t="array" ref="C114">_xlfn.XLOOKUP(A114,'Video Database'!L:L,'Video Database'!E:E,"")</f>
        <v>Account 1</v>
      </c>
      <c r="D114" s="99" t="str">
        <f t="array" ref="D114">_xlfn.XLOOKUP(A114,'Video Database'!L:L,'Video Database'!G:G,"")</f>
        <v>Goli Women's Complete Multi Gummy</v>
      </c>
      <c r="E114" s="100">
        <f t="array" ref="E114">_xlfn.XLOOKUP(A114,'Video Database'!L:L,'Video Database'!H:H,"")</f>
        <v>0.11</v>
      </c>
      <c r="F114" s="101">
        <v>0.0</v>
      </c>
      <c r="G114" s="87">
        <v>0.0</v>
      </c>
      <c r="H114" s="114">
        <f t="array" ref="H114">_xlfn.XLOOKUP(A114,'Video Database'!L:L,'Video Database'!A:A,"")</f>
        <v>46185</v>
      </c>
      <c r="I114" s="103">
        <v>46201.0</v>
      </c>
      <c r="J114" s="104">
        <v>0.0</v>
      </c>
      <c r="K114" s="105"/>
      <c r="L114" s="105" t="str">
        <f t="shared" si="1"/>
        <v/>
      </c>
      <c r="O114" s="106" t="str">
        <f t="shared" si="2"/>
        <v>#N/A</v>
      </c>
      <c r="P114" s="106" t="str">
        <f t="shared" si="3"/>
        <v>#N/A</v>
      </c>
      <c r="Q114" s="84" t="str">
        <f t="shared" si="4"/>
        <v>#N/A</v>
      </c>
      <c r="R114" s="84" t="str">
        <f t="shared" si="5"/>
        <v>#N/A</v>
      </c>
      <c r="S114" s="107">
        <f t="shared" si="6"/>
        <v>-0.11</v>
      </c>
      <c r="T114" s="108">
        <f t="shared" si="7"/>
        <v>-1</v>
      </c>
      <c r="U114" s="106" t="str">
        <f t="shared" si="8"/>
        <v>#N/A</v>
      </c>
      <c r="V114" s="84" t="str">
        <f t="shared" si="9"/>
        <v/>
      </c>
      <c r="W114" s="109" t="str">
        <f t="shared" si="10"/>
        <v/>
      </c>
      <c r="X114" s="109" t="str">
        <f t="shared" si="11"/>
        <v/>
      </c>
      <c r="Y114" s="110" t="str">
        <f t="array" ref="Y114">_xlfn.XLOOKUP(A114,'Video Database'!L:L,'Video Database'!M:M,"")</f>
        <v>Middle of Funnel</v>
      </c>
    </row>
    <row r="115" ht="22.5" customHeight="1">
      <c r="A115" s="113">
        <f t="shared" si="12"/>
        <v>114</v>
      </c>
      <c r="B115" s="98" t="str">
        <f t="array" ref="B115">_xlfn.XLOOKUP(A115,'Video Database'!L:L,'Video Database'!D:D,"")</f>
        <v>Blakely</v>
      </c>
      <c r="C115" s="98" t="str">
        <f t="array" ref="C115">_xlfn.XLOOKUP(A115,'Video Database'!L:L,'Video Database'!E:E,"")</f>
        <v>Account 1</v>
      </c>
      <c r="D115" s="99" t="str">
        <f t="array" ref="D115">_xlfn.XLOOKUP(A115,'Video Database'!L:L,'Video Database'!G:G,"")</f>
        <v>Goli Women's Complete Multi Gummy</v>
      </c>
      <c r="E115" s="100">
        <f t="array" ref="E115">_xlfn.XLOOKUP(A115,'Video Database'!L:L,'Video Database'!H:H,"")</f>
        <v>0.11</v>
      </c>
      <c r="F115" s="101">
        <v>0.0</v>
      </c>
      <c r="G115" s="87">
        <v>0.0</v>
      </c>
      <c r="H115" s="114">
        <f t="array" ref="H115">_xlfn.XLOOKUP(A115,'Video Database'!L:L,'Video Database'!A:A,"")</f>
        <v>46185</v>
      </c>
      <c r="I115" s="103">
        <v>46201.0</v>
      </c>
      <c r="J115" s="104">
        <v>0.0</v>
      </c>
      <c r="K115" s="105"/>
      <c r="L115" s="105" t="str">
        <f t="shared" si="1"/>
        <v/>
      </c>
      <c r="O115" s="106" t="str">
        <f t="shared" si="2"/>
        <v>#N/A</v>
      </c>
      <c r="P115" s="106" t="str">
        <f t="shared" si="3"/>
        <v>#N/A</v>
      </c>
      <c r="Q115" s="84" t="str">
        <f t="shared" si="4"/>
        <v>#N/A</v>
      </c>
      <c r="R115" s="84" t="str">
        <f t="shared" si="5"/>
        <v>#N/A</v>
      </c>
      <c r="S115" s="107">
        <f t="shared" si="6"/>
        <v>-0.11</v>
      </c>
      <c r="T115" s="108">
        <f t="shared" si="7"/>
        <v>-1</v>
      </c>
      <c r="U115" s="106" t="str">
        <f t="shared" si="8"/>
        <v>#N/A</v>
      </c>
      <c r="V115" s="84" t="str">
        <f t="shared" si="9"/>
        <v/>
      </c>
      <c r="W115" s="109" t="str">
        <f t="shared" si="10"/>
        <v/>
      </c>
      <c r="X115" s="109" t="str">
        <f t="shared" si="11"/>
        <v/>
      </c>
      <c r="Y115" s="110" t="str">
        <f t="array" ref="Y115">_xlfn.XLOOKUP(A115,'Video Database'!L:L,'Video Database'!M:M,"")</f>
        <v>Middle of Funnel</v>
      </c>
    </row>
    <row r="116" ht="22.5" customHeight="1">
      <c r="A116" s="113">
        <f t="shared" si="12"/>
        <v>115</v>
      </c>
      <c r="B116" s="98" t="str">
        <f t="array" ref="B116">_xlfn.XLOOKUP(A116,'Video Database'!L:L,'Video Database'!D:D,"")</f>
        <v>Blakely</v>
      </c>
      <c r="C116" s="98" t="str">
        <f t="array" ref="C116">_xlfn.XLOOKUP(A116,'Video Database'!L:L,'Video Database'!E:E,"")</f>
        <v>Account 1</v>
      </c>
      <c r="D116" s="99" t="str">
        <f t="array" ref="D116">_xlfn.XLOOKUP(A116,'Video Database'!L:L,'Video Database'!G:G,"")</f>
        <v>Goli Women's Complete Multi Gummy</v>
      </c>
      <c r="E116" s="100">
        <f t="array" ref="E116">_xlfn.XLOOKUP(A116,'Video Database'!L:L,'Video Database'!H:H,"")</f>
        <v>0.11</v>
      </c>
      <c r="F116" s="101">
        <v>0.0</v>
      </c>
      <c r="G116" s="87">
        <v>0.0</v>
      </c>
      <c r="H116" s="114">
        <f t="array" ref="H116">_xlfn.XLOOKUP(A116,'Video Database'!L:L,'Video Database'!A:A,"")</f>
        <v>46185</v>
      </c>
      <c r="I116" s="103">
        <v>46201.0</v>
      </c>
      <c r="J116" s="104">
        <v>0.0</v>
      </c>
      <c r="K116" s="105"/>
      <c r="L116" s="105" t="str">
        <f t="shared" si="1"/>
        <v/>
      </c>
      <c r="O116" s="106" t="str">
        <f t="shared" si="2"/>
        <v>#N/A</v>
      </c>
      <c r="P116" s="106" t="str">
        <f t="shared" si="3"/>
        <v>#N/A</v>
      </c>
      <c r="Q116" s="84" t="str">
        <f t="shared" si="4"/>
        <v>#N/A</v>
      </c>
      <c r="R116" s="84" t="str">
        <f t="shared" si="5"/>
        <v>#N/A</v>
      </c>
      <c r="S116" s="107">
        <f t="shared" si="6"/>
        <v>-0.11</v>
      </c>
      <c r="T116" s="108">
        <f t="shared" si="7"/>
        <v>-1</v>
      </c>
      <c r="U116" s="106" t="str">
        <f t="shared" si="8"/>
        <v>#N/A</v>
      </c>
      <c r="V116" s="84" t="str">
        <f t="shared" si="9"/>
        <v/>
      </c>
      <c r="W116" s="109" t="str">
        <f t="shared" si="10"/>
        <v/>
      </c>
      <c r="X116" s="109" t="str">
        <f t="shared" si="11"/>
        <v/>
      </c>
      <c r="Y116" s="110" t="str">
        <f t="array" ref="Y116">_xlfn.XLOOKUP(A116,'Video Database'!L:L,'Video Database'!M:M,"")</f>
        <v>Middle of Funnel</v>
      </c>
    </row>
    <row r="117" ht="22.5" customHeight="1">
      <c r="A117" s="113">
        <f t="shared" si="12"/>
        <v>116</v>
      </c>
      <c r="B117" s="98" t="str">
        <f t="array" ref="B117">_xlfn.XLOOKUP(A117,'Video Database'!L:L,'Video Database'!D:D,"")</f>
        <v>Blakely</v>
      </c>
      <c r="C117" s="98" t="str">
        <f t="array" ref="C117">_xlfn.XLOOKUP(A117,'Video Database'!L:L,'Video Database'!E:E,"")</f>
        <v>Account 1</v>
      </c>
      <c r="D117" s="99" t="str">
        <f t="array" ref="D117">_xlfn.XLOOKUP(A117,'Video Database'!L:L,'Video Database'!G:G,"")</f>
        <v>Goli Women's Complete Multi Gummy</v>
      </c>
      <c r="E117" s="100">
        <f t="array" ref="E117">_xlfn.XLOOKUP(A117,'Video Database'!L:L,'Video Database'!H:H,"")</f>
        <v>0.11</v>
      </c>
      <c r="F117" s="101">
        <v>0.0</v>
      </c>
      <c r="G117" s="87">
        <v>0.0</v>
      </c>
      <c r="H117" s="114">
        <f t="array" ref="H117">_xlfn.XLOOKUP(A117,'Video Database'!L:L,'Video Database'!A:A,"")</f>
        <v>46185</v>
      </c>
      <c r="I117" s="103">
        <v>46201.0</v>
      </c>
      <c r="J117" s="104">
        <v>0.0</v>
      </c>
      <c r="K117" s="105"/>
      <c r="L117" s="105" t="str">
        <f t="shared" si="1"/>
        <v/>
      </c>
      <c r="O117" s="106" t="str">
        <f t="shared" si="2"/>
        <v>#N/A</v>
      </c>
      <c r="P117" s="106" t="str">
        <f t="shared" si="3"/>
        <v>#N/A</v>
      </c>
      <c r="Q117" s="84" t="str">
        <f t="shared" si="4"/>
        <v>#N/A</v>
      </c>
      <c r="R117" s="84" t="str">
        <f t="shared" si="5"/>
        <v>#N/A</v>
      </c>
      <c r="S117" s="107">
        <f t="shared" si="6"/>
        <v>-0.11</v>
      </c>
      <c r="T117" s="108">
        <f t="shared" si="7"/>
        <v>-1</v>
      </c>
      <c r="U117" s="106" t="str">
        <f t="shared" si="8"/>
        <v>#N/A</v>
      </c>
      <c r="V117" s="84" t="str">
        <f t="shared" si="9"/>
        <v/>
      </c>
      <c r="W117" s="109" t="str">
        <f t="shared" si="10"/>
        <v/>
      </c>
      <c r="X117" s="109" t="str">
        <f t="shared" si="11"/>
        <v/>
      </c>
      <c r="Y117" s="110" t="str">
        <f t="array" ref="Y117">_xlfn.XLOOKUP(A117,'Video Database'!L:L,'Video Database'!M:M,"")</f>
        <v>Middle of Funnel</v>
      </c>
    </row>
    <row r="118" ht="22.5" customHeight="1">
      <c r="A118" s="113">
        <f t="shared" si="12"/>
        <v>117</v>
      </c>
      <c r="B118" s="98" t="str">
        <f t="array" ref="B118">_xlfn.XLOOKUP(A118,'Video Database'!L:L,'Video Database'!D:D,"")</f>
        <v>Erin</v>
      </c>
      <c r="C118" s="98" t="str">
        <f t="array" ref="C118">_xlfn.XLOOKUP(A118,'Video Database'!L:L,'Video Database'!E:E,"")</f>
        <v>Account 4</v>
      </c>
      <c r="D118" s="99" t="str">
        <f t="array" ref="D118">_xlfn.XLOOKUP(A118,'Video Database'!L:L,'Video Database'!G:G,"")</f>
        <v>LullaBites Natural Sleep Gummies</v>
      </c>
      <c r="E118" s="100">
        <f t="array" ref="E118">_xlfn.XLOOKUP(A118,'Video Database'!L:L,'Video Database'!H:H,"")</f>
        <v>1.1</v>
      </c>
      <c r="F118" s="101">
        <v>0.0</v>
      </c>
      <c r="G118" s="87">
        <v>0.0</v>
      </c>
      <c r="H118" s="114">
        <f t="array" ref="H118">_xlfn.XLOOKUP(A118,'Video Database'!L:L,'Video Database'!A:A,"")</f>
        <v>46185</v>
      </c>
      <c r="I118" s="103">
        <v>46201.0</v>
      </c>
      <c r="J118" s="104">
        <v>0.0</v>
      </c>
      <c r="K118" s="105"/>
      <c r="L118" s="105" t="str">
        <f t="shared" si="1"/>
        <v/>
      </c>
      <c r="O118" s="106" t="str">
        <f t="shared" si="2"/>
        <v>#N/A</v>
      </c>
      <c r="P118" s="106" t="str">
        <f t="shared" si="3"/>
        <v>#N/A</v>
      </c>
      <c r="Q118" s="84" t="str">
        <f t="shared" si="4"/>
        <v>#N/A</v>
      </c>
      <c r="R118" s="84" t="str">
        <f t="shared" si="5"/>
        <v>#N/A</v>
      </c>
      <c r="S118" s="107">
        <f t="shared" si="6"/>
        <v>-1.1</v>
      </c>
      <c r="T118" s="108">
        <f t="shared" si="7"/>
        <v>-1</v>
      </c>
      <c r="U118" s="106" t="str">
        <f t="shared" si="8"/>
        <v>#N/A</v>
      </c>
      <c r="V118" s="84" t="str">
        <f t="shared" si="9"/>
        <v/>
      </c>
      <c r="W118" s="109" t="str">
        <f t="shared" si="10"/>
        <v/>
      </c>
      <c r="X118" s="109" t="str">
        <f t="shared" si="11"/>
        <v/>
      </c>
      <c r="Y118" s="110" t="str">
        <f t="array" ref="Y118">_xlfn.XLOOKUP(A118,'Video Database'!L:L,'Video Database'!M:M,"")</f>
        <v>Bottom of Funnel</v>
      </c>
    </row>
    <row r="119" ht="22.5" customHeight="1">
      <c r="A119" s="113">
        <f t="shared" si="12"/>
        <v>118</v>
      </c>
      <c r="B119" s="98" t="str">
        <f t="array" ref="B119">_xlfn.XLOOKUP(A119,'Video Database'!L:L,'Video Database'!D:D,"")</f>
        <v>Erin</v>
      </c>
      <c r="C119" s="98" t="str">
        <f t="array" ref="C119">_xlfn.XLOOKUP(A119,'Video Database'!L:L,'Video Database'!E:E,"")</f>
        <v>Account 4</v>
      </c>
      <c r="D119" s="99" t="str">
        <f t="array" ref="D119">_xlfn.XLOOKUP(A119,'Video Database'!L:L,'Video Database'!G:G,"")</f>
        <v>LullaBites Natural Sleep Gummies</v>
      </c>
      <c r="E119" s="100">
        <f t="array" ref="E119">_xlfn.XLOOKUP(A119,'Video Database'!L:L,'Video Database'!H:H,"")</f>
        <v>1.1</v>
      </c>
      <c r="F119" s="101">
        <v>0.0</v>
      </c>
      <c r="G119" s="87">
        <v>0.0</v>
      </c>
      <c r="H119" s="114">
        <f t="array" ref="H119">_xlfn.XLOOKUP(A119,'Video Database'!L:L,'Video Database'!A:A,"")</f>
        <v>46185</v>
      </c>
      <c r="I119" s="103">
        <v>46201.0</v>
      </c>
      <c r="J119" s="104">
        <v>0.0</v>
      </c>
      <c r="K119" s="105"/>
      <c r="L119" s="105" t="str">
        <f t="shared" si="1"/>
        <v/>
      </c>
      <c r="O119" s="106" t="str">
        <f t="shared" si="2"/>
        <v>#N/A</v>
      </c>
      <c r="P119" s="106" t="str">
        <f t="shared" si="3"/>
        <v>#N/A</v>
      </c>
      <c r="Q119" s="84" t="str">
        <f t="shared" si="4"/>
        <v>#N/A</v>
      </c>
      <c r="R119" s="84" t="str">
        <f t="shared" si="5"/>
        <v>#N/A</v>
      </c>
      <c r="S119" s="107">
        <f t="shared" si="6"/>
        <v>-1.1</v>
      </c>
      <c r="T119" s="108">
        <f t="shared" si="7"/>
        <v>-1</v>
      </c>
      <c r="U119" s="106" t="str">
        <f t="shared" si="8"/>
        <v>#N/A</v>
      </c>
      <c r="V119" s="84" t="str">
        <f t="shared" si="9"/>
        <v/>
      </c>
      <c r="W119" s="109" t="str">
        <f t="shared" si="10"/>
        <v/>
      </c>
      <c r="X119" s="109" t="str">
        <f t="shared" si="11"/>
        <v/>
      </c>
      <c r="Y119" s="110" t="str">
        <f t="array" ref="Y119">_xlfn.XLOOKUP(A119,'Video Database'!L:L,'Video Database'!M:M,"")</f>
        <v>Bottom of Funnel</v>
      </c>
    </row>
    <row r="120" ht="22.5" customHeight="1">
      <c r="A120" s="113">
        <f t="shared" si="12"/>
        <v>119</v>
      </c>
      <c r="B120" s="98" t="str">
        <f t="array" ref="B120">_xlfn.XLOOKUP(A120,'Video Database'!L:L,'Video Database'!D:D,"")</f>
        <v>Erin</v>
      </c>
      <c r="C120" s="98" t="str">
        <f t="array" ref="C120">_xlfn.XLOOKUP(A120,'Video Database'!L:L,'Video Database'!E:E,"")</f>
        <v>Account 4</v>
      </c>
      <c r="D120" s="99" t="str">
        <f t="array" ref="D120">_xlfn.XLOOKUP(A120,'Video Database'!L:L,'Video Database'!G:G,"")</f>
        <v>LullaBites Natural Sleep Gummies</v>
      </c>
      <c r="E120" s="100">
        <f t="array" ref="E120">_xlfn.XLOOKUP(A120,'Video Database'!L:L,'Video Database'!H:H,"")</f>
        <v>1.1</v>
      </c>
      <c r="F120" s="101">
        <v>0.0</v>
      </c>
      <c r="G120" s="87">
        <v>0.0</v>
      </c>
      <c r="H120" s="114">
        <f t="array" ref="H120">_xlfn.XLOOKUP(A120,'Video Database'!L:L,'Video Database'!A:A,"")</f>
        <v>46185</v>
      </c>
      <c r="I120" s="103">
        <v>46201.0</v>
      </c>
      <c r="J120" s="104">
        <v>0.0</v>
      </c>
      <c r="K120" s="105"/>
      <c r="L120" s="105" t="str">
        <f t="shared" si="1"/>
        <v/>
      </c>
      <c r="O120" s="106" t="str">
        <f t="shared" si="2"/>
        <v>#N/A</v>
      </c>
      <c r="P120" s="106" t="str">
        <f t="shared" si="3"/>
        <v>#N/A</v>
      </c>
      <c r="Q120" s="84" t="str">
        <f t="shared" si="4"/>
        <v>#N/A</v>
      </c>
      <c r="R120" s="84" t="str">
        <f t="shared" si="5"/>
        <v>#N/A</v>
      </c>
      <c r="S120" s="107">
        <f t="shared" si="6"/>
        <v>-1.1</v>
      </c>
      <c r="T120" s="108">
        <f t="shared" si="7"/>
        <v>-1</v>
      </c>
      <c r="U120" s="106" t="str">
        <f t="shared" si="8"/>
        <v>#N/A</v>
      </c>
      <c r="V120" s="84" t="str">
        <f t="shared" si="9"/>
        <v/>
      </c>
      <c r="W120" s="109" t="str">
        <f t="shared" si="10"/>
        <v/>
      </c>
      <c r="X120" s="109" t="str">
        <f t="shared" si="11"/>
        <v/>
      </c>
      <c r="Y120" s="110" t="str">
        <f t="array" ref="Y120">_xlfn.XLOOKUP(A120,'Video Database'!L:L,'Video Database'!M:M,"")</f>
        <v>Bottom of Funnel</v>
      </c>
    </row>
    <row r="121" ht="22.5" customHeight="1">
      <c r="A121" s="113">
        <f t="shared" si="12"/>
        <v>120</v>
      </c>
      <c r="B121" s="98" t="str">
        <f t="array" ref="B121">_xlfn.XLOOKUP(A121,'Video Database'!L:L,'Video Database'!D:D,"")</f>
        <v>Erin</v>
      </c>
      <c r="C121" s="98" t="str">
        <f t="array" ref="C121">_xlfn.XLOOKUP(A121,'Video Database'!L:L,'Video Database'!E:E,"")</f>
        <v>Account 4</v>
      </c>
      <c r="D121" s="99" t="str">
        <f t="array" ref="D121">_xlfn.XLOOKUP(A121,'Video Database'!L:L,'Video Database'!G:G,"")</f>
        <v>LullaBites Natural Sleep Gummies</v>
      </c>
      <c r="E121" s="100">
        <f t="array" ref="E121">_xlfn.XLOOKUP(A121,'Video Database'!L:L,'Video Database'!H:H,"")</f>
        <v>1.1</v>
      </c>
      <c r="F121" s="101">
        <v>0.0</v>
      </c>
      <c r="G121" s="87">
        <v>0.0</v>
      </c>
      <c r="H121" s="114">
        <f t="array" ref="H121">_xlfn.XLOOKUP(A121,'Video Database'!L:L,'Video Database'!A:A,"")</f>
        <v>46185</v>
      </c>
      <c r="I121" s="103">
        <v>46201.0</v>
      </c>
      <c r="J121" s="104">
        <v>0.0</v>
      </c>
      <c r="K121" s="105"/>
      <c r="L121" s="105" t="str">
        <f t="shared" si="1"/>
        <v/>
      </c>
      <c r="O121" s="106" t="str">
        <f t="shared" si="2"/>
        <v>#N/A</v>
      </c>
      <c r="P121" s="106" t="str">
        <f t="shared" si="3"/>
        <v>#N/A</v>
      </c>
      <c r="Q121" s="84" t="str">
        <f t="shared" si="4"/>
        <v>#N/A</v>
      </c>
      <c r="R121" s="84" t="str">
        <f t="shared" si="5"/>
        <v>#N/A</v>
      </c>
      <c r="S121" s="107">
        <f t="shared" si="6"/>
        <v>-1.1</v>
      </c>
      <c r="T121" s="108">
        <f t="shared" si="7"/>
        <v>-1</v>
      </c>
      <c r="U121" s="106" t="str">
        <f t="shared" si="8"/>
        <v>#N/A</v>
      </c>
      <c r="V121" s="84" t="str">
        <f t="shared" si="9"/>
        <v/>
      </c>
      <c r="W121" s="109" t="str">
        <f t="shared" si="10"/>
        <v/>
      </c>
      <c r="X121" s="109" t="str">
        <f t="shared" si="11"/>
        <v/>
      </c>
      <c r="Y121" s="110" t="str">
        <f t="array" ref="Y121">_xlfn.XLOOKUP(A121,'Video Database'!L:L,'Video Database'!M:M,"")</f>
        <v>Bottom of Funnel</v>
      </c>
    </row>
    <row r="122" ht="22.5" customHeight="1">
      <c r="A122" s="113">
        <f t="shared" si="12"/>
        <v>121</v>
      </c>
      <c r="B122" s="98" t="str">
        <f t="array" ref="B122">_xlfn.XLOOKUP(A122,'Video Database'!L:L,'Video Database'!D:D,"")</f>
        <v>Erin</v>
      </c>
      <c r="C122" s="98" t="str">
        <f t="array" ref="C122">_xlfn.XLOOKUP(A122,'Video Database'!L:L,'Video Database'!E:E,"")</f>
        <v>Account 4</v>
      </c>
      <c r="D122" s="99" t="str">
        <f t="array" ref="D122">_xlfn.XLOOKUP(A122,'Video Database'!L:L,'Video Database'!G:G,"")</f>
        <v>LullaBites Natural Sleep Gummies</v>
      </c>
      <c r="E122" s="100">
        <f t="array" ref="E122">_xlfn.XLOOKUP(A122,'Video Database'!L:L,'Video Database'!H:H,"")</f>
        <v>1.1</v>
      </c>
      <c r="F122" s="101">
        <v>0.0</v>
      </c>
      <c r="G122" s="87">
        <v>0.0</v>
      </c>
      <c r="H122" s="114">
        <f t="array" ref="H122">_xlfn.XLOOKUP(A122,'Video Database'!L:L,'Video Database'!A:A,"")</f>
        <v>46185</v>
      </c>
      <c r="I122" s="103">
        <v>46201.0</v>
      </c>
      <c r="J122" s="104">
        <v>0.0</v>
      </c>
      <c r="K122" s="105"/>
      <c r="L122" s="105" t="str">
        <f t="shared" si="1"/>
        <v/>
      </c>
      <c r="O122" s="106" t="str">
        <f t="shared" si="2"/>
        <v>#N/A</v>
      </c>
      <c r="P122" s="106" t="str">
        <f t="shared" si="3"/>
        <v>#N/A</v>
      </c>
      <c r="Q122" s="84" t="str">
        <f t="shared" si="4"/>
        <v>#N/A</v>
      </c>
      <c r="R122" s="84" t="str">
        <f t="shared" si="5"/>
        <v>#N/A</v>
      </c>
      <c r="S122" s="107">
        <f t="shared" si="6"/>
        <v>-1.1</v>
      </c>
      <c r="T122" s="108">
        <f t="shared" si="7"/>
        <v>-1</v>
      </c>
      <c r="U122" s="106" t="str">
        <f t="shared" si="8"/>
        <v>#N/A</v>
      </c>
      <c r="V122" s="84" t="str">
        <f t="shared" si="9"/>
        <v/>
      </c>
      <c r="W122" s="109" t="str">
        <f t="shared" si="10"/>
        <v/>
      </c>
      <c r="X122" s="109" t="str">
        <f t="shared" si="11"/>
        <v/>
      </c>
      <c r="Y122" s="110" t="str">
        <f t="array" ref="Y122">_xlfn.XLOOKUP(A122,'Video Database'!L:L,'Video Database'!M:M,"")</f>
        <v>Bottom of Funnel</v>
      </c>
    </row>
    <row r="123" ht="22.5" customHeight="1">
      <c r="A123" s="113">
        <f t="shared" si="12"/>
        <v>122</v>
      </c>
      <c r="B123" s="98" t="str">
        <f t="array" ref="B123">_xlfn.XLOOKUP(A123,'Video Database'!L:L,'Video Database'!D:D,"")</f>
        <v>Blakely</v>
      </c>
      <c r="C123" s="98" t="str">
        <f t="array" ref="C123">_xlfn.XLOOKUP(A123,'Video Database'!L:L,'Video Database'!E:E,"")</f>
        <v>Account 4</v>
      </c>
      <c r="D123" s="99" t="str">
        <f t="array" ref="D123">_xlfn.XLOOKUP(A123,'Video Database'!L:L,'Video Database'!G:G,"")</f>
        <v>Physician's Choice Probiotic Gummies</v>
      </c>
      <c r="E123" s="100">
        <f t="array" ref="E123">_xlfn.XLOOKUP(A123,'Video Database'!L:L,'Video Database'!H:H,"")</f>
        <v>0.11</v>
      </c>
      <c r="F123" s="101">
        <v>0.0</v>
      </c>
      <c r="G123" s="87">
        <v>0.0</v>
      </c>
      <c r="H123" s="114">
        <f t="array" ref="H123">_xlfn.XLOOKUP(A123,'Video Database'!L:L,'Video Database'!A:A,"")</f>
        <v>46185</v>
      </c>
      <c r="I123" s="103">
        <v>46201.0</v>
      </c>
      <c r="J123" s="104">
        <v>0.0</v>
      </c>
      <c r="K123" s="105"/>
      <c r="L123" s="105" t="str">
        <f t="shared" si="1"/>
        <v/>
      </c>
      <c r="O123" s="106" t="str">
        <f t="shared" si="2"/>
        <v>#N/A</v>
      </c>
      <c r="P123" s="106" t="str">
        <f t="shared" si="3"/>
        <v>#N/A</v>
      </c>
      <c r="Q123" s="84" t="str">
        <f t="shared" si="4"/>
        <v>#N/A</v>
      </c>
      <c r="R123" s="84" t="str">
        <f t="shared" si="5"/>
        <v>#N/A</v>
      </c>
      <c r="S123" s="107">
        <f t="shared" si="6"/>
        <v>-0.11</v>
      </c>
      <c r="T123" s="108">
        <f t="shared" si="7"/>
        <v>-1</v>
      </c>
      <c r="U123" s="106" t="str">
        <f t="shared" si="8"/>
        <v>#N/A</v>
      </c>
      <c r="V123" s="84" t="str">
        <f t="shared" si="9"/>
        <v/>
      </c>
      <c r="W123" s="109" t="str">
        <f t="shared" si="10"/>
        <v/>
      </c>
      <c r="X123" s="109" t="str">
        <f t="shared" si="11"/>
        <v/>
      </c>
      <c r="Y123" s="110" t="str">
        <f t="array" ref="Y123">_xlfn.XLOOKUP(A123,'Video Database'!L:L,'Video Database'!M:M,"")</f>
        <v>Middle of Funnel</v>
      </c>
    </row>
    <row r="124" ht="22.5" customHeight="1">
      <c r="A124" s="113">
        <f t="shared" si="12"/>
        <v>123</v>
      </c>
      <c r="B124" s="98" t="str">
        <f t="array" ref="B124">_xlfn.XLOOKUP(A124,'Video Database'!L:L,'Video Database'!D:D,"")</f>
        <v>Blakely</v>
      </c>
      <c r="C124" s="98" t="str">
        <f t="array" ref="C124">_xlfn.XLOOKUP(A124,'Video Database'!L:L,'Video Database'!E:E,"")</f>
        <v>Account 4</v>
      </c>
      <c r="D124" s="99" t="str">
        <f t="array" ref="D124">_xlfn.XLOOKUP(A124,'Video Database'!L:L,'Video Database'!G:G,"")</f>
        <v>Physician's Choice Probiotic Gummies</v>
      </c>
      <c r="E124" s="100">
        <f t="array" ref="E124">_xlfn.XLOOKUP(A124,'Video Database'!L:L,'Video Database'!H:H,"")</f>
        <v>0.11</v>
      </c>
      <c r="F124" s="101">
        <v>0.0</v>
      </c>
      <c r="G124" s="87">
        <v>0.0</v>
      </c>
      <c r="H124" s="114">
        <f t="array" ref="H124">_xlfn.XLOOKUP(A124,'Video Database'!L:L,'Video Database'!A:A,"")</f>
        <v>46185</v>
      </c>
      <c r="I124" s="103">
        <v>46201.0</v>
      </c>
      <c r="J124" s="104">
        <v>0.0</v>
      </c>
      <c r="K124" s="105"/>
      <c r="L124" s="105" t="str">
        <f t="shared" si="1"/>
        <v/>
      </c>
      <c r="O124" s="106" t="str">
        <f t="shared" si="2"/>
        <v>#N/A</v>
      </c>
      <c r="P124" s="106" t="str">
        <f t="shared" si="3"/>
        <v>#N/A</v>
      </c>
      <c r="Q124" s="84" t="str">
        <f t="shared" si="4"/>
        <v>#N/A</v>
      </c>
      <c r="R124" s="84" t="str">
        <f t="shared" si="5"/>
        <v>#N/A</v>
      </c>
      <c r="S124" s="107">
        <f t="shared" si="6"/>
        <v>-0.11</v>
      </c>
      <c r="T124" s="108">
        <f t="shared" si="7"/>
        <v>-1</v>
      </c>
      <c r="U124" s="106" t="str">
        <f t="shared" si="8"/>
        <v>#N/A</v>
      </c>
      <c r="V124" s="84" t="str">
        <f t="shared" si="9"/>
        <v/>
      </c>
      <c r="W124" s="109" t="str">
        <f t="shared" si="10"/>
        <v/>
      </c>
      <c r="X124" s="109" t="str">
        <f t="shared" si="11"/>
        <v/>
      </c>
      <c r="Y124" s="110" t="str">
        <f t="array" ref="Y124">_xlfn.XLOOKUP(A124,'Video Database'!L:L,'Video Database'!M:M,"")</f>
        <v>Middle of Funnel</v>
      </c>
    </row>
    <row r="125" ht="22.5" customHeight="1">
      <c r="A125" s="113">
        <f t="shared" si="12"/>
        <v>124</v>
      </c>
      <c r="B125" s="98" t="str">
        <f t="array" ref="B125">_xlfn.XLOOKUP(A125,'Video Database'!L:L,'Video Database'!D:D,"")</f>
        <v>Blakely</v>
      </c>
      <c r="C125" s="98" t="str">
        <f t="array" ref="C125">_xlfn.XLOOKUP(A125,'Video Database'!L:L,'Video Database'!E:E,"")</f>
        <v>Account 4</v>
      </c>
      <c r="D125" s="99" t="str">
        <f t="array" ref="D125">_xlfn.XLOOKUP(A125,'Video Database'!L:L,'Video Database'!G:G,"")</f>
        <v>Physician's Choice Probiotic Gummies</v>
      </c>
      <c r="E125" s="100">
        <f t="array" ref="E125">_xlfn.XLOOKUP(A125,'Video Database'!L:L,'Video Database'!H:H,"")</f>
        <v>0.11</v>
      </c>
      <c r="F125" s="101">
        <v>0.0</v>
      </c>
      <c r="G125" s="87">
        <v>0.0</v>
      </c>
      <c r="H125" s="114">
        <f t="array" ref="H125">_xlfn.XLOOKUP(A125,'Video Database'!L:L,'Video Database'!A:A,"")</f>
        <v>46185</v>
      </c>
      <c r="I125" s="103">
        <v>46201.0</v>
      </c>
      <c r="J125" s="104">
        <v>0.0</v>
      </c>
      <c r="K125" s="105"/>
      <c r="L125" s="105" t="str">
        <f t="shared" si="1"/>
        <v/>
      </c>
      <c r="O125" s="106" t="str">
        <f t="shared" si="2"/>
        <v>#N/A</v>
      </c>
      <c r="P125" s="106" t="str">
        <f t="shared" si="3"/>
        <v>#N/A</v>
      </c>
      <c r="Q125" s="84" t="str">
        <f t="shared" si="4"/>
        <v>#N/A</v>
      </c>
      <c r="R125" s="84" t="str">
        <f t="shared" si="5"/>
        <v>#N/A</v>
      </c>
      <c r="S125" s="107">
        <f t="shared" si="6"/>
        <v>-0.11</v>
      </c>
      <c r="T125" s="108">
        <f t="shared" si="7"/>
        <v>-1</v>
      </c>
      <c r="U125" s="106" t="str">
        <f t="shared" si="8"/>
        <v>#N/A</v>
      </c>
      <c r="V125" s="84" t="str">
        <f t="shared" si="9"/>
        <v/>
      </c>
      <c r="W125" s="109" t="str">
        <f t="shared" si="10"/>
        <v/>
      </c>
      <c r="X125" s="109" t="str">
        <f t="shared" si="11"/>
        <v/>
      </c>
      <c r="Y125" s="110" t="str">
        <f t="array" ref="Y125">_xlfn.XLOOKUP(A125,'Video Database'!L:L,'Video Database'!M:M,"")</f>
        <v>Middle of Funnel</v>
      </c>
    </row>
    <row r="126" ht="22.5" customHeight="1">
      <c r="A126" s="113">
        <f t="shared" si="12"/>
        <v>125</v>
      </c>
      <c r="B126" s="98" t="str">
        <f t="array" ref="B126">_xlfn.XLOOKUP(A126,'Video Database'!L:L,'Video Database'!D:D,"")</f>
        <v>Blakely</v>
      </c>
      <c r="C126" s="98" t="str">
        <f t="array" ref="C126">_xlfn.XLOOKUP(A126,'Video Database'!L:L,'Video Database'!E:E,"")</f>
        <v>Account 4</v>
      </c>
      <c r="D126" s="99" t="str">
        <f t="array" ref="D126">_xlfn.XLOOKUP(A126,'Video Database'!L:L,'Video Database'!G:G,"")</f>
        <v>Physician's Choice Probiotic Gummies</v>
      </c>
      <c r="E126" s="100">
        <f t="array" ref="E126">_xlfn.XLOOKUP(A126,'Video Database'!L:L,'Video Database'!H:H,"")</f>
        <v>0.11</v>
      </c>
      <c r="F126" s="101">
        <v>0.0</v>
      </c>
      <c r="G126" s="87">
        <v>0.0</v>
      </c>
      <c r="H126" s="114">
        <f t="array" ref="H126">_xlfn.XLOOKUP(A126,'Video Database'!L:L,'Video Database'!A:A,"")</f>
        <v>46185</v>
      </c>
      <c r="I126" s="103">
        <v>46201.0</v>
      </c>
      <c r="J126" s="104">
        <v>0.0</v>
      </c>
      <c r="K126" s="105"/>
      <c r="L126" s="105" t="str">
        <f t="shared" si="1"/>
        <v/>
      </c>
      <c r="O126" s="106" t="str">
        <f t="shared" si="2"/>
        <v>#N/A</v>
      </c>
      <c r="P126" s="106" t="str">
        <f t="shared" si="3"/>
        <v>#N/A</v>
      </c>
      <c r="Q126" s="84" t="str">
        <f t="shared" si="4"/>
        <v>#N/A</v>
      </c>
      <c r="R126" s="84" t="str">
        <f t="shared" si="5"/>
        <v>#N/A</v>
      </c>
      <c r="S126" s="107">
        <f t="shared" si="6"/>
        <v>-0.11</v>
      </c>
      <c r="T126" s="108">
        <f t="shared" si="7"/>
        <v>-1</v>
      </c>
      <c r="U126" s="106" t="str">
        <f t="shared" si="8"/>
        <v>#N/A</v>
      </c>
      <c r="V126" s="84" t="str">
        <f t="shared" si="9"/>
        <v/>
      </c>
      <c r="W126" s="109" t="str">
        <f t="shared" si="10"/>
        <v/>
      </c>
      <c r="X126" s="109" t="str">
        <f t="shared" si="11"/>
        <v/>
      </c>
      <c r="Y126" s="110" t="str">
        <f t="array" ref="Y126">_xlfn.XLOOKUP(A126,'Video Database'!L:L,'Video Database'!M:M,"")</f>
        <v>Middle of Funnel</v>
      </c>
    </row>
    <row r="127" ht="22.5" customHeight="1">
      <c r="A127" s="113">
        <f t="shared" si="12"/>
        <v>126</v>
      </c>
      <c r="B127" s="98" t="str">
        <f t="array" ref="B127">_xlfn.XLOOKUP(A127,'Video Database'!L:L,'Video Database'!D:D,"")</f>
        <v>Blakely</v>
      </c>
      <c r="C127" s="98" t="str">
        <f t="array" ref="C127">_xlfn.XLOOKUP(A127,'Video Database'!L:L,'Video Database'!E:E,"")</f>
        <v>Account 4</v>
      </c>
      <c r="D127" s="99" t="str">
        <f t="array" ref="D127">_xlfn.XLOOKUP(A127,'Video Database'!L:L,'Video Database'!G:G,"")</f>
        <v>Physician's Choice Probiotic Gummies</v>
      </c>
      <c r="E127" s="100">
        <f t="array" ref="E127">_xlfn.XLOOKUP(A127,'Video Database'!L:L,'Video Database'!H:H,"")</f>
        <v>0.11</v>
      </c>
      <c r="F127" s="101">
        <v>0.0</v>
      </c>
      <c r="G127" s="87">
        <v>0.0</v>
      </c>
      <c r="H127" s="114">
        <f t="array" ref="H127">_xlfn.XLOOKUP(A127,'Video Database'!L:L,'Video Database'!A:A,"")</f>
        <v>46185</v>
      </c>
      <c r="I127" s="103">
        <v>46201.0</v>
      </c>
      <c r="J127" s="104">
        <v>0.0</v>
      </c>
      <c r="K127" s="105"/>
      <c r="L127" s="105" t="str">
        <f t="shared" si="1"/>
        <v/>
      </c>
      <c r="O127" s="106" t="str">
        <f t="shared" si="2"/>
        <v>#N/A</v>
      </c>
      <c r="P127" s="106" t="str">
        <f t="shared" si="3"/>
        <v>#N/A</v>
      </c>
      <c r="Q127" s="84" t="str">
        <f t="shared" si="4"/>
        <v>#N/A</v>
      </c>
      <c r="R127" s="84" t="str">
        <f t="shared" si="5"/>
        <v>#N/A</v>
      </c>
      <c r="S127" s="107">
        <f t="shared" si="6"/>
        <v>-0.11</v>
      </c>
      <c r="T127" s="108">
        <f t="shared" si="7"/>
        <v>-1</v>
      </c>
      <c r="U127" s="106" t="str">
        <f t="shared" si="8"/>
        <v>#N/A</v>
      </c>
      <c r="V127" s="84" t="str">
        <f t="shared" si="9"/>
        <v/>
      </c>
      <c r="W127" s="109" t="str">
        <f t="shared" si="10"/>
        <v/>
      </c>
      <c r="X127" s="109" t="str">
        <f t="shared" si="11"/>
        <v/>
      </c>
      <c r="Y127" s="110" t="str">
        <f t="array" ref="Y127">_xlfn.XLOOKUP(A127,'Video Database'!L:L,'Video Database'!M:M,"")</f>
        <v>Middle of Funnel</v>
      </c>
    </row>
    <row r="128" ht="22.5" customHeight="1">
      <c r="A128" s="113">
        <f t="shared" si="12"/>
        <v>127</v>
      </c>
      <c r="B128" s="98" t="str">
        <f t="array" ref="B128">_xlfn.XLOOKUP(A128,'Video Database'!L:L,'Video Database'!D:D,"")</f>
        <v>Blakely</v>
      </c>
      <c r="C128" s="98" t="str">
        <f t="array" ref="C128">_xlfn.XLOOKUP(A128,'Video Database'!L:L,'Video Database'!E:E,"")</f>
        <v>Account 4</v>
      </c>
      <c r="D128" s="99" t="str">
        <f t="array" ref="D128">_xlfn.XLOOKUP(A128,'Video Database'!L:L,'Video Database'!G:G,"")</f>
        <v>Physician's Choice Probiotic Gummies</v>
      </c>
      <c r="E128" s="100">
        <f t="array" ref="E128">_xlfn.XLOOKUP(A128,'Video Database'!L:L,'Video Database'!H:H,"")</f>
        <v>0.11</v>
      </c>
      <c r="F128" s="101">
        <v>0.0</v>
      </c>
      <c r="G128" s="87">
        <v>0.0</v>
      </c>
      <c r="H128" s="114">
        <f t="array" ref="H128">_xlfn.XLOOKUP(A128,'Video Database'!L:L,'Video Database'!A:A,"")</f>
        <v>46185</v>
      </c>
      <c r="I128" s="103">
        <v>46201.0</v>
      </c>
      <c r="J128" s="104">
        <v>0.0</v>
      </c>
      <c r="K128" s="105"/>
      <c r="L128" s="105" t="str">
        <f t="shared" si="1"/>
        <v/>
      </c>
      <c r="O128" s="106" t="str">
        <f t="shared" si="2"/>
        <v>#N/A</v>
      </c>
      <c r="P128" s="106" t="str">
        <f t="shared" si="3"/>
        <v>#N/A</v>
      </c>
      <c r="Q128" s="84" t="str">
        <f t="shared" si="4"/>
        <v>#N/A</v>
      </c>
      <c r="R128" s="84" t="str">
        <f t="shared" si="5"/>
        <v>#N/A</v>
      </c>
      <c r="S128" s="107">
        <f t="shared" si="6"/>
        <v>-0.11</v>
      </c>
      <c r="T128" s="108">
        <f t="shared" si="7"/>
        <v>-1</v>
      </c>
      <c r="U128" s="106" t="str">
        <f t="shared" si="8"/>
        <v>#N/A</v>
      </c>
      <c r="V128" s="84" t="str">
        <f t="shared" si="9"/>
        <v/>
      </c>
      <c r="W128" s="109" t="str">
        <f t="shared" si="10"/>
        <v/>
      </c>
      <c r="X128" s="109" t="str">
        <f t="shared" si="11"/>
        <v/>
      </c>
      <c r="Y128" s="110" t="str">
        <f t="array" ref="Y128">_xlfn.XLOOKUP(A128,'Video Database'!L:L,'Video Database'!M:M,"")</f>
        <v>Middle of Funnel</v>
      </c>
    </row>
    <row r="129" ht="22.5" customHeight="1">
      <c r="A129" s="113">
        <f t="shared" si="12"/>
        <v>128</v>
      </c>
      <c r="B129" s="98" t="str">
        <f t="array" ref="B129">_xlfn.XLOOKUP(A129,'Video Database'!L:L,'Video Database'!D:D,"")</f>
        <v>Blakely</v>
      </c>
      <c r="C129" s="98" t="str">
        <f t="array" ref="C129">_xlfn.XLOOKUP(A129,'Video Database'!L:L,'Video Database'!E:E,"")</f>
        <v>Account 4</v>
      </c>
      <c r="D129" s="99" t="str">
        <f t="array" ref="D129">_xlfn.XLOOKUP(A129,'Video Database'!L:L,'Video Database'!G:G,"")</f>
        <v>Physician's Choice Probiotic Gummies</v>
      </c>
      <c r="E129" s="100">
        <f t="array" ref="E129">_xlfn.XLOOKUP(A129,'Video Database'!L:L,'Video Database'!H:H,"")</f>
        <v>0.11</v>
      </c>
      <c r="F129" s="101">
        <v>0.0</v>
      </c>
      <c r="G129" s="87">
        <v>0.0</v>
      </c>
      <c r="H129" s="114">
        <f t="array" ref="H129">_xlfn.XLOOKUP(A129,'Video Database'!L:L,'Video Database'!A:A,"")</f>
        <v>46185</v>
      </c>
      <c r="I129" s="103">
        <v>46201.0</v>
      </c>
      <c r="J129" s="104">
        <v>0.0</v>
      </c>
      <c r="K129" s="105"/>
      <c r="L129" s="105" t="str">
        <f t="shared" si="1"/>
        <v/>
      </c>
      <c r="O129" s="106" t="str">
        <f t="shared" si="2"/>
        <v>#N/A</v>
      </c>
      <c r="P129" s="106" t="str">
        <f t="shared" si="3"/>
        <v>#N/A</v>
      </c>
      <c r="Q129" s="84" t="str">
        <f t="shared" si="4"/>
        <v>#N/A</v>
      </c>
      <c r="R129" s="84" t="str">
        <f t="shared" si="5"/>
        <v>#N/A</v>
      </c>
      <c r="S129" s="107">
        <f t="shared" si="6"/>
        <v>-0.11</v>
      </c>
      <c r="T129" s="108">
        <f t="shared" si="7"/>
        <v>-1</v>
      </c>
      <c r="U129" s="106" t="str">
        <f t="shared" si="8"/>
        <v>#N/A</v>
      </c>
      <c r="V129" s="84" t="str">
        <f t="shared" si="9"/>
        <v/>
      </c>
      <c r="W129" s="109" t="str">
        <f t="shared" si="10"/>
        <v/>
      </c>
      <c r="X129" s="109" t="str">
        <f t="shared" si="11"/>
        <v/>
      </c>
      <c r="Y129" s="110" t="str">
        <f t="array" ref="Y129">_xlfn.XLOOKUP(A129,'Video Database'!L:L,'Video Database'!M:M,"")</f>
        <v>Middle of Funnel</v>
      </c>
    </row>
    <row r="130" ht="22.5" customHeight="1">
      <c r="A130" s="113">
        <f t="shared" si="12"/>
        <v>129</v>
      </c>
      <c r="B130" s="98" t="str">
        <f t="array" ref="B130">_xlfn.XLOOKUP(A130,'Video Database'!L:L,'Video Database'!D:D,"")</f>
        <v>Blakely</v>
      </c>
      <c r="C130" s="98" t="str">
        <f t="array" ref="C130">_xlfn.XLOOKUP(A130,'Video Database'!L:L,'Video Database'!E:E,"")</f>
        <v>Account 4</v>
      </c>
      <c r="D130" s="99" t="str">
        <f t="array" ref="D130">_xlfn.XLOOKUP(A130,'Video Database'!L:L,'Video Database'!G:G,"")</f>
        <v>Physician's Choice Probiotic Gummies</v>
      </c>
      <c r="E130" s="100">
        <f t="array" ref="E130">_xlfn.XLOOKUP(A130,'Video Database'!L:L,'Video Database'!H:H,"")</f>
        <v>0.11</v>
      </c>
      <c r="F130" s="101">
        <v>0.0</v>
      </c>
      <c r="G130" s="87">
        <v>0.0</v>
      </c>
      <c r="H130" s="114">
        <f t="array" ref="H130">_xlfn.XLOOKUP(A130,'Video Database'!L:L,'Video Database'!A:A,"")</f>
        <v>46185</v>
      </c>
      <c r="I130" s="103">
        <v>46201.0</v>
      </c>
      <c r="J130" s="104">
        <v>0.0</v>
      </c>
      <c r="K130" s="105"/>
      <c r="L130" s="105" t="str">
        <f t="shared" si="1"/>
        <v/>
      </c>
      <c r="O130" s="106" t="str">
        <f t="shared" si="2"/>
        <v>#N/A</v>
      </c>
      <c r="P130" s="106" t="str">
        <f t="shared" si="3"/>
        <v>#N/A</v>
      </c>
      <c r="Q130" s="84" t="str">
        <f t="shared" si="4"/>
        <v>#N/A</v>
      </c>
      <c r="R130" s="84" t="str">
        <f t="shared" si="5"/>
        <v>#N/A</v>
      </c>
      <c r="S130" s="107">
        <f t="shared" si="6"/>
        <v>-0.11</v>
      </c>
      <c r="T130" s="108">
        <f t="shared" si="7"/>
        <v>-1</v>
      </c>
      <c r="U130" s="106" t="str">
        <f t="shared" si="8"/>
        <v>#N/A</v>
      </c>
      <c r="V130" s="84" t="str">
        <f t="shared" si="9"/>
        <v/>
      </c>
      <c r="W130" s="109" t="str">
        <f t="shared" si="10"/>
        <v/>
      </c>
      <c r="X130" s="109" t="str">
        <f t="shared" si="11"/>
        <v/>
      </c>
      <c r="Y130" s="110" t="str">
        <f t="array" ref="Y130">_xlfn.XLOOKUP(A130,'Video Database'!L:L,'Video Database'!M:M,"")</f>
        <v>Middle of Funnel</v>
      </c>
    </row>
    <row r="131" ht="22.5" customHeight="1">
      <c r="A131" s="113">
        <f t="shared" si="12"/>
        <v>130</v>
      </c>
      <c r="B131" s="98" t="str">
        <f t="array" ref="B131">_xlfn.XLOOKUP(A131,'Video Database'!L:L,'Video Database'!D:D,"")</f>
        <v>Blakely</v>
      </c>
      <c r="C131" s="98" t="str">
        <f t="array" ref="C131">_xlfn.XLOOKUP(A131,'Video Database'!L:L,'Video Database'!E:E,"")</f>
        <v>Account 4</v>
      </c>
      <c r="D131" s="99" t="str">
        <f t="array" ref="D131">_xlfn.XLOOKUP(A131,'Video Database'!L:L,'Video Database'!G:G,"")</f>
        <v>Physician's Choice Probiotic Gummies</v>
      </c>
      <c r="E131" s="100">
        <f t="array" ref="E131">_xlfn.XLOOKUP(A131,'Video Database'!L:L,'Video Database'!H:H,"")</f>
        <v>0.11</v>
      </c>
      <c r="F131" s="101">
        <v>0.0</v>
      </c>
      <c r="G131" s="87">
        <v>0.0</v>
      </c>
      <c r="H131" s="114">
        <f t="array" ref="H131">_xlfn.XLOOKUP(A131,'Video Database'!L:L,'Video Database'!A:A,"")</f>
        <v>46185</v>
      </c>
      <c r="I131" s="103">
        <v>46201.0</v>
      </c>
      <c r="J131" s="104">
        <v>0.0</v>
      </c>
      <c r="K131" s="105"/>
      <c r="L131" s="105" t="str">
        <f t="shared" si="1"/>
        <v/>
      </c>
      <c r="O131" s="106" t="str">
        <f t="shared" si="2"/>
        <v>#N/A</v>
      </c>
      <c r="P131" s="106" t="str">
        <f t="shared" si="3"/>
        <v>#N/A</v>
      </c>
      <c r="Q131" s="84" t="str">
        <f t="shared" si="4"/>
        <v>#N/A</v>
      </c>
      <c r="R131" s="84" t="str">
        <f t="shared" si="5"/>
        <v>#N/A</v>
      </c>
      <c r="S131" s="107">
        <f t="shared" si="6"/>
        <v>-0.11</v>
      </c>
      <c r="T131" s="108">
        <f t="shared" si="7"/>
        <v>-1</v>
      </c>
      <c r="U131" s="106" t="str">
        <f t="shared" si="8"/>
        <v>#N/A</v>
      </c>
      <c r="V131" s="84" t="str">
        <f t="shared" si="9"/>
        <v/>
      </c>
      <c r="W131" s="109" t="str">
        <f t="shared" si="10"/>
        <v/>
      </c>
      <c r="X131" s="109" t="str">
        <f t="shared" si="11"/>
        <v/>
      </c>
      <c r="Y131" s="110" t="str">
        <f t="array" ref="Y131">_xlfn.XLOOKUP(A131,'Video Database'!L:L,'Video Database'!M:M,"")</f>
        <v>Middle of Funnel</v>
      </c>
    </row>
    <row r="132" ht="22.5" customHeight="1">
      <c r="A132" s="113">
        <f t="shared" si="12"/>
        <v>131</v>
      </c>
      <c r="B132" s="98" t="str">
        <f t="array" ref="B132">_xlfn.XLOOKUP(A132,'Video Database'!L:L,'Video Database'!D:D,"")</f>
        <v>Blakely</v>
      </c>
      <c r="C132" s="98" t="str">
        <f t="array" ref="C132">_xlfn.XLOOKUP(A132,'Video Database'!L:L,'Video Database'!E:E,"")</f>
        <v>Account 4</v>
      </c>
      <c r="D132" s="99" t="str">
        <f t="array" ref="D132">_xlfn.XLOOKUP(A132,'Video Database'!L:L,'Video Database'!G:G,"")</f>
        <v>Physician's Choice Probiotic Gummies</v>
      </c>
      <c r="E132" s="100">
        <f t="array" ref="E132">_xlfn.XLOOKUP(A132,'Video Database'!L:L,'Video Database'!H:H,"")</f>
        <v>0.11</v>
      </c>
      <c r="F132" s="101">
        <v>0.0</v>
      </c>
      <c r="G132" s="87">
        <v>0.0</v>
      </c>
      <c r="H132" s="114">
        <f t="array" ref="H132">_xlfn.XLOOKUP(A132,'Video Database'!L:L,'Video Database'!A:A,"")</f>
        <v>46185</v>
      </c>
      <c r="I132" s="103">
        <v>46201.0</v>
      </c>
      <c r="J132" s="104">
        <v>0.0</v>
      </c>
      <c r="K132" s="105"/>
      <c r="L132" s="105" t="str">
        <f t="shared" si="1"/>
        <v/>
      </c>
      <c r="O132" s="106" t="str">
        <f t="shared" si="2"/>
        <v>#N/A</v>
      </c>
      <c r="P132" s="106" t="str">
        <f t="shared" si="3"/>
        <v>#N/A</v>
      </c>
      <c r="Q132" s="84" t="str">
        <f t="shared" si="4"/>
        <v>#N/A</v>
      </c>
      <c r="R132" s="84" t="str">
        <f t="shared" si="5"/>
        <v>#N/A</v>
      </c>
      <c r="S132" s="107">
        <f t="shared" si="6"/>
        <v>-0.11</v>
      </c>
      <c r="T132" s="108">
        <f t="shared" si="7"/>
        <v>-1</v>
      </c>
      <c r="U132" s="106" t="str">
        <f t="shared" si="8"/>
        <v>#N/A</v>
      </c>
      <c r="V132" s="84" t="str">
        <f t="shared" si="9"/>
        <v/>
      </c>
      <c r="W132" s="109" t="str">
        <f t="shared" si="10"/>
        <v/>
      </c>
      <c r="X132" s="109" t="str">
        <f t="shared" si="11"/>
        <v/>
      </c>
      <c r="Y132" s="110" t="str">
        <f t="array" ref="Y132">_xlfn.XLOOKUP(A132,'Video Database'!L:L,'Video Database'!M:M,"")</f>
        <v>Middle of Funnel</v>
      </c>
    </row>
    <row r="133" ht="22.5" customHeight="1">
      <c r="A133" s="113">
        <f t="shared" si="12"/>
        <v>132</v>
      </c>
      <c r="B133" s="98" t="str">
        <f t="array" ref="B133">_xlfn.XLOOKUP(A133,'Video Database'!L:L,'Video Database'!D:D,"")</f>
        <v>Blakely</v>
      </c>
      <c r="C133" s="98" t="str">
        <f t="array" ref="C133">_xlfn.XLOOKUP(A133,'Video Database'!L:L,'Video Database'!E:E,"")</f>
        <v>Account 4</v>
      </c>
      <c r="D133" s="99" t="str">
        <f t="array" ref="D133">_xlfn.XLOOKUP(A133,'Video Database'!L:L,'Video Database'!G:G,"")</f>
        <v>Physician's Choice Probiotic Gummies</v>
      </c>
      <c r="E133" s="100">
        <f t="array" ref="E133">_xlfn.XLOOKUP(A133,'Video Database'!L:L,'Video Database'!H:H,"")</f>
        <v>0.11</v>
      </c>
      <c r="F133" s="101">
        <v>0.0</v>
      </c>
      <c r="G133" s="87">
        <v>0.0</v>
      </c>
      <c r="H133" s="114">
        <f t="array" ref="H133">_xlfn.XLOOKUP(A133,'Video Database'!L:L,'Video Database'!A:A,"")</f>
        <v>46185</v>
      </c>
      <c r="I133" s="103">
        <v>46201.0</v>
      </c>
      <c r="J133" s="104">
        <v>0.0</v>
      </c>
      <c r="K133" s="105"/>
      <c r="L133" s="105" t="str">
        <f t="shared" si="1"/>
        <v/>
      </c>
      <c r="O133" s="106" t="str">
        <f t="shared" si="2"/>
        <v>#N/A</v>
      </c>
      <c r="P133" s="106" t="str">
        <f t="shared" si="3"/>
        <v>#N/A</v>
      </c>
      <c r="Q133" s="84" t="str">
        <f t="shared" si="4"/>
        <v>#N/A</v>
      </c>
      <c r="R133" s="84" t="str">
        <f t="shared" si="5"/>
        <v>#N/A</v>
      </c>
      <c r="S133" s="107">
        <f t="shared" si="6"/>
        <v>-0.11</v>
      </c>
      <c r="T133" s="108">
        <f t="shared" si="7"/>
        <v>-1</v>
      </c>
      <c r="U133" s="106" t="str">
        <f t="shared" si="8"/>
        <v>#N/A</v>
      </c>
      <c r="V133" s="84" t="str">
        <f t="shared" si="9"/>
        <v/>
      </c>
      <c r="W133" s="109" t="str">
        <f t="shared" si="10"/>
        <v/>
      </c>
      <c r="X133" s="109" t="str">
        <f t="shared" si="11"/>
        <v/>
      </c>
      <c r="Y133" s="110" t="str">
        <f t="array" ref="Y133">_xlfn.XLOOKUP(A133,'Video Database'!L:L,'Video Database'!M:M,"")</f>
        <v>Middle of Funnel</v>
      </c>
    </row>
    <row r="134" ht="22.5" customHeight="1">
      <c r="A134" s="113">
        <f t="shared" si="12"/>
        <v>133</v>
      </c>
      <c r="B134" s="98" t="str">
        <f t="array" ref="B134">_xlfn.XLOOKUP(A134,'Video Database'!L:L,'Video Database'!D:D,"")</f>
        <v>Blakely</v>
      </c>
      <c r="C134" s="98" t="str">
        <f t="array" ref="C134">_xlfn.XLOOKUP(A134,'Video Database'!L:L,'Video Database'!E:E,"")</f>
        <v>Account 4</v>
      </c>
      <c r="D134" s="99" t="str">
        <f t="array" ref="D134">_xlfn.XLOOKUP(A134,'Video Database'!L:L,'Video Database'!G:G,"")</f>
        <v>Physician's Choice Probiotic Gummies</v>
      </c>
      <c r="E134" s="100">
        <f t="array" ref="E134">_xlfn.XLOOKUP(A134,'Video Database'!L:L,'Video Database'!H:H,"")</f>
        <v>0.11</v>
      </c>
      <c r="F134" s="101">
        <v>0.0</v>
      </c>
      <c r="G134" s="87">
        <v>0.0</v>
      </c>
      <c r="H134" s="114">
        <f t="array" ref="H134">_xlfn.XLOOKUP(A134,'Video Database'!L:L,'Video Database'!A:A,"")</f>
        <v>46185</v>
      </c>
      <c r="I134" s="103">
        <v>46201.0</v>
      </c>
      <c r="J134" s="104">
        <v>0.0</v>
      </c>
      <c r="K134" s="105"/>
      <c r="L134" s="105" t="str">
        <f t="shared" si="1"/>
        <v/>
      </c>
      <c r="O134" s="106" t="str">
        <f t="shared" si="2"/>
        <v>#N/A</v>
      </c>
      <c r="P134" s="106" t="str">
        <f t="shared" si="3"/>
        <v>#N/A</v>
      </c>
      <c r="Q134" s="84" t="str">
        <f t="shared" si="4"/>
        <v>#N/A</v>
      </c>
      <c r="R134" s="84" t="str">
        <f t="shared" si="5"/>
        <v>#N/A</v>
      </c>
      <c r="S134" s="107">
        <f t="shared" si="6"/>
        <v>-0.11</v>
      </c>
      <c r="T134" s="108">
        <f t="shared" si="7"/>
        <v>-1</v>
      </c>
      <c r="U134" s="106" t="str">
        <f t="shared" si="8"/>
        <v>#N/A</v>
      </c>
      <c r="V134" s="84" t="str">
        <f t="shared" si="9"/>
        <v/>
      </c>
      <c r="W134" s="109" t="str">
        <f t="shared" si="10"/>
        <v/>
      </c>
      <c r="X134" s="109" t="str">
        <f t="shared" si="11"/>
        <v/>
      </c>
      <c r="Y134" s="110" t="str">
        <f t="array" ref="Y134">_xlfn.XLOOKUP(A134,'Video Database'!L:L,'Video Database'!M:M,"")</f>
        <v>Middle of Funnel</v>
      </c>
    </row>
    <row r="135" ht="22.5" customHeight="1">
      <c r="A135" s="113">
        <f t="shared" si="12"/>
        <v>134</v>
      </c>
      <c r="B135" s="98" t="str">
        <f t="array" ref="B135">_xlfn.XLOOKUP(A135,'Video Database'!L:L,'Video Database'!D:D,"")</f>
        <v>Blakely</v>
      </c>
      <c r="C135" s="98" t="str">
        <f t="array" ref="C135">_xlfn.XLOOKUP(A135,'Video Database'!L:L,'Video Database'!E:E,"")</f>
        <v>Account 4</v>
      </c>
      <c r="D135" s="99" t="str">
        <f t="array" ref="D135">_xlfn.XLOOKUP(A135,'Video Database'!L:L,'Video Database'!G:G,"")</f>
        <v>Physician's Choice Probiotic Gummies</v>
      </c>
      <c r="E135" s="100">
        <f t="array" ref="E135">_xlfn.XLOOKUP(A135,'Video Database'!L:L,'Video Database'!H:H,"")</f>
        <v>0.11</v>
      </c>
      <c r="F135" s="101">
        <v>0.0</v>
      </c>
      <c r="G135" s="87">
        <v>0.0</v>
      </c>
      <c r="H135" s="114">
        <f t="array" ref="H135">_xlfn.XLOOKUP(A135,'Video Database'!L:L,'Video Database'!A:A,"")</f>
        <v>46185</v>
      </c>
      <c r="I135" s="103">
        <v>46201.0</v>
      </c>
      <c r="J135" s="104">
        <v>0.0</v>
      </c>
      <c r="K135" s="105"/>
      <c r="L135" s="105" t="str">
        <f t="shared" si="1"/>
        <v/>
      </c>
      <c r="O135" s="106" t="str">
        <f t="shared" si="2"/>
        <v>#N/A</v>
      </c>
      <c r="P135" s="106" t="str">
        <f t="shared" si="3"/>
        <v>#N/A</v>
      </c>
      <c r="Q135" s="84" t="str">
        <f t="shared" si="4"/>
        <v>#N/A</v>
      </c>
      <c r="R135" s="84" t="str">
        <f t="shared" si="5"/>
        <v>#N/A</v>
      </c>
      <c r="S135" s="107">
        <f t="shared" si="6"/>
        <v>-0.11</v>
      </c>
      <c r="T135" s="108">
        <f t="shared" si="7"/>
        <v>-1</v>
      </c>
      <c r="U135" s="106" t="str">
        <f t="shared" si="8"/>
        <v>#N/A</v>
      </c>
      <c r="V135" s="84" t="str">
        <f t="shared" si="9"/>
        <v/>
      </c>
      <c r="W135" s="109" t="str">
        <f t="shared" si="10"/>
        <v/>
      </c>
      <c r="X135" s="109" t="str">
        <f t="shared" si="11"/>
        <v/>
      </c>
      <c r="Y135" s="110" t="str">
        <f t="array" ref="Y135">_xlfn.XLOOKUP(A135,'Video Database'!L:L,'Video Database'!M:M,"")</f>
        <v>Middle of Funnel</v>
      </c>
    </row>
    <row r="136" ht="22.5" customHeight="1">
      <c r="A136" s="113">
        <f t="shared" si="12"/>
        <v>135</v>
      </c>
      <c r="B136" s="98" t="str">
        <f t="array" ref="B136">_xlfn.XLOOKUP(A136,'Video Database'!L:L,'Video Database'!D:D,"")</f>
        <v>Blakely</v>
      </c>
      <c r="C136" s="98" t="str">
        <f t="array" ref="C136">_xlfn.XLOOKUP(A136,'Video Database'!L:L,'Video Database'!E:E,"")</f>
        <v>Account 4</v>
      </c>
      <c r="D136" s="99" t="str">
        <f t="array" ref="D136">_xlfn.XLOOKUP(A136,'Video Database'!L:L,'Video Database'!G:G,"")</f>
        <v>Physician's Choice Probiotic Gummies</v>
      </c>
      <c r="E136" s="100">
        <f t="array" ref="E136">_xlfn.XLOOKUP(A136,'Video Database'!L:L,'Video Database'!H:H,"")</f>
        <v>0.11</v>
      </c>
      <c r="F136" s="101">
        <v>0.0</v>
      </c>
      <c r="G136" s="87">
        <v>0.0</v>
      </c>
      <c r="H136" s="114">
        <f t="array" ref="H136">_xlfn.XLOOKUP(A136,'Video Database'!L:L,'Video Database'!A:A,"")</f>
        <v>46185</v>
      </c>
      <c r="I136" s="103">
        <v>46201.0</v>
      </c>
      <c r="J136" s="104">
        <v>0.0</v>
      </c>
      <c r="K136" s="105"/>
      <c r="L136" s="105" t="str">
        <f t="shared" si="1"/>
        <v/>
      </c>
      <c r="O136" s="106" t="str">
        <f t="shared" si="2"/>
        <v>#N/A</v>
      </c>
      <c r="P136" s="106" t="str">
        <f t="shared" si="3"/>
        <v>#N/A</v>
      </c>
      <c r="Q136" s="84" t="str">
        <f t="shared" si="4"/>
        <v>#N/A</v>
      </c>
      <c r="R136" s="84" t="str">
        <f t="shared" si="5"/>
        <v>#N/A</v>
      </c>
      <c r="S136" s="107">
        <f t="shared" si="6"/>
        <v>-0.11</v>
      </c>
      <c r="T136" s="108">
        <f t="shared" si="7"/>
        <v>-1</v>
      </c>
      <c r="U136" s="106" t="str">
        <f t="shared" si="8"/>
        <v>#N/A</v>
      </c>
      <c r="V136" s="84" t="str">
        <f t="shared" si="9"/>
        <v/>
      </c>
      <c r="W136" s="109" t="str">
        <f t="shared" si="10"/>
        <v/>
      </c>
      <c r="X136" s="109" t="str">
        <f t="shared" si="11"/>
        <v/>
      </c>
      <c r="Y136" s="110" t="str">
        <f t="array" ref="Y136">_xlfn.XLOOKUP(A136,'Video Database'!L:L,'Video Database'!M:M,"")</f>
        <v>Middle of Funnel</v>
      </c>
    </row>
    <row r="137" ht="22.5" customHeight="1">
      <c r="A137" s="113">
        <f t="shared" si="12"/>
        <v>136</v>
      </c>
      <c r="B137" s="98" t="str">
        <f t="array" ref="B137">_xlfn.XLOOKUP(A137,'Video Database'!L:L,'Video Database'!D:D,"")</f>
        <v>Blakely</v>
      </c>
      <c r="C137" s="98" t="str">
        <f t="array" ref="C137">_xlfn.XLOOKUP(A137,'Video Database'!L:L,'Video Database'!E:E,"")</f>
        <v>Account 4</v>
      </c>
      <c r="D137" s="99" t="str">
        <f t="array" ref="D137">_xlfn.XLOOKUP(A137,'Video Database'!L:L,'Video Database'!G:G,"")</f>
        <v>Physician's Choice Probiotic Gummies</v>
      </c>
      <c r="E137" s="100">
        <f t="array" ref="E137">_xlfn.XLOOKUP(A137,'Video Database'!L:L,'Video Database'!H:H,"")</f>
        <v>0.11</v>
      </c>
      <c r="F137" s="101">
        <v>0.0</v>
      </c>
      <c r="G137" s="87">
        <v>0.0</v>
      </c>
      <c r="H137" s="114">
        <f t="array" ref="H137">_xlfn.XLOOKUP(A137,'Video Database'!L:L,'Video Database'!A:A,"")</f>
        <v>46185</v>
      </c>
      <c r="I137" s="103">
        <v>46201.0</v>
      </c>
      <c r="J137" s="104">
        <v>0.0</v>
      </c>
      <c r="K137" s="105"/>
      <c r="L137" s="105" t="str">
        <f t="shared" si="1"/>
        <v/>
      </c>
      <c r="O137" s="106" t="str">
        <f t="shared" si="2"/>
        <v>#N/A</v>
      </c>
      <c r="P137" s="106" t="str">
        <f t="shared" si="3"/>
        <v>#N/A</v>
      </c>
      <c r="Q137" s="84" t="str">
        <f t="shared" si="4"/>
        <v>#N/A</v>
      </c>
      <c r="R137" s="84" t="str">
        <f t="shared" si="5"/>
        <v>#N/A</v>
      </c>
      <c r="S137" s="107">
        <f t="shared" si="6"/>
        <v>-0.11</v>
      </c>
      <c r="T137" s="108">
        <f t="shared" si="7"/>
        <v>-1</v>
      </c>
      <c r="U137" s="106" t="str">
        <f t="shared" si="8"/>
        <v>#N/A</v>
      </c>
      <c r="V137" s="84" t="str">
        <f t="shared" si="9"/>
        <v/>
      </c>
      <c r="W137" s="109" t="str">
        <f t="shared" si="10"/>
        <v/>
      </c>
      <c r="X137" s="109" t="str">
        <f t="shared" si="11"/>
        <v/>
      </c>
      <c r="Y137" s="110" t="str">
        <f t="array" ref="Y137">_xlfn.XLOOKUP(A137,'Video Database'!L:L,'Video Database'!M:M,"")</f>
        <v>Middle of Funnel</v>
      </c>
    </row>
    <row r="138" ht="22.5" customHeight="1">
      <c r="A138" s="113">
        <f t="shared" si="12"/>
        <v>137</v>
      </c>
      <c r="B138" s="98" t="str">
        <f t="array" ref="B138">_xlfn.XLOOKUP(A138,'Video Database'!L:L,'Video Database'!D:D,"")</f>
        <v>Blakely</v>
      </c>
      <c r="C138" s="98" t="str">
        <f t="array" ref="C138">_xlfn.XLOOKUP(A138,'Video Database'!L:L,'Video Database'!E:E,"")</f>
        <v>Account 2</v>
      </c>
      <c r="D138" s="99" t="str">
        <f t="array" ref="D138">_xlfn.XLOOKUP(A138,'Video Database'!L:L,'Video Database'!G:G,"")</f>
        <v>Beast Bites Creatine Gummies</v>
      </c>
      <c r="E138" s="100">
        <f t="array" ref="E138">_xlfn.XLOOKUP(A138,'Video Database'!L:L,'Video Database'!H:H,"")</f>
        <v>0.11</v>
      </c>
      <c r="F138" s="101">
        <v>0.0</v>
      </c>
      <c r="G138" s="87">
        <v>0.0</v>
      </c>
      <c r="H138" s="114">
        <f t="array" ref="H138">_xlfn.XLOOKUP(A138,'Video Database'!L:L,'Video Database'!A:A,"")</f>
        <v>46185</v>
      </c>
      <c r="I138" s="103">
        <v>46201.0</v>
      </c>
      <c r="J138" s="104">
        <v>0.0</v>
      </c>
      <c r="K138" s="105"/>
      <c r="L138" s="105" t="str">
        <f t="shared" si="1"/>
        <v/>
      </c>
      <c r="O138" s="106" t="str">
        <f t="shared" si="2"/>
        <v>#N/A</v>
      </c>
      <c r="P138" s="106" t="str">
        <f t="shared" si="3"/>
        <v>#N/A</v>
      </c>
      <c r="Q138" s="84" t="str">
        <f t="shared" si="4"/>
        <v>#N/A</v>
      </c>
      <c r="R138" s="84" t="str">
        <f t="shared" si="5"/>
        <v>#N/A</v>
      </c>
      <c r="S138" s="107">
        <f t="shared" si="6"/>
        <v>-0.11</v>
      </c>
      <c r="T138" s="108">
        <f t="shared" si="7"/>
        <v>-1</v>
      </c>
      <c r="U138" s="106" t="str">
        <f t="shared" si="8"/>
        <v>#N/A</v>
      </c>
      <c r="V138" s="84" t="str">
        <f t="shared" si="9"/>
        <v/>
      </c>
      <c r="W138" s="109" t="str">
        <f t="shared" si="10"/>
        <v/>
      </c>
      <c r="X138" s="109" t="str">
        <f t="shared" si="11"/>
        <v/>
      </c>
      <c r="Y138" s="110" t="str">
        <f t="array" ref="Y138">_xlfn.XLOOKUP(A138,'Video Database'!L:L,'Video Database'!M:M,"")</f>
        <v>Middle of Funnel</v>
      </c>
    </row>
    <row r="139" ht="22.5" customHeight="1">
      <c r="A139" s="113">
        <f t="shared" si="12"/>
        <v>138</v>
      </c>
      <c r="B139" s="98" t="str">
        <f t="array" ref="B139">_xlfn.XLOOKUP(A139,'Video Database'!L:L,'Video Database'!D:D,"")</f>
        <v>Blakely</v>
      </c>
      <c r="C139" s="98" t="str">
        <f t="array" ref="C139">_xlfn.XLOOKUP(A139,'Video Database'!L:L,'Video Database'!E:E,"")</f>
        <v>Account 2</v>
      </c>
      <c r="D139" s="99" t="str">
        <f t="array" ref="D139">_xlfn.XLOOKUP(A139,'Video Database'!L:L,'Video Database'!G:G,"")</f>
        <v>Beast Bites Creatine Gummies</v>
      </c>
      <c r="E139" s="100">
        <f t="array" ref="E139">_xlfn.XLOOKUP(A139,'Video Database'!L:L,'Video Database'!H:H,"")</f>
        <v>0.11</v>
      </c>
      <c r="F139" s="101">
        <v>0.0</v>
      </c>
      <c r="G139" s="87">
        <v>0.0</v>
      </c>
      <c r="H139" s="114">
        <f t="array" ref="H139">_xlfn.XLOOKUP(A139,'Video Database'!L:L,'Video Database'!A:A,"")</f>
        <v>46185</v>
      </c>
      <c r="I139" s="103">
        <v>46201.0</v>
      </c>
      <c r="J139" s="104">
        <v>0.0</v>
      </c>
      <c r="K139" s="105"/>
      <c r="L139" s="105" t="str">
        <f t="shared" si="1"/>
        <v/>
      </c>
      <c r="O139" s="106" t="str">
        <f t="shared" si="2"/>
        <v>#N/A</v>
      </c>
      <c r="P139" s="106" t="str">
        <f t="shared" si="3"/>
        <v>#N/A</v>
      </c>
      <c r="Q139" s="84" t="str">
        <f t="shared" si="4"/>
        <v>#N/A</v>
      </c>
      <c r="R139" s="84" t="str">
        <f t="shared" si="5"/>
        <v>#N/A</v>
      </c>
      <c r="S139" s="107">
        <f t="shared" si="6"/>
        <v>-0.11</v>
      </c>
      <c r="T139" s="108">
        <f t="shared" si="7"/>
        <v>-1</v>
      </c>
      <c r="U139" s="106" t="str">
        <f t="shared" si="8"/>
        <v>#N/A</v>
      </c>
      <c r="V139" s="84" t="str">
        <f t="shared" si="9"/>
        <v/>
      </c>
      <c r="W139" s="109" t="str">
        <f t="shared" si="10"/>
        <v/>
      </c>
      <c r="X139" s="109" t="str">
        <f t="shared" si="11"/>
        <v/>
      </c>
      <c r="Y139" s="110" t="str">
        <f t="array" ref="Y139">_xlfn.XLOOKUP(A139,'Video Database'!L:L,'Video Database'!M:M,"")</f>
        <v>Middle of Funnel</v>
      </c>
    </row>
    <row r="140" ht="22.5" customHeight="1">
      <c r="A140" s="113">
        <f t="shared" si="12"/>
        <v>139</v>
      </c>
      <c r="B140" s="98" t="str">
        <f t="array" ref="B140">_xlfn.XLOOKUP(A140,'Video Database'!L:L,'Video Database'!D:D,"")</f>
        <v>Blakely</v>
      </c>
      <c r="C140" s="98" t="str">
        <f t="array" ref="C140">_xlfn.XLOOKUP(A140,'Video Database'!L:L,'Video Database'!E:E,"")</f>
        <v>Account 2</v>
      </c>
      <c r="D140" s="99" t="str">
        <f t="array" ref="D140">_xlfn.XLOOKUP(A140,'Video Database'!L:L,'Video Database'!G:G,"")</f>
        <v>Beast Bites Creatine Gummies</v>
      </c>
      <c r="E140" s="100">
        <f t="array" ref="E140">_xlfn.XLOOKUP(A140,'Video Database'!L:L,'Video Database'!H:H,"")</f>
        <v>0.11</v>
      </c>
      <c r="F140" s="101">
        <v>0.0</v>
      </c>
      <c r="G140" s="87">
        <v>0.0</v>
      </c>
      <c r="H140" s="114">
        <f t="array" ref="H140">_xlfn.XLOOKUP(A140,'Video Database'!L:L,'Video Database'!A:A,"")</f>
        <v>46185</v>
      </c>
      <c r="I140" s="103">
        <v>46201.0</v>
      </c>
      <c r="J140" s="104">
        <v>0.0</v>
      </c>
      <c r="K140" s="105"/>
      <c r="L140" s="105" t="str">
        <f t="shared" si="1"/>
        <v/>
      </c>
      <c r="O140" s="106" t="str">
        <f t="shared" si="2"/>
        <v>#N/A</v>
      </c>
      <c r="P140" s="106" t="str">
        <f t="shared" si="3"/>
        <v>#N/A</v>
      </c>
      <c r="Q140" s="84" t="str">
        <f t="shared" si="4"/>
        <v>#N/A</v>
      </c>
      <c r="R140" s="84" t="str">
        <f t="shared" si="5"/>
        <v>#N/A</v>
      </c>
      <c r="S140" s="107">
        <f t="shared" si="6"/>
        <v>-0.11</v>
      </c>
      <c r="T140" s="108">
        <f t="shared" si="7"/>
        <v>-1</v>
      </c>
      <c r="U140" s="106" t="str">
        <f t="shared" si="8"/>
        <v>#N/A</v>
      </c>
      <c r="V140" s="84" t="str">
        <f t="shared" si="9"/>
        <v/>
      </c>
      <c r="W140" s="109" t="str">
        <f t="shared" si="10"/>
        <v/>
      </c>
      <c r="X140" s="109" t="str">
        <f t="shared" si="11"/>
        <v/>
      </c>
      <c r="Y140" s="110" t="str">
        <f t="array" ref="Y140">_xlfn.XLOOKUP(A140,'Video Database'!L:L,'Video Database'!M:M,"")</f>
        <v>Middle of Funnel</v>
      </c>
    </row>
    <row r="141" ht="22.5" customHeight="1">
      <c r="A141" s="113">
        <f t="shared" si="12"/>
        <v>140</v>
      </c>
      <c r="B141" s="98" t="str">
        <f t="array" ref="B141">_xlfn.XLOOKUP(A141,'Video Database'!L:L,'Video Database'!D:D,"")</f>
        <v>Blakely</v>
      </c>
      <c r="C141" s="98" t="str">
        <f t="array" ref="C141">_xlfn.XLOOKUP(A141,'Video Database'!L:L,'Video Database'!E:E,"")</f>
        <v>Account 2</v>
      </c>
      <c r="D141" s="99" t="str">
        <f t="array" ref="D141">_xlfn.XLOOKUP(A141,'Video Database'!L:L,'Video Database'!G:G,"")</f>
        <v>Physician's Choice Probiotic Gummies</v>
      </c>
      <c r="E141" s="100">
        <f t="array" ref="E141">_xlfn.XLOOKUP(A141,'Video Database'!L:L,'Video Database'!H:H,"")</f>
        <v>0.11</v>
      </c>
      <c r="F141" s="101">
        <v>0.0</v>
      </c>
      <c r="G141" s="87">
        <v>0.0</v>
      </c>
      <c r="H141" s="114">
        <f t="array" ref="H141">_xlfn.XLOOKUP(A141,'Video Database'!L:L,'Video Database'!A:A,"")</f>
        <v>46185</v>
      </c>
      <c r="I141" s="103">
        <v>46201.0</v>
      </c>
      <c r="J141" s="104">
        <v>0.0</v>
      </c>
      <c r="K141" s="105"/>
      <c r="L141" s="105" t="str">
        <f t="shared" si="1"/>
        <v/>
      </c>
      <c r="O141" s="106" t="str">
        <f t="shared" si="2"/>
        <v>#N/A</v>
      </c>
      <c r="P141" s="106" t="str">
        <f t="shared" si="3"/>
        <v>#N/A</v>
      </c>
      <c r="Q141" s="84" t="str">
        <f t="shared" si="4"/>
        <v>#N/A</v>
      </c>
      <c r="R141" s="84" t="str">
        <f t="shared" si="5"/>
        <v>#N/A</v>
      </c>
      <c r="S141" s="107">
        <f t="shared" si="6"/>
        <v>-0.11</v>
      </c>
      <c r="T141" s="108">
        <f t="shared" si="7"/>
        <v>-1</v>
      </c>
      <c r="U141" s="106" t="str">
        <f t="shared" si="8"/>
        <v>#N/A</v>
      </c>
      <c r="V141" s="84" t="str">
        <f t="shared" si="9"/>
        <v/>
      </c>
      <c r="W141" s="109" t="str">
        <f t="shared" si="10"/>
        <v/>
      </c>
      <c r="X141" s="109" t="str">
        <f t="shared" si="11"/>
        <v/>
      </c>
      <c r="Y141" s="110" t="str">
        <f t="array" ref="Y141">_xlfn.XLOOKUP(A141,'Video Database'!L:L,'Video Database'!M:M,"")</f>
        <v>Middle of Funnel</v>
      </c>
    </row>
    <row r="142" ht="22.5" customHeight="1">
      <c r="A142" s="113">
        <f t="shared" si="12"/>
        <v>141</v>
      </c>
      <c r="B142" s="98" t="str">
        <f t="array" ref="B142">_xlfn.XLOOKUP(A142,'Video Database'!L:L,'Video Database'!D:D,"")</f>
        <v>Blakely</v>
      </c>
      <c r="C142" s="98" t="str">
        <f t="array" ref="C142">_xlfn.XLOOKUP(A142,'Video Database'!L:L,'Video Database'!E:E,"")</f>
        <v>Account 2</v>
      </c>
      <c r="D142" s="99" t="str">
        <f t="array" ref="D142">_xlfn.XLOOKUP(A142,'Video Database'!L:L,'Video Database'!G:G,"")</f>
        <v>Physician's Choice Probiotic Gummies</v>
      </c>
      <c r="E142" s="100">
        <f t="array" ref="E142">_xlfn.XLOOKUP(A142,'Video Database'!L:L,'Video Database'!H:H,"")</f>
        <v>0.11</v>
      </c>
      <c r="F142" s="101">
        <v>0.0</v>
      </c>
      <c r="G142" s="87">
        <v>0.0</v>
      </c>
      <c r="H142" s="114">
        <f t="array" ref="H142">_xlfn.XLOOKUP(A142,'Video Database'!L:L,'Video Database'!A:A,"")</f>
        <v>46185</v>
      </c>
      <c r="I142" s="103">
        <v>46201.0</v>
      </c>
      <c r="J142" s="104">
        <v>0.0</v>
      </c>
      <c r="K142" s="105"/>
      <c r="L142" s="105" t="str">
        <f t="shared" si="1"/>
        <v/>
      </c>
      <c r="O142" s="106" t="str">
        <f t="shared" si="2"/>
        <v>#N/A</v>
      </c>
      <c r="P142" s="106" t="str">
        <f t="shared" si="3"/>
        <v>#N/A</v>
      </c>
      <c r="Q142" s="84" t="str">
        <f t="shared" si="4"/>
        <v>#N/A</v>
      </c>
      <c r="R142" s="84" t="str">
        <f t="shared" si="5"/>
        <v>#N/A</v>
      </c>
      <c r="S142" s="107">
        <f t="shared" si="6"/>
        <v>-0.11</v>
      </c>
      <c r="T142" s="108">
        <f t="shared" si="7"/>
        <v>-1</v>
      </c>
      <c r="U142" s="106" t="str">
        <f t="shared" si="8"/>
        <v>#N/A</v>
      </c>
      <c r="V142" s="84" t="str">
        <f t="shared" si="9"/>
        <v/>
      </c>
      <c r="W142" s="109" t="str">
        <f t="shared" si="10"/>
        <v/>
      </c>
      <c r="X142" s="109" t="str">
        <f t="shared" si="11"/>
        <v/>
      </c>
      <c r="Y142" s="110" t="str">
        <f t="array" ref="Y142">_xlfn.XLOOKUP(A142,'Video Database'!L:L,'Video Database'!M:M,"")</f>
        <v>Middle of Funnel</v>
      </c>
    </row>
    <row r="143" ht="22.5" customHeight="1">
      <c r="A143" s="113">
        <f t="shared" si="12"/>
        <v>142</v>
      </c>
      <c r="B143" s="98" t="str">
        <f t="array" ref="B143">_xlfn.XLOOKUP(A143,'Video Database'!L:L,'Video Database'!D:D,"")</f>
        <v>Blakely</v>
      </c>
      <c r="C143" s="98" t="str">
        <f t="array" ref="C143">_xlfn.XLOOKUP(A143,'Video Database'!L:L,'Video Database'!E:E,"")</f>
        <v>Account 2</v>
      </c>
      <c r="D143" s="99" t="str">
        <f t="array" ref="D143">_xlfn.XLOOKUP(A143,'Video Database'!L:L,'Video Database'!G:G,"")</f>
        <v>Beast Bites Creatine Gummies</v>
      </c>
      <c r="E143" s="100">
        <f t="array" ref="E143">_xlfn.XLOOKUP(A143,'Video Database'!L:L,'Video Database'!H:H,"")</f>
        <v>0.11</v>
      </c>
      <c r="F143" s="101">
        <v>0.0</v>
      </c>
      <c r="G143" s="87">
        <v>0.0</v>
      </c>
      <c r="H143" s="114">
        <f t="array" ref="H143">_xlfn.XLOOKUP(A143,'Video Database'!L:L,'Video Database'!A:A,"")</f>
        <v>46185</v>
      </c>
      <c r="I143" s="103">
        <v>46201.0</v>
      </c>
      <c r="J143" s="104">
        <v>0.0</v>
      </c>
      <c r="K143" s="105"/>
      <c r="L143" s="105" t="str">
        <f t="shared" si="1"/>
        <v/>
      </c>
      <c r="O143" s="106" t="str">
        <f t="shared" si="2"/>
        <v>#N/A</v>
      </c>
      <c r="P143" s="106" t="str">
        <f t="shared" si="3"/>
        <v>#N/A</v>
      </c>
      <c r="Q143" s="84" t="str">
        <f t="shared" si="4"/>
        <v>#N/A</v>
      </c>
      <c r="R143" s="84" t="str">
        <f t="shared" si="5"/>
        <v>#N/A</v>
      </c>
      <c r="S143" s="107">
        <f t="shared" si="6"/>
        <v>-0.11</v>
      </c>
      <c r="T143" s="108">
        <f t="shared" si="7"/>
        <v>-1</v>
      </c>
      <c r="U143" s="106" t="str">
        <f t="shared" si="8"/>
        <v>#N/A</v>
      </c>
      <c r="V143" s="84" t="str">
        <f t="shared" si="9"/>
        <v/>
      </c>
      <c r="W143" s="109" t="str">
        <f t="shared" si="10"/>
        <v/>
      </c>
      <c r="X143" s="109" t="str">
        <f t="shared" si="11"/>
        <v/>
      </c>
      <c r="Y143" s="110" t="str">
        <f t="array" ref="Y143">_xlfn.XLOOKUP(A143,'Video Database'!L:L,'Video Database'!M:M,"")</f>
        <v>Middle of Funnel</v>
      </c>
    </row>
    <row r="144" ht="22.5" customHeight="1">
      <c r="A144" s="113">
        <f t="shared" si="12"/>
        <v>143</v>
      </c>
      <c r="B144" s="98" t="str">
        <f t="array" ref="B144">_xlfn.XLOOKUP(A144,'Video Database'!L:L,'Video Database'!D:D,"")</f>
        <v>Blakely</v>
      </c>
      <c r="C144" s="98" t="str">
        <f t="array" ref="C144">_xlfn.XLOOKUP(A144,'Video Database'!L:L,'Video Database'!E:E,"")</f>
        <v>Account 2</v>
      </c>
      <c r="D144" s="99" t="str">
        <f t="array" ref="D144">_xlfn.XLOOKUP(A144,'Video Database'!L:L,'Video Database'!G:G,"")</f>
        <v>Beast Bites Creatine Gummies</v>
      </c>
      <c r="E144" s="100">
        <f t="array" ref="E144">_xlfn.XLOOKUP(A144,'Video Database'!L:L,'Video Database'!H:H,"")</f>
        <v>0.11</v>
      </c>
      <c r="F144" s="101">
        <v>0.0</v>
      </c>
      <c r="G144" s="87">
        <v>0.0</v>
      </c>
      <c r="H144" s="114">
        <f t="array" ref="H144">_xlfn.XLOOKUP(A144,'Video Database'!L:L,'Video Database'!A:A,"")</f>
        <v>46185</v>
      </c>
      <c r="I144" s="103">
        <v>46201.0</v>
      </c>
      <c r="J144" s="104">
        <v>0.0</v>
      </c>
      <c r="K144" s="105"/>
      <c r="L144" s="105" t="str">
        <f t="shared" si="1"/>
        <v/>
      </c>
      <c r="O144" s="106" t="str">
        <f t="shared" si="2"/>
        <v>#N/A</v>
      </c>
      <c r="P144" s="106" t="str">
        <f t="shared" si="3"/>
        <v>#N/A</v>
      </c>
      <c r="Q144" s="84" t="str">
        <f t="shared" si="4"/>
        <v>#N/A</v>
      </c>
      <c r="R144" s="84" t="str">
        <f t="shared" si="5"/>
        <v>#N/A</v>
      </c>
      <c r="S144" s="107">
        <f t="shared" si="6"/>
        <v>-0.11</v>
      </c>
      <c r="T144" s="108">
        <f t="shared" si="7"/>
        <v>-1</v>
      </c>
      <c r="U144" s="106" t="str">
        <f t="shared" si="8"/>
        <v>#N/A</v>
      </c>
      <c r="V144" s="84" t="str">
        <f t="shared" si="9"/>
        <v/>
      </c>
      <c r="W144" s="109" t="str">
        <f t="shared" si="10"/>
        <v/>
      </c>
      <c r="X144" s="109" t="str">
        <f t="shared" si="11"/>
        <v/>
      </c>
      <c r="Y144" s="110" t="str">
        <f t="array" ref="Y144">_xlfn.XLOOKUP(A144,'Video Database'!L:L,'Video Database'!M:M,"")</f>
        <v>Middle of Funnel</v>
      </c>
    </row>
    <row r="145" ht="22.5" customHeight="1">
      <c r="A145" s="113">
        <f t="shared" si="12"/>
        <v>144</v>
      </c>
      <c r="B145" s="98" t="str">
        <f t="array" ref="B145">_xlfn.XLOOKUP(A145,'Video Database'!L:L,'Video Database'!D:D,"")</f>
        <v>Blakely</v>
      </c>
      <c r="C145" s="98" t="str">
        <f t="array" ref="C145">_xlfn.XLOOKUP(A145,'Video Database'!L:L,'Video Database'!E:E,"")</f>
        <v>Account 2</v>
      </c>
      <c r="D145" s="99" t="str">
        <f t="array" ref="D145">_xlfn.XLOOKUP(A145,'Video Database'!L:L,'Video Database'!G:G,"")</f>
        <v>Beast Bites Creatine Gummies</v>
      </c>
      <c r="E145" s="100">
        <f t="array" ref="E145">_xlfn.XLOOKUP(A145,'Video Database'!L:L,'Video Database'!H:H,"")</f>
        <v>0.11</v>
      </c>
      <c r="F145" s="101">
        <v>0.0</v>
      </c>
      <c r="G145" s="87">
        <v>0.0</v>
      </c>
      <c r="H145" s="114">
        <f t="array" ref="H145">_xlfn.XLOOKUP(A145,'Video Database'!L:L,'Video Database'!A:A,"")</f>
        <v>46185</v>
      </c>
      <c r="I145" s="103">
        <v>46201.0</v>
      </c>
      <c r="J145" s="104">
        <v>0.0</v>
      </c>
      <c r="K145" s="105"/>
      <c r="L145" s="105" t="str">
        <f t="shared" si="1"/>
        <v/>
      </c>
      <c r="O145" s="106" t="str">
        <f t="shared" si="2"/>
        <v>#N/A</v>
      </c>
      <c r="P145" s="106" t="str">
        <f t="shared" si="3"/>
        <v>#N/A</v>
      </c>
      <c r="Q145" s="84" t="str">
        <f t="shared" si="4"/>
        <v>#N/A</v>
      </c>
      <c r="R145" s="84" t="str">
        <f t="shared" si="5"/>
        <v>#N/A</v>
      </c>
      <c r="S145" s="107">
        <f t="shared" si="6"/>
        <v>-0.11</v>
      </c>
      <c r="T145" s="108">
        <f t="shared" si="7"/>
        <v>-1</v>
      </c>
      <c r="U145" s="106" t="str">
        <f t="shared" si="8"/>
        <v>#N/A</v>
      </c>
      <c r="V145" s="84" t="str">
        <f t="shared" si="9"/>
        <v/>
      </c>
      <c r="W145" s="109" t="str">
        <f t="shared" si="10"/>
        <v/>
      </c>
      <c r="X145" s="109" t="str">
        <f t="shared" si="11"/>
        <v/>
      </c>
      <c r="Y145" s="110" t="str">
        <f t="array" ref="Y145">_xlfn.XLOOKUP(A145,'Video Database'!L:L,'Video Database'!M:M,"")</f>
        <v>Middle of Funnel</v>
      </c>
    </row>
    <row r="146" ht="22.5" customHeight="1">
      <c r="A146" s="113">
        <f t="shared" si="12"/>
        <v>145</v>
      </c>
      <c r="B146" s="98" t="str">
        <f t="array" ref="B146">_xlfn.XLOOKUP(A146,'Video Database'!L:L,'Video Database'!D:D,"")</f>
        <v>Blakely</v>
      </c>
      <c r="C146" s="98" t="str">
        <f t="array" ref="C146">_xlfn.XLOOKUP(A146,'Video Database'!L:L,'Video Database'!E:E,"")</f>
        <v>Account 2</v>
      </c>
      <c r="D146" s="99" t="str">
        <f t="array" ref="D146">_xlfn.XLOOKUP(A146,'Video Database'!L:L,'Video Database'!G:G,"")</f>
        <v>Physician's Choice Probiotic Gummies</v>
      </c>
      <c r="E146" s="100">
        <f t="array" ref="E146">_xlfn.XLOOKUP(A146,'Video Database'!L:L,'Video Database'!H:H,"")</f>
        <v>0.11</v>
      </c>
      <c r="F146" s="101">
        <v>0.0</v>
      </c>
      <c r="G146" s="87">
        <v>0.0</v>
      </c>
      <c r="H146" s="114">
        <f t="array" ref="H146">_xlfn.XLOOKUP(A146,'Video Database'!L:L,'Video Database'!A:A,"")</f>
        <v>46185</v>
      </c>
      <c r="I146" s="103">
        <v>46201.0</v>
      </c>
      <c r="J146" s="104">
        <v>0.0</v>
      </c>
      <c r="K146" s="105"/>
      <c r="L146" s="105" t="str">
        <f t="shared" si="1"/>
        <v/>
      </c>
      <c r="O146" s="106" t="str">
        <f t="shared" si="2"/>
        <v>#N/A</v>
      </c>
      <c r="P146" s="106" t="str">
        <f t="shared" si="3"/>
        <v>#N/A</v>
      </c>
      <c r="Q146" s="84" t="str">
        <f t="shared" si="4"/>
        <v>#N/A</v>
      </c>
      <c r="R146" s="84" t="str">
        <f t="shared" si="5"/>
        <v>#N/A</v>
      </c>
      <c r="S146" s="107">
        <f t="shared" si="6"/>
        <v>-0.11</v>
      </c>
      <c r="T146" s="108">
        <f t="shared" si="7"/>
        <v>-1</v>
      </c>
      <c r="U146" s="106" t="str">
        <f t="shared" si="8"/>
        <v>#N/A</v>
      </c>
      <c r="V146" s="84" t="str">
        <f t="shared" si="9"/>
        <v/>
      </c>
      <c r="W146" s="109" t="str">
        <f t="shared" si="10"/>
        <v/>
      </c>
      <c r="X146" s="109" t="str">
        <f t="shared" si="11"/>
        <v/>
      </c>
      <c r="Y146" s="110" t="str">
        <f t="array" ref="Y146">_xlfn.XLOOKUP(A146,'Video Database'!L:L,'Video Database'!M:M,"")</f>
        <v>Middle of Funnel</v>
      </c>
    </row>
    <row r="147" ht="22.5" customHeight="1">
      <c r="A147" s="113">
        <f t="shared" si="12"/>
        <v>146</v>
      </c>
      <c r="B147" s="98" t="str">
        <f t="array" ref="B147">_xlfn.XLOOKUP(A147,'Video Database'!L:L,'Video Database'!D:D,"")</f>
        <v>Blakely</v>
      </c>
      <c r="C147" s="98" t="str">
        <f t="array" ref="C147">_xlfn.XLOOKUP(A147,'Video Database'!L:L,'Video Database'!E:E,"")</f>
        <v>Account 2</v>
      </c>
      <c r="D147" s="99" t="str">
        <f t="array" ref="D147">_xlfn.XLOOKUP(A147,'Video Database'!L:L,'Video Database'!G:G,"")</f>
        <v>Beast Bites Creatine Gummies</v>
      </c>
      <c r="E147" s="100">
        <f t="array" ref="E147">_xlfn.XLOOKUP(A147,'Video Database'!L:L,'Video Database'!H:H,"")</f>
        <v>0.11</v>
      </c>
      <c r="F147" s="101">
        <v>0.0</v>
      </c>
      <c r="G147" s="87">
        <v>0.0</v>
      </c>
      <c r="H147" s="114">
        <f t="array" ref="H147">_xlfn.XLOOKUP(A147,'Video Database'!L:L,'Video Database'!A:A,"")</f>
        <v>46185</v>
      </c>
      <c r="I147" s="103">
        <v>46201.0</v>
      </c>
      <c r="J147" s="104">
        <v>0.0</v>
      </c>
      <c r="K147" s="105"/>
      <c r="L147" s="105" t="str">
        <f t="shared" si="1"/>
        <v/>
      </c>
      <c r="O147" s="106" t="str">
        <f t="shared" si="2"/>
        <v>#N/A</v>
      </c>
      <c r="P147" s="106" t="str">
        <f t="shared" si="3"/>
        <v>#N/A</v>
      </c>
      <c r="Q147" s="84" t="str">
        <f t="shared" si="4"/>
        <v>#N/A</v>
      </c>
      <c r="R147" s="84" t="str">
        <f t="shared" si="5"/>
        <v>#N/A</v>
      </c>
      <c r="S147" s="107">
        <f t="shared" si="6"/>
        <v>-0.11</v>
      </c>
      <c r="T147" s="108">
        <f t="shared" si="7"/>
        <v>-1</v>
      </c>
      <c r="U147" s="106" t="str">
        <f t="shared" si="8"/>
        <v>#N/A</v>
      </c>
      <c r="V147" s="84" t="str">
        <f t="shared" si="9"/>
        <v/>
      </c>
      <c r="W147" s="109" t="str">
        <f t="shared" si="10"/>
        <v/>
      </c>
      <c r="X147" s="109" t="str">
        <f t="shared" si="11"/>
        <v/>
      </c>
      <c r="Y147" s="110" t="str">
        <f t="array" ref="Y147">_xlfn.XLOOKUP(A147,'Video Database'!L:L,'Video Database'!M:M,"")</f>
        <v>Middle of Funnel</v>
      </c>
    </row>
    <row r="148" ht="22.5" customHeight="1">
      <c r="A148" s="113">
        <f t="shared" si="12"/>
        <v>147</v>
      </c>
      <c r="B148" s="98" t="str">
        <f t="array" ref="B148">_xlfn.XLOOKUP(A148,'Video Database'!L:L,'Video Database'!D:D,"")</f>
        <v>Blakely</v>
      </c>
      <c r="C148" s="98" t="str">
        <f t="array" ref="C148">_xlfn.XLOOKUP(A148,'Video Database'!L:L,'Video Database'!E:E,"")</f>
        <v>Account 2</v>
      </c>
      <c r="D148" s="99" t="str">
        <f t="array" ref="D148">_xlfn.XLOOKUP(A148,'Video Database'!L:L,'Video Database'!G:G,"")</f>
        <v>Beast Bites Creatine Gummies</v>
      </c>
      <c r="E148" s="100">
        <f t="array" ref="E148">_xlfn.XLOOKUP(A148,'Video Database'!L:L,'Video Database'!H:H,"")</f>
        <v>0.11</v>
      </c>
      <c r="F148" s="101">
        <v>0.0</v>
      </c>
      <c r="G148" s="87">
        <v>0.0</v>
      </c>
      <c r="H148" s="114">
        <f t="array" ref="H148">_xlfn.XLOOKUP(A148,'Video Database'!L:L,'Video Database'!A:A,"")</f>
        <v>46185</v>
      </c>
      <c r="I148" s="103">
        <v>46201.0</v>
      </c>
      <c r="J148" s="104">
        <v>0.0</v>
      </c>
      <c r="K148" s="105"/>
      <c r="L148" s="105" t="str">
        <f t="shared" si="1"/>
        <v/>
      </c>
      <c r="O148" s="106" t="str">
        <f t="shared" si="2"/>
        <v>#N/A</v>
      </c>
      <c r="P148" s="106" t="str">
        <f t="shared" si="3"/>
        <v>#N/A</v>
      </c>
      <c r="Q148" s="84" t="str">
        <f t="shared" si="4"/>
        <v>#N/A</v>
      </c>
      <c r="R148" s="84" t="str">
        <f t="shared" si="5"/>
        <v>#N/A</v>
      </c>
      <c r="S148" s="107">
        <f t="shared" si="6"/>
        <v>-0.11</v>
      </c>
      <c r="T148" s="108">
        <f t="shared" si="7"/>
        <v>-1</v>
      </c>
      <c r="U148" s="106" t="str">
        <f t="shared" si="8"/>
        <v>#N/A</v>
      </c>
      <c r="V148" s="84" t="str">
        <f t="shared" si="9"/>
        <v/>
      </c>
      <c r="W148" s="109" t="str">
        <f t="shared" si="10"/>
        <v/>
      </c>
      <c r="X148" s="109" t="str">
        <f t="shared" si="11"/>
        <v/>
      </c>
      <c r="Y148" s="110" t="str">
        <f t="array" ref="Y148">_xlfn.XLOOKUP(A148,'Video Database'!L:L,'Video Database'!M:M,"")</f>
        <v>Middle of Funnel</v>
      </c>
    </row>
    <row r="149" ht="22.5" customHeight="1">
      <c r="A149" s="113">
        <f t="shared" si="12"/>
        <v>148</v>
      </c>
      <c r="B149" s="98" t="str">
        <f t="array" ref="B149">_xlfn.XLOOKUP(A149,'Video Database'!L:L,'Video Database'!D:D,"")</f>
        <v>Blakely</v>
      </c>
      <c r="C149" s="98" t="str">
        <f t="array" ref="C149">_xlfn.XLOOKUP(A149,'Video Database'!L:L,'Video Database'!E:E,"")</f>
        <v>Account 2</v>
      </c>
      <c r="D149" s="99" t="str">
        <f t="array" ref="D149">_xlfn.XLOOKUP(A149,'Video Database'!L:L,'Video Database'!G:G,"")</f>
        <v>Beast Bites Creatine Gummies</v>
      </c>
      <c r="E149" s="100">
        <f t="array" ref="E149">_xlfn.XLOOKUP(A149,'Video Database'!L:L,'Video Database'!H:H,"")</f>
        <v>0.11</v>
      </c>
      <c r="F149" s="101">
        <v>0.0</v>
      </c>
      <c r="G149" s="87">
        <v>0.0</v>
      </c>
      <c r="H149" s="114">
        <f t="array" ref="H149">_xlfn.XLOOKUP(A149,'Video Database'!L:L,'Video Database'!A:A,"")</f>
        <v>46185</v>
      </c>
      <c r="I149" s="103">
        <v>46201.0</v>
      </c>
      <c r="J149" s="104">
        <v>0.0</v>
      </c>
      <c r="K149" s="105"/>
      <c r="L149" s="105" t="str">
        <f t="shared" si="1"/>
        <v/>
      </c>
      <c r="O149" s="106" t="str">
        <f t="shared" si="2"/>
        <v>#N/A</v>
      </c>
      <c r="P149" s="106" t="str">
        <f t="shared" si="3"/>
        <v>#N/A</v>
      </c>
      <c r="Q149" s="84" t="str">
        <f t="shared" si="4"/>
        <v>#N/A</v>
      </c>
      <c r="R149" s="84" t="str">
        <f t="shared" si="5"/>
        <v>#N/A</v>
      </c>
      <c r="S149" s="107">
        <f t="shared" si="6"/>
        <v>-0.11</v>
      </c>
      <c r="T149" s="108">
        <f t="shared" si="7"/>
        <v>-1</v>
      </c>
      <c r="U149" s="106" t="str">
        <f t="shared" si="8"/>
        <v>#N/A</v>
      </c>
      <c r="V149" s="84" t="str">
        <f t="shared" si="9"/>
        <v/>
      </c>
      <c r="W149" s="109" t="str">
        <f t="shared" si="10"/>
        <v/>
      </c>
      <c r="X149" s="109" t="str">
        <f t="shared" si="11"/>
        <v/>
      </c>
      <c r="Y149" s="110" t="str">
        <f t="array" ref="Y149">_xlfn.XLOOKUP(A149,'Video Database'!L:L,'Video Database'!M:M,"")</f>
        <v>Middle of Funnel</v>
      </c>
    </row>
    <row r="150" ht="22.5" customHeight="1">
      <c r="A150" s="113">
        <f t="shared" si="12"/>
        <v>149</v>
      </c>
      <c r="B150" s="98" t="str">
        <f t="array" ref="B150">_xlfn.XLOOKUP(A150,'Video Database'!L:L,'Video Database'!D:D,"")</f>
        <v>Blakely</v>
      </c>
      <c r="C150" s="98" t="str">
        <f t="array" ref="C150">_xlfn.XLOOKUP(A150,'Video Database'!L:L,'Video Database'!E:E,"")</f>
        <v>Account 2</v>
      </c>
      <c r="D150" s="99" t="str">
        <f t="array" ref="D150">_xlfn.XLOOKUP(A150,'Video Database'!L:L,'Video Database'!G:G,"")</f>
        <v>Beast Bites Creatine Gummies</v>
      </c>
      <c r="E150" s="100">
        <f t="array" ref="E150">_xlfn.XLOOKUP(A150,'Video Database'!L:L,'Video Database'!H:H,"")</f>
        <v>0.11</v>
      </c>
      <c r="F150" s="101">
        <v>0.0</v>
      </c>
      <c r="G150" s="87">
        <v>0.0</v>
      </c>
      <c r="H150" s="114">
        <f t="array" ref="H150">_xlfn.XLOOKUP(A150,'Video Database'!L:L,'Video Database'!A:A,"")</f>
        <v>46185</v>
      </c>
      <c r="I150" s="103">
        <v>46201.0</v>
      </c>
      <c r="J150" s="104">
        <v>0.0</v>
      </c>
      <c r="K150" s="105"/>
      <c r="L150" s="105" t="str">
        <f t="shared" si="1"/>
        <v/>
      </c>
      <c r="O150" s="106" t="str">
        <f t="shared" si="2"/>
        <v>#N/A</v>
      </c>
      <c r="P150" s="106" t="str">
        <f t="shared" si="3"/>
        <v>#N/A</v>
      </c>
      <c r="Q150" s="84" t="str">
        <f t="shared" si="4"/>
        <v>#N/A</v>
      </c>
      <c r="R150" s="84" t="str">
        <f t="shared" si="5"/>
        <v>#N/A</v>
      </c>
      <c r="S150" s="107">
        <f t="shared" si="6"/>
        <v>-0.11</v>
      </c>
      <c r="T150" s="108">
        <f t="shared" si="7"/>
        <v>-1</v>
      </c>
      <c r="U150" s="106" t="str">
        <f t="shared" si="8"/>
        <v>#N/A</v>
      </c>
      <c r="V150" s="84" t="str">
        <f t="shared" si="9"/>
        <v/>
      </c>
      <c r="W150" s="109" t="str">
        <f t="shared" si="10"/>
        <v/>
      </c>
      <c r="X150" s="109" t="str">
        <f t="shared" si="11"/>
        <v/>
      </c>
      <c r="Y150" s="110" t="str">
        <f t="array" ref="Y150">_xlfn.XLOOKUP(A150,'Video Database'!L:L,'Video Database'!M:M,"")</f>
        <v>Middle of Funnel</v>
      </c>
    </row>
    <row r="151" ht="22.5" customHeight="1">
      <c r="A151" s="113">
        <f t="shared" si="12"/>
        <v>150</v>
      </c>
      <c r="B151" s="98" t="str">
        <f t="array" ref="B151">_xlfn.XLOOKUP(A151,'Video Database'!L:L,'Video Database'!D:D,"")</f>
        <v>Blakely</v>
      </c>
      <c r="C151" s="98" t="str">
        <f t="array" ref="C151">_xlfn.XLOOKUP(A151,'Video Database'!L:L,'Video Database'!E:E,"")</f>
        <v>Account 2</v>
      </c>
      <c r="D151" s="99" t="str">
        <f t="array" ref="D151">_xlfn.XLOOKUP(A151,'Video Database'!L:L,'Video Database'!G:G,"")</f>
        <v>Neurogum Watermelon</v>
      </c>
      <c r="E151" s="100">
        <f t="array" ref="E151">_xlfn.XLOOKUP(A151,'Video Database'!L:L,'Video Database'!H:H,"")</f>
        <v>0.11</v>
      </c>
      <c r="F151" s="101">
        <v>0.0</v>
      </c>
      <c r="G151" s="87">
        <v>0.0</v>
      </c>
      <c r="H151" s="114">
        <f t="array" ref="H151">_xlfn.XLOOKUP(A151,'Video Database'!L:L,'Video Database'!A:A,"")</f>
        <v>46185</v>
      </c>
      <c r="I151" s="103">
        <v>46201.0</v>
      </c>
      <c r="J151" s="104">
        <v>0.0</v>
      </c>
      <c r="K151" s="105"/>
      <c r="L151" s="105" t="str">
        <f t="shared" si="1"/>
        <v/>
      </c>
      <c r="O151" s="106" t="str">
        <f t="shared" si="2"/>
        <v>#N/A</v>
      </c>
      <c r="P151" s="106" t="str">
        <f t="shared" si="3"/>
        <v>#N/A</v>
      </c>
      <c r="Q151" s="84" t="str">
        <f t="shared" si="4"/>
        <v>#N/A</v>
      </c>
      <c r="R151" s="84" t="str">
        <f t="shared" si="5"/>
        <v>#N/A</v>
      </c>
      <c r="S151" s="107">
        <f t="shared" si="6"/>
        <v>-0.11</v>
      </c>
      <c r="T151" s="108">
        <f t="shared" si="7"/>
        <v>-1</v>
      </c>
      <c r="U151" s="106" t="str">
        <f t="shared" si="8"/>
        <v>#N/A</v>
      </c>
      <c r="V151" s="84" t="str">
        <f t="shared" si="9"/>
        <v/>
      </c>
      <c r="W151" s="109" t="str">
        <f t="shared" si="10"/>
        <v/>
      </c>
      <c r="X151" s="109" t="str">
        <f t="shared" si="11"/>
        <v/>
      </c>
      <c r="Y151" s="110" t="str">
        <f t="array" ref="Y151">_xlfn.XLOOKUP(A151,'Video Database'!L:L,'Video Database'!M:M,"")</f>
        <v>Middle of Funnel</v>
      </c>
    </row>
    <row r="152" ht="22.5" customHeight="1">
      <c r="A152" s="113">
        <f t="shared" si="12"/>
        <v>151</v>
      </c>
      <c r="B152" s="98" t="str">
        <f t="array" ref="B152">_xlfn.XLOOKUP(A152,'Video Database'!L:L,'Video Database'!D:D,"")</f>
        <v>Blakely</v>
      </c>
      <c r="C152" s="98" t="str">
        <f t="array" ref="C152">_xlfn.XLOOKUP(A152,'Video Database'!L:L,'Video Database'!E:E,"")</f>
        <v>Account 2</v>
      </c>
      <c r="D152" s="99" t="str">
        <f t="array" ref="D152">_xlfn.XLOOKUP(A152,'Video Database'!L:L,'Video Database'!G:G,"")</f>
        <v>Neurogum Watermelon</v>
      </c>
      <c r="E152" s="100">
        <f t="array" ref="E152">_xlfn.XLOOKUP(A152,'Video Database'!L:L,'Video Database'!H:H,"")</f>
        <v>0.11</v>
      </c>
      <c r="F152" s="101">
        <v>0.0</v>
      </c>
      <c r="G152" s="87">
        <v>0.0</v>
      </c>
      <c r="H152" s="114">
        <f t="array" ref="H152">_xlfn.XLOOKUP(A152,'Video Database'!L:L,'Video Database'!A:A,"")</f>
        <v>46185</v>
      </c>
      <c r="I152" s="103">
        <v>46201.0</v>
      </c>
      <c r="J152" s="104">
        <v>0.0</v>
      </c>
      <c r="K152" s="105"/>
      <c r="L152" s="105" t="str">
        <f t="shared" si="1"/>
        <v/>
      </c>
      <c r="O152" s="106" t="str">
        <f t="shared" si="2"/>
        <v>#N/A</v>
      </c>
      <c r="P152" s="106" t="str">
        <f t="shared" si="3"/>
        <v>#N/A</v>
      </c>
      <c r="Q152" s="84" t="str">
        <f t="shared" si="4"/>
        <v>#N/A</v>
      </c>
      <c r="R152" s="84" t="str">
        <f t="shared" si="5"/>
        <v>#N/A</v>
      </c>
      <c r="S152" s="107">
        <f t="shared" si="6"/>
        <v>-0.11</v>
      </c>
      <c r="T152" s="108">
        <f t="shared" si="7"/>
        <v>-1</v>
      </c>
      <c r="U152" s="106" t="str">
        <f t="shared" si="8"/>
        <v>#N/A</v>
      </c>
      <c r="V152" s="84" t="str">
        <f t="shared" si="9"/>
        <v/>
      </c>
      <c r="W152" s="109" t="str">
        <f t="shared" si="10"/>
        <v/>
      </c>
      <c r="X152" s="109" t="str">
        <f t="shared" si="11"/>
        <v/>
      </c>
      <c r="Y152" s="110" t="str">
        <f t="array" ref="Y152">_xlfn.XLOOKUP(A152,'Video Database'!L:L,'Video Database'!M:M,"")</f>
        <v>Middle of Funnel</v>
      </c>
    </row>
    <row r="153" ht="22.5" customHeight="1">
      <c r="A153" s="113">
        <f t="shared" si="12"/>
        <v>152</v>
      </c>
      <c r="B153" s="98" t="str">
        <f t="array" ref="B153">_xlfn.XLOOKUP(A153,'Video Database'!L:L,'Video Database'!D:D,"")</f>
        <v>Blakely</v>
      </c>
      <c r="C153" s="98" t="str">
        <f t="array" ref="C153">_xlfn.XLOOKUP(A153,'Video Database'!L:L,'Video Database'!E:E,"")</f>
        <v>Account 2</v>
      </c>
      <c r="D153" s="99" t="str">
        <f t="array" ref="D153">_xlfn.XLOOKUP(A153,'Video Database'!L:L,'Video Database'!G:G,"")</f>
        <v>Neurogum Watermelon</v>
      </c>
      <c r="E153" s="100">
        <f t="array" ref="E153">_xlfn.XLOOKUP(A153,'Video Database'!L:L,'Video Database'!H:H,"")</f>
        <v>0.11</v>
      </c>
      <c r="F153" s="101">
        <v>0.0</v>
      </c>
      <c r="G153" s="87">
        <v>0.0</v>
      </c>
      <c r="H153" s="114">
        <f t="array" ref="H153">_xlfn.XLOOKUP(A153,'Video Database'!L:L,'Video Database'!A:A,"")</f>
        <v>46185</v>
      </c>
      <c r="I153" s="103">
        <v>46201.0</v>
      </c>
      <c r="J153" s="104">
        <v>0.0</v>
      </c>
      <c r="K153" s="105"/>
      <c r="L153" s="105" t="str">
        <f t="shared" si="1"/>
        <v/>
      </c>
      <c r="O153" s="106" t="str">
        <f t="shared" si="2"/>
        <v>#N/A</v>
      </c>
      <c r="P153" s="106" t="str">
        <f t="shared" si="3"/>
        <v>#N/A</v>
      </c>
      <c r="Q153" s="84" t="str">
        <f t="shared" si="4"/>
        <v>#N/A</v>
      </c>
      <c r="R153" s="84" t="str">
        <f t="shared" si="5"/>
        <v>#N/A</v>
      </c>
      <c r="S153" s="107">
        <f t="shared" si="6"/>
        <v>-0.11</v>
      </c>
      <c r="T153" s="108">
        <f t="shared" si="7"/>
        <v>-1</v>
      </c>
      <c r="U153" s="106" t="str">
        <f t="shared" si="8"/>
        <v>#N/A</v>
      </c>
      <c r="V153" s="84" t="str">
        <f t="shared" si="9"/>
        <v/>
      </c>
      <c r="W153" s="109" t="str">
        <f t="shared" si="10"/>
        <v/>
      </c>
      <c r="X153" s="109" t="str">
        <f t="shared" si="11"/>
        <v/>
      </c>
      <c r="Y153" s="110" t="str">
        <f t="array" ref="Y153">_xlfn.XLOOKUP(A153,'Video Database'!L:L,'Video Database'!M:M,"")</f>
        <v>Middle of Funnel</v>
      </c>
    </row>
    <row r="154" ht="22.5" customHeight="1">
      <c r="A154" s="113">
        <f t="shared" si="12"/>
        <v>153</v>
      </c>
      <c r="B154" s="98" t="str">
        <f t="array" ref="B154">_xlfn.XLOOKUP(A154,'Video Database'!L:L,'Video Database'!D:D,"")</f>
        <v>Blakely</v>
      </c>
      <c r="C154" s="98" t="str">
        <f t="array" ref="C154">_xlfn.XLOOKUP(A154,'Video Database'!L:L,'Video Database'!E:E,"")</f>
        <v>Account 2</v>
      </c>
      <c r="D154" s="99" t="str">
        <f t="array" ref="D154">_xlfn.XLOOKUP(A154,'Video Database'!L:L,'Video Database'!G:G,"")</f>
        <v>Neurogum Watermelon</v>
      </c>
      <c r="E154" s="100">
        <f t="array" ref="E154">_xlfn.XLOOKUP(A154,'Video Database'!L:L,'Video Database'!H:H,"")</f>
        <v>0.11</v>
      </c>
      <c r="F154" s="101">
        <v>0.0</v>
      </c>
      <c r="G154" s="87">
        <v>0.0</v>
      </c>
      <c r="H154" s="114">
        <f t="array" ref="H154">_xlfn.XLOOKUP(A154,'Video Database'!L:L,'Video Database'!A:A,"")</f>
        <v>46185</v>
      </c>
      <c r="I154" s="103">
        <v>46201.0</v>
      </c>
      <c r="J154" s="104">
        <v>0.0</v>
      </c>
      <c r="K154" s="105"/>
      <c r="L154" s="105" t="str">
        <f t="shared" si="1"/>
        <v/>
      </c>
      <c r="O154" s="106" t="str">
        <f t="shared" si="2"/>
        <v>#N/A</v>
      </c>
      <c r="P154" s="106" t="str">
        <f t="shared" si="3"/>
        <v>#N/A</v>
      </c>
      <c r="Q154" s="84" t="str">
        <f t="shared" si="4"/>
        <v>#N/A</v>
      </c>
      <c r="R154" s="84" t="str">
        <f t="shared" si="5"/>
        <v>#N/A</v>
      </c>
      <c r="S154" s="107">
        <f t="shared" si="6"/>
        <v>-0.11</v>
      </c>
      <c r="T154" s="108">
        <f t="shared" si="7"/>
        <v>-1</v>
      </c>
      <c r="U154" s="106" t="str">
        <f t="shared" si="8"/>
        <v>#N/A</v>
      </c>
      <c r="V154" s="84" t="str">
        <f t="shared" si="9"/>
        <v/>
      </c>
      <c r="W154" s="109" t="str">
        <f t="shared" si="10"/>
        <v/>
      </c>
      <c r="X154" s="109" t="str">
        <f t="shared" si="11"/>
        <v/>
      </c>
      <c r="Y154" s="110" t="str">
        <f t="array" ref="Y154">_xlfn.XLOOKUP(A154,'Video Database'!L:L,'Video Database'!M:M,"")</f>
        <v>Middle of Funnel</v>
      </c>
    </row>
    <row r="155" ht="22.5" customHeight="1">
      <c r="A155" s="113">
        <f t="shared" si="12"/>
        <v>154</v>
      </c>
      <c r="B155" s="98" t="str">
        <f t="array" ref="B155">_xlfn.XLOOKUP(A155,'Video Database'!L:L,'Video Database'!D:D,"")</f>
        <v>Blakely</v>
      </c>
      <c r="C155" s="98" t="str">
        <f t="array" ref="C155">_xlfn.XLOOKUP(A155,'Video Database'!L:L,'Video Database'!E:E,"")</f>
        <v>Account 2</v>
      </c>
      <c r="D155" s="99" t="str">
        <f t="array" ref="D155">_xlfn.XLOOKUP(A155,'Video Database'!L:L,'Video Database'!G:G,"")</f>
        <v>Neurogum Watermelon</v>
      </c>
      <c r="E155" s="100">
        <f t="array" ref="E155">_xlfn.XLOOKUP(A155,'Video Database'!L:L,'Video Database'!H:H,"")</f>
        <v>0.11</v>
      </c>
      <c r="F155" s="101">
        <v>0.0</v>
      </c>
      <c r="G155" s="87">
        <v>0.0</v>
      </c>
      <c r="H155" s="114">
        <f t="array" ref="H155">_xlfn.XLOOKUP(A155,'Video Database'!L:L,'Video Database'!A:A,"")</f>
        <v>46185</v>
      </c>
      <c r="I155" s="103">
        <v>46201.0</v>
      </c>
      <c r="J155" s="104">
        <v>0.0</v>
      </c>
      <c r="K155" s="105"/>
      <c r="L155" s="105" t="str">
        <f t="shared" si="1"/>
        <v/>
      </c>
      <c r="O155" s="106" t="str">
        <f t="shared" si="2"/>
        <v>#N/A</v>
      </c>
      <c r="P155" s="106" t="str">
        <f t="shared" si="3"/>
        <v>#N/A</v>
      </c>
      <c r="Q155" s="84" t="str">
        <f t="shared" si="4"/>
        <v>#N/A</v>
      </c>
      <c r="R155" s="84" t="str">
        <f t="shared" si="5"/>
        <v>#N/A</v>
      </c>
      <c r="S155" s="107">
        <f t="shared" si="6"/>
        <v>-0.11</v>
      </c>
      <c r="T155" s="108">
        <f t="shared" si="7"/>
        <v>-1</v>
      </c>
      <c r="U155" s="106" t="str">
        <f t="shared" si="8"/>
        <v>#N/A</v>
      </c>
      <c r="V155" s="84" t="str">
        <f t="shared" si="9"/>
        <v/>
      </c>
      <c r="W155" s="109" t="str">
        <f t="shared" si="10"/>
        <v/>
      </c>
      <c r="X155" s="109" t="str">
        <f t="shared" si="11"/>
        <v/>
      </c>
      <c r="Y155" s="110" t="str">
        <f t="array" ref="Y155">_xlfn.XLOOKUP(A155,'Video Database'!L:L,'Video Database'!M:M,"")</f>
        <v>Middle of Funnel</v>
      </c>
    </row>
    <row r="156" ht="22.5" customHeight="1">
      <c r="A156" s="113">
        <f t="shared" si="12"/>
        <v>155</v>
      </c>
      <c r="B156" s="98" t="str">
        <f t="array" ref="B156">_xlfn.XLOOKUP(A156,'Video Database'!L:L,'Video Database'!D:D,"")</f>
        <v>Blakely</v>
      </c>
      <c r="C156" s="98" t="str">
        <f t="array" ref="C156">_xlfn.XLOOKUP(A156,'Video Database'!L:L,'Video Database'!E:E,"")</f>
        <v>Account 2</v>
      </c>
      <c r="D156" s="99" t="str">
        <f t="array" ref="D156">_xlfn.XLOOKUP(A156,'Video Database'!L:L,'Video Database'!G:G,"")</f>
        <v>Neurogum Watermelon</v>
      </c>
      <c r="E156" s="100">
        <f t="array" ref="E156">_xlfn.XLOOKUP(A156,'Video Database'!L:L,'Video Database'!H:H,"")</f>
        <v>0.11</v>
      </c>
      <c r="F156" s="101">
        <v>0.0</v>
      </c>
      <c r="G156" s="87">
        <v>0.0</v>
      </c>
      <c r="H156" s="114">
        <f t="array" ref="H156">_xlfn.XLOOKUP(A156,'Video Database'!L:L,'Video Database'!A:A,"")</f>
        <v>46185</v>
      </c>
      <c r="I156" s="103">
        <v>46201.0</v>
      </c>
      <c r="J156" s="104">
        <v>0.0</v>
      </c>
      <c r="K156" s="105"/>
      <c r="L156" s="105" t="str">
        <f t="shared" si="1"/>
        <v/>
      </c>
      <c r="O156" s="106" t="str">
        <f t="shared" si="2"/>
        <v>#N/A</v>
      </c>
      <c r="P156" s="106" t="str">
        <f t="shared" si="3"/>
        <v>#N/A</v>
      </c>
      <c r="Q156" s="84" t="str">
        <f t="shared" si="4"/>
        <v>#N/A</v>
      </c>
      <c r="R156" s="84" t="str">
        <f t="shared" si="5"/>
        <v>#N/A</v>
      </c>
      <c r="S156" s="107">
        <f t="shared" si="6"/>
        <v>-0.11</v>
      </c>
      <c r="T156" s="108">
        <f t="shared" si="7"/>
        <v>-1</v>
      </c>
      <c r="U156" s="106" t="str">
        <f t="shared" si="8"/>
        <v>#N/A</v>
      </c>
      <c r="V156" s="84" t="str">
        <f t="shared" si="9"/>
        <v/>
      </c>
      <c r="W156" s="109" t="str">
        <f t="shared" si="10"/>
        <v/>
      </c>
      <c r="X156" s="109" t="str">
        <f t="shared" si="11"/>
        <v/>
      </c>
      <c r="Y156" s="110" t="str">
        <f t="array" ref="Y156">_xlfn.XLOOKUP(A156,'Video Database'!L:L,'Video Database'!M:M,"")</f>
        <v>Middle of Funnel</v>
      </c>
    </row>
    <row r="157" ht="22.5" customHeight="1">
      <c r="A157" s="113">
        <f t="shared" si="12"/>
        <v>156</v>
      </c>
      <c r="B157" s="98" t="str">
        <f t="array" ref="B157">_xlfn.XLOOKUP(A157,'Video Database'!L:L,'Video Database'!D:D,"")</f>
        <v>Blakely</v>
      </c>
      <c r="C157" s="98" t="str">
        <f t="array" ref="C157">_xlfn.XLOOKUP(A157,'Video Database'!L:L,'Video Database'!E:E,"")</f>
        <v>Account 2</v>
      </c>
      <c r="D157" s="99" t="str">
        <f t="array" ref="D157">_xlfn.XLOOKUP(A157,'Video Database'!L:L,'Video Database'!G:G,"")</f>
        <v>Neurogum Watermelon</v>
      </c>
      <c r="E157" s="100">
        <f t="array" ref="E157">_xlfn.XLOOKUP(A157,'Video Database'!L:L,'Video Database'!H:H,"")</f>
        <v>0.11</v>
      </c>
      <c r="F157" s="101">
        <v>0.0</v>
      </c>
      <c r="G157" s="87">
        <v>0.0</v>
      </c>
      <c r="H157" s="114">
        <f t="array" ref="H157">_xlfn.XLOOKUP(A157,'Video Database'!L:L,'Video Database'!A:A,"")</f>
        <v>46185</v>
      </c>
      <c r="I157" s="103">
        <v>46201.0</v>
      </c>
      <c r="J157" s="104">
        <v>0.0</v>
      </c>
      <c r="K157" s="105"/>
      <c r="L157" s="105" t="str">
        <f t="shared" si="1"/>
        <v/>
      </c>
      <c r="O157" s="106" t="str">
        <f t="shared" si="2"/>
        <v>#N/A</v>
      </c>
      <c r="P157" s="106" t="str">
        <f t="shared" si="3"/>
        <v>#N/A</v>
      </c>
      <c r="Q157" s="84" t="str">
        <f t="shared" si="4"/>
        <v>#N/A</v>
      </c>
      <c r="R157" s="84" t="str">
        <f t="shared" si="5"/>
        <v>#N/A</v>
      </c>
      <c r="S157" s="107">
        <f t="shared" si="6"/>
        <v>-0.11</v>
      </c>
      <c r="T157" s="108">
        <f t="shared" si="7"/>
        <v>-1</v>
      </c>
      <c r="U157" s="106" t="str">
        <f t="shared" si="8"/>
        <v>#N/A</v>
      </c>
      <c r="V157" s="84" t="str">
        <f t="shared" si="9"/>
        <v/>
      </c>
      <c r="W157" s="109" t="str">
        <f t="shared" si="10"/>
        <v/>
      </c>
      <c r="X157" s="109" t="str">
        <f t="shared" si="11"/>
        <v/>
      </c>
      <c r="Y157" s="110" t="str">
        <f t="array" ref="Y157">_xlfn.XLOOKUP(A157,'Video Database'!L:L,'Video Database'!M:M,"")</f>
        <v>Middle of Funnel</v>
      </c>
    </row>
    <row r="158" ht="22.5" customHeight="1">
      <c r="A158" s="113">
        <f t="shared" si="12"/>
        <v>157</v>
      </c>
      <c r="B158" s="98" t="str">
        <f t="array" ref="B158">_xlfn.XLOOKUP(A158,'Video Database'!L:L,'Video Database'!D:D,"")</f>
        <v>Blakely</v>
      </c>
      <c r="C158" s="98" t="str">
        <f t="array" ref="C158">_xlfn.XLOOKUP(A158,'Video Database'!L:L,'Video Database'!E:E,"")</f>
        <v>Account 2</v>
      </c>
      <c r="D158" s="99" t="str">
        <f t="array" ref="D158">_xlfn.XLOOKUP(A158,'Video Database'!L:L,'Video Database'!G:G,"")</f>
        <v>Neurogum Watermelon</v>
      </c>
      <c r="E158" s="100">
        <f t="array" ref="E158">_xlfn.XLOOKUP(A158,'Video Database'!L:L,'Video Database'!H:H,"")</f>
        <v>0.11</v>
      </c>
      <c r="F158" s="101">
        <v>0.0</v>
      </c>
      <c r="G158" s="87">
        <v>0.0</v>
      </c>
      <c r="H158" s="114">
        <f t="array" ref="H158">_xlfn.XLOOKUP(A158,'Video Database'!L:L,'Video Database'!A:A,"")</f>
        <v>46185</v>
      </c>
      <c r="I158" s="103">
        <v>46201.0</v>
      </c>
      <c r="J158" s="104">
        <v>0.0</v>
      </c>
      <c r="K158" s="105"/>
      <c r="L158" s="105" t="str">
        <f t="shared" si="1"/>
        <v/>
      </c>
      <c r="O158" s="106" t="str">
        <f t="shared" si="2"/>
        <v>#N/A</v>
      </c>
      <c r="P158" s="106" t="str">
        <f t="shared" si="3"/>
        <v>#N/A</v>
      </c>
      <c r="Q158" s="84" t="str">
        <f t="shared" si="4"/>
        <v>#N/A</v>
      </c>
      <c r="R158" s="84" t="str">
        <f t="shared" si="5"/>
        <v>#N/A</v>
      </c>
      <c r="S158" s="107">
        <f t="shared" si="6"/>
        <v>-0.11</v>
      </c>
      <c r="T158" s="108">
        <f t="shared" si="7"/>
        <v>-1</v>
      </c>
      <c r="U158" s="106" t="str">
        <f t="shared" si="8"/>
        <v>#N/A</v>
      </c>
      <c r="V158" s="84" t="str">
        <f t="shared" si="9"/>
        <v/>
      </c>
      <c r="W158" s="109" t="str">
        <f t="shared" si="10"/>
        <v/>
      </c>
      <c r="X158" s="109" t="str">
        <f t="shared" si="11"/>
        <v/>
      </c>
      <c r="Y158" s="110" t="str">
        <f t="array" ref="Y158">_xlfn.XLOOKUP(A158,'Video Database'!L:L,'Video Database'!M:M,"")</f>
        <v>Middle of Funnel</v>
      </c>
    </row>
    <row r="159" ht="22.5" customHeight="1">
      <c r="A159" s="113">
        <f t="shared" si="12"/>
        <v>158</v>
      </c>
      <c r="B159" s="98" t="str">
        <f t="array" ref="B159">_xlfn.XLOOKUP(A159,'Video Database'!L:L,'Video Database'!D:D,"")</f>
        <v>Blakely</v>
      </c>
      <c r="C159" s="98" t="str">
        <f t="array" ref="C159">_xlfn.XLOOKUP(A159,'Video Database'!L:L,'Video Database'!E:E,"")</f>
        <v>Account 2</v>
      </c>
      <c r="D159" s="99" t="str">
        <f t="array" ref="D159">_xlfn.XLOOKUP(A159,'Video Database'!L:L,'Video Database'!G:G,"")</f>
        <v>Neurogum Watermelon</v>
      </c>
      <c r="E159" s="100">
        <f t="array" ref="E159">_xlfn.XLOOKUP(A159,'Video Database'!L:L,'Video Database'!H:H,"")</f>
        <v>0.11</v>
      </c>
      <c r="F159" s="101">
        <v>0.0</v>
      </c>
      <c r="G159" s="87">
        <v>0.0</v>
      </c>
      <c r="H159" s="114">
        <f t="array" ref="H159">_xlfn.XLOOKUP(A159,'Video Database'!L:L,'Video Database'!A:A,"")</f>
        <v>46185</v>
      </c>
      <c r="I159" s="103">
        <v>46201.0</v>
      </c>
      <c r="J159" s="104">
        <v>0.0</v>
      </c>
      <c r="K159" s="105"/>
      <c r="L159" s="105" t="str">
        <f t="shared" si="1"/>
        <v/>
      </c>
      <c r="O159" s="106" t="str">
        <f t="shared" si="2"/>
        <v>#N/A</v>
      </c>
      <c r="P159" s="106" t="str">
        <f t="shared" si="3"/>
        <v>#N/A</v>
      </c>
      <c r="Q159" s="84" t="str">
        <f t="shared" si="4"/>
        <v>#N/A</v>
      </c>
      <c r="R159" s="84" t="str">
        <f t="shared" si="5"/>
        <v>#N/A</v>
      </c>
      <c r="S159" s="107">
        <f t="shared" si="6"/>
        <v>-0.11</v>
      </c>
      <c r="T159" s="108">
        <f t="shared" si="7"/>
        <v>-1</v>
      </c>
      <c r="U159" s="106" t="str">
        <f t="shared" si="8"/>
        <v>#N/A</v>
      </c>
      <c r="V159" s="84" t="str">
        <f t="shared" si="9"/>
        <v/>
      </c>
      <c r="W159" s="109" t="str">
        <f t="shared" si="10"/>
        <v/>
      </c>
      <c r="X159" s="109" t="str">
        <f t="shared" si="11"/>
        <v/>
      </c>
      <c r="Y159" s="110" t="str">
        <f t="array" ref="Y159">_xlfn.XLOOKUP(A159,'Video Database'!L:L,'Video Database'!M:M,"")</f>
        <v>Middle of Funnel</v>
      </c>
    </row>
    <row r="160" ht="22.5" customHeight="1">
      <c r="A160" s="113">
        <f t="shared" si="12"/>
        <v>159</v>
      </c>
      <c r="B160" s="98" t="str">
        <f t="array" ref="B160">_xlfn.XLOOKUP(A160,'Video Database'!L:L,'Video Database'!D:D,"")</f>
        <v>Blakely</v>
      </c>
      <c r="C160" s="98" t="str">
        <f t="array" ref="C160">_xlfn.XLOOKUP(A160,'Video Database'!L:L,'Video Database'!E:E,"")</f>
        <v>Account 2</v>
      </c>
      <c r="D160" s="99" t="str">
        <f t="array" ref="D160">_xlfn.XLOOKUP(A160,'Video Database'!L:L,'Video Database'!G:G,"")</f>
        <v>Neurogum Watermelon</v>
      </c>
      <c r="E160" s="100">
        <f t="array" ref="E160">_xlfn.XLOOKUP(A160,'Video Database'!L:L,'Video Database'!H:H,"")</f>
        <v>0.11</v>
      </c>
      <c r="F160" s="101">
        <v>0.0</v>
      </c>
      <c r="G160" s="87">
        <v>0.0</v>
      </c>
      <c r="H160" s="114">
        <f t="array" ref="H160">_xlfn.XLOOKUP(A160,'Video Database'!L:L,'Video Database'!A:A,"")</f>
        <v>46185</v>
      </c>
      <c r="I160" s="103">
        <v>46201.0</v>
      </c>
      <c r="J160" s="104">
        <v>0.0</v>
      </c>
      <c r="K160" s="105"/>
      <c r="L160" s="105" t="str">
        <f t="shared" si="1"/>
        <v/>
      </c>
      <c r="O160" s="106" t="str">
        <f t="shared" si="2"/>
        <v>#N/A</v>
      </c>
      <c r="P160" s="106" t="str">
        <f t="shared" si="3"/>
        <v>#N/A</v>
      </c>
      <c r="Q160" s="84" t="str">
        <f t="shared" si="4"/>
        <v>#N/A</v>
      </c>
      <c r="R160" s="84" t="str">
        <f t="shared" si="5"/>
        <v>#N/A</v>
      </c>
      <c r="S160" s="107">
        <f t="shared" si="6"/>
        <v>-0.11</v>
      </c>
      <c r="T160" s="108">
        <f t="shared" si="7"/>
        <v>-1</v>
      </c>
      <c r="U160" s="106" t="str">
        <f t="shared" si="8"/>
        <v>#N/A</v>
      </c>
      <c r="V160" s="84" t="str">
        <f t="shared" si="9"/>
        <v/>
      </c>
      <c r="W160" s="109" t="str">
        <f t="shared" si="10"/>
        <v/>
      </c>
      <c r="X160" s="109" t="str">
        <f t="shared" si="11"/>
        <v/>
      </c>
      <c r="Y160" s="110" t="str">
        <f t="array" ref="Y160">_xlfn.XLOOKUP(A160,'Video Database'!L:L,'Video Database'!M:M,"")</f>
        <v>Middle of Funnel</v>
      </c>
    </row>
    <row r="161" ht="22.5" customHeight="1">
      <c r="A161" s="113">
        <f t="shared" si="12"/>
        <v>160</v>
      </c>
      <c r="B161" s="98" t="str">
        <f t="array" ref="B161">_xlfn.XLOOKUP(A161,'Video Database'!L:L,'Video Database'!D:D,"")</f>
        <v>Blakely</v>
      </c>
      <c r="C161" s="98" t="str">
        <f t="array" ref="C161">_xlfn.XLOOKUP(A161,'Video Database'!L:L,'Video Database'!E:E,"")</f>
        <v>Account 2</v>
      </c>
      <c r="D161" s="99" t="str">
        <f t="array" ref="D161">_xlfn.XLOOKUP(A161,'Video Database'!L:L,'Video Database'!G:G,"")</f>
        <v>Neurogum Watermelon</v>
      </c>
      <c r="E161" s="100">
        <f t="array" ref="E161">_xlfn.XLOOKUP(A161,'Video Database'!L:L,'Video Database'!H:H,"")</f>
        <v>0.11</v>
      </c>
      <c r="F161" s="101">
        <v>0.0</v>
      </c>
      <c r="G161" s="87">
        <v>0.0</v>
      </c>
      <c r="H161" s="114">
        <f t="array" ref="H161">_xlfn.XLOOKUP(A161,'Video Database'!L:L,'Video Database'!A:A,"")</f>
        <v>46185</v>
      </c>
      <c r="I161" s="103">
        <v>46201.0</v>
      </c>
      <c r="J161" s="104">
        <v>0.0</v>
      </c>
      <c r="K161" s="105"/>
      <c r="L161" s="105" t="str">
        <f t="shared" si="1"/>
        <v/>
      </c>
      <c r="O161" s="106" t="str">
        <f t="shared" si="2"/>
        <v>#N/A</v>
      </c>
      <c r="P161" s="106" t="str">
        <f t="shared" si="3"/>
        <v>#N/A</v>
      </c>
      <c r="Q161" s="84" t="str">
        <f t="shared" si="4"/>
        <v>#N/A</v>
      </c>
      <c r="R161" s="84" t="str">
        <f t="shared" si="5"/>
        <v>#N/A</v>
      </c>
      <c r="S161" s="107">
        <f t="shared" si="6"/>
        <v>-0.11</v>
      </c>
      <c r="T161" s="108">
        <f t="shared" si="7"/>
        <v>-1</v>
      </c>
      <c r="U161" s="106" t="str">
        <f t="shared" si="8"/>
        <v>#N/A</v>
      </c>
      <c r="V161" s="84" t="str">
        <f t="shared" si="9"/>
        <v/>
      </c>
      <c r="W161" s="109" t="str">
        <f t="shared" si="10"/>
        <v/>
      </c>
      <c r="X161" s="109" t="str">
        <f t="shared" si="11"/>
        <v/>
      </c>
      <c r="Y161" s="110" t="str">
        <f t="array" ref="Y161">_xlfn.XLOOKUP(A161,'Video Database'!L:L,'Video Database'!M:M,"")</f>
        <v>Middle of Funnel</v>
      </c>
    </row>
    <row r="162" ht="22.5" customHeight="1">
      <c r="A162" s="113">
        <f t="shared" si="12"/>
        <v>161</v>
      </c>
      <c r="B162" s="98" t="str">
        <f t="array" ref="B162">_xlfn.XLOOKUP(A162,'Video Database'!L:L,'Video Database'!D:D,"")</f>
        <v>Blakely</v>
      </c>
      <c r="C162" s="98" t="str">
        <f t="array" ref="C162">_xlfn.XLOOKUP(A162,'Video Database'!L:L,'Video Database'!E:E,"")</f>
        <v>Account 2</v>
      </c>
      <c r="D162" s="99" t="str">
        <f t="array" ref="D162">_xlfn.XLOOKUP(A162,'Video Database'!L:L,'Video Database'!G:G,"")</f>
        <v>Neurogum Watermelon</v>
      </c>
      <c r="E162" s="100">
        <f t="array" ref="E162">_xlfn.XLOOKUP(A162,'Video Database'!L:L,'Video Database'!H:H,"")</f>
        <v>0.11</v>
      </c>
      <c r="F162" s="101">
        <v>0.0</v>
      </c>
      <c r="G162" s="87">
        <v>0.0</v>
      </c>
      <c r="H162" s="114">
        <f t="array" ref="H162">_xlfn.XLOOKUP(A162,'Video Database'!L:L,'Video Database'!A:A,"")</f>
        <v>46185</v>
      </c>
      <c r="I162" s="103">
        <v>46201.0</v>
      </c>
      <c r="J162" s="104">
        <v>0.0</v>
      </c>
      <c r="K162" s="105"/>
      <c r="L162" s="105" t="str">
        <f t="shared" si="1"/>
        <v/>
      </c>
      <c r="O162" s="106" t="str">
        <f t="shared" si="2"/>
        <v>#N/A</v>
      </c>
      <c r="P162" s="106" t="str">
        <f t="shared" si="3"/>
        <v>#N/A</v>
      </c>
      <c r="Q162" s="84" t="str">
        <f t="shared" si="4"/>
        <v>#N/A</v>
      </c>
      <c r="R162" s="84" t="str">
        <f t="shared" si="5"/>
        <v>#N/A</v>
      </c>
      <c r="S162" s="107">
        <f t="shared" si="6"/>
        <v>-0.11</v>
      </c>
      <c r="T162" s="108">
        <f t="shared" si="7"/>
        <v>-1</v>
      </c>
      <c r="U162" s="106" t="str">
        <f t="shared" si="8"/>
        <v>#N/A</v>
      </c>
      <c r="V162" s="84" t="str">
        <f t="shared" si="9"/>
        <v/>
      </c>
      <c r="W162" s="109" t="str">
        <f t="shared" si="10"/>
        <v/>
      </c>
      <c r="X162" s="109" t="str">
        <f t="shared" si="11"/>
        <v/>
      </c>
      <c r="Y162" s="110" t="str">
        <f t="array" ref="Y162">_xlfn.XLOOKUP(A162,'Video Database'!L:L,'Video Database'!M:M,"")</f>
        <v>Middle of Funnel</v>
      </c>
    </row>
    <row r="163" ht="22.5" customHeight="1">
      <c r="A163" s="113">
        <f t="shared" si="12"/>
        <v>162</v>
      </c>
      <c r="B163" s="98" t="str">
        <f t="array" ref="B163">_xlfn.XLOOKUP(A163,'Video Database'!L:L,'Video Database'!D:D,"")</f>
        <v>Blakely</v>
      </c>
      <c r="C163" s="98" t="str">
        <f t="array" ref="C163">_xlfn.XLOOKUP(A163,'Video Database'!L:L,'Video Database'!E:E,"")</f>
        <v>Account 2</v>
      </c>
      <c r="D163" s="99" t="str">
        <f t="array" ref="D163">_xlfn.XLOOKUP(A163,'Video Database'!L:L,'Video Database'!G:G,"")</f>
        <v>Neurogum Watermelon</v>
      </c>
      <c r="E163" s="100">
        <f t="array" ref="E163">_xlfn.XLOOKUP(A163,'Video Database'!L:L,'Video Database'!H:H,"")</f>
        <v>0.11</v>
      </c>
      <c r="F163" s="101">
        <v>0.0</v>
      </c>
      <c r="G163" s="87">
        <v>0.0</v>
      </c>
      <c r="H163" s="114">
        <f t="array" ref="H163">_xlfn.XLOOKUP(A163,'Video Database'!L:L,'Video Database'!A:A,"")</f>
        <v>46185</v>
      </c>
      <c r="I163" s="103">
        <v>46201.0</v>
      </c>
      <c r="J163" s="104">
        <v>0.0</v>
      </c>
      <c r="K163" s="105"/>
      <c r="L163" s="105" t="str">
        <f t="shared" si="1"/>
        <v/>
      </c>
      <c r="O163" s="106" t="str">
        <f t="shared" si="2"/>
        <v>#N/A</v>
      </c>
      <c r="P163" s="106" t="str">
        <f t="shared" si="3"/>
        <v>#N/A</v>
      </c>
      <c r="Q163" s="84" t="str">
        <f t="shared" si="4"/>
        <v>#N/A</v>
      </c>
      <c r="R163" s="84" t="str">
        <f t="shared" si="5"/>
        <v>#N/A</v>
      </c>
      <c r="S163" s="107">
        <f t="shared" si="6"/>
        <v>-0.11</v>
      </c>
      <c r="T163" s="108">
        <f t="shared" si="7"/>
        <v>-1</v>
      </c>
      <c r="U163" s="106" t="str">
        <f t="shared" si="8"/>
        <v>#N/A</v>
      </c>
      <c r="V163" s="84" t="str">
        <f t="shared" si="9"/>
        <v/>
      </c>
      <c r="W163" s="109" t="str">
        <f t="shared" si="10"/>
        <v/>
      </c>
      <c r="X163" s="109" t="str">
        <f t="shared" si="11"/>
        <v/>
      </c>
      <c r="Y163" s="110" t="str">
        <f t="array" ref="Y163">_xlfn.XLOOKUP(A163,'Video Database'!L:L,'Video Database'!M:M,"")</f>
        <v>Middle of Funnel</v>
      </c>
    </row>
    <row r="164" ht="22.5" customHeight="1">
      <c r="A164" s="113">
        <f t="shared" si="12"/>
        <v>163</v>
      </c>
      <c r="B164" s="98" t="str">
        <f t="array" ref="B164">_xlfn.XLOOKUP(A164,'Video Database'!L:L,'Video Database'!D:D,"")</f>
        <v>Blakely</v>
      </c>
      <c r="C164" s="98" t="str">
        <f t="array" ref="C164">_xlfn.XLOOKUP(A164,'Video Database'!L:L,'Video Database'!E:E,"")</f>
        <v>Account 2</v>
      </c>
      <c r="D164" s="99" t="str">
        <f t="array" ref="D164">_xlfn.XLOOKUP(A164,'Video Database'!L:L,'Video Database'!G:G,"")</f>
        <v>Neurogum Watermelon</v>
      </c>
      <c r="E164" s="100">
        <f t="array" ref="E164">_xlfn.XLOOKUP(A164,'Video Database'!L:L,'Video Database'!H:H,"")</f>
        <v>0.11</v>
      </c>
      <c r="F164" s="101">
        <v>0.0</v>
      </c>
      <c r="G164" s="87">
        <v>0.0</v>
      </c>
      <c r="H164" s="114">
        <f t="array" ref="H164">_xlfn.XLOOKUP(A164,'Video Database'!L:L,'Video Database'!A:A,"")</f>
        <v>46185</v>
      </c>
      <c r="I164" s="103">
        <v>46201.0</v>
      </c>
      <c r="J164" s="104">
        <v>0.0</v>
      </c>
      <c r="K164" s="105"/>
      <c r="L164" s="105" t="str">
        <f t="shared" si="1"/>
        <v/>
      </c>
      <c r="O164" s="106" t="str">
        <f t="shared" si="2"/>
        <v>#N/A</v>
      </c>
      <c r="P164" s="106" t="str">
        <f t="shared" si="3"/>
        <v>#N/A</v>
      </c>
      <c r="Q164" s="84" t="str">
        <f t="shared" si="4"/>
        <v>#N/A</v>
      </c>
      <c r="R164" s="84" t="str">
        <f t="shared" si="5"/>
        <v>#N/A</v>
      </c>
      <c r="S164" s="107">
        <f t="shared" si="6"/>
        <v>-0.11</v>
      </c>
      <c r="T164" s="108">
        <f t="shared" si="7"/>
        <v>-1</v>
      </c>
      <c r="U164" s="106" t="str">
        <f t="shared" si="8"/>
        <v>#N/A</v>
      </c>
      <c r="V164" s="84" t="str">
        <f t="shared" si="9"/>
        <v/>
      </c>
      <c r="W164" s="109" t="str">
        <f t="shared" si="10"/>
        <v/>
      </c>
      <c r="X164" s="109" t="str">
        <f t="shared" si="11"/>
        <v/>
      </c>
      <c r="Y164" s="110" t="str">
        <f t="array" ref="Y164">_xlfn.XLOOKUP(A164,'Video Database'!L:L,'Video Database'!M:M,"")</f>
        <v>Middle of Funnel</v>
      </c>
    </row>
    <row r="165" ht="22.5" customHeight="1">
      <c r="A165" s="113">
        <f t="shared" si="12"/>
        <v>164</v>
      </c>
      <c r="B165" s="98" t="str">
        <f t="array" ref="B165">_xlfn.XLOOKUP(A165,'Video Database'!L:L,'Video Database'!D:D,"")</f>
        <v>Blakely</v>
      </c>
      <c r="C165" s="98" t="str">
        <f t="array" ref="C165">_xlfn.XLOOKUP(A165,'Video Database'!L:L,'Video Database'!E:E,"")</f>
        <v>Account 2</v>
      </c>
      <c r="D165" s="99" t="str">
        <f t="array" ref="D165">_xlfn.XLOOKUP(A165,'Video Database'!L:L,'Video Database'!G:G,"")</f>
        <v>Neurogum Watermelon</v>
      </c>
      <c r="E165" s="100">
        <f t="array" ref="E165">_xlfn.XLOOKUP(A165,'Video Database'!L:L,'Video Database'!H:H,"")</f>
        <v>0.11</v>
      </c>
      <c r="F165" s="101">
        <v>0.0</v>
      </c>
      <c r="G165" s="87">
        <v>0.0</v>
      </c>
      <c r="H165" s="114">
        <f t="array" ref="H165">_xlfn.XLOOKUP(A165,'Video Database'!L:L,'Video Database'!A:A,"")</f>
        <v>46185</v>
      </c>
      <c r="I165" s="103">
        <v>46201.0</v>
      </c>
      <c r="J165" s="104">
        <v>0.0</v>
      </c>
      <c r="K165" s="105"/>
      <c r="L165" s="105" t="str">
        <f t="shared" si="1"/>
        <v/>
      </c>
      <c r="O165" s="106" t="str">
        <f t="shared" si="2"/>
        <v>#N/A</v>
      </c>
      <c r="P165" s="106" t="str">
        <f t="shared" si="3"/>
        <v>#N/A</v>
      </c>
      <c r="Q165" s="84" t="str">
        <f t="shared" si="4"/>
        <v>#N/A</v>
      </c>
      <c r="R165" s="84" t="str">
        <f t="shared" si="5"/>
        <v>#N/A</v>
      </c>
      <c r="S165" s="107">
        <f t="shared" si="6"/>
        <v>-0.11</v>
      </c>
      <c r="T165" s="108">
        <f t="shared" si="7"/>
        <v>-1</v>
      </c>
      <c r="U165" s="106" t="str">
        <f t="shared" si="8"/>
        <v>#N/A</v>
      </c>
      <c r="V165" s="84" t="str">
        <f t="shared" si="9"/>
        <v/>
      </c>
      <c r="W165" s="109" t="str">
        <f t="shared" si="10"/>
        <v/>
      </c>
      <c r="X165" s="109" t="str">
        <f t="shared" si="11"/>
        <v/>
      </c>
      <c r="Y165" s="110" t="str">
        <f t="array" ref="Y165">_xlfn.XLOOKUP(A165,'Video Database'!L:L,'Video Database'!M:M,"")</f>
        <v>Middle of Funnel</v>
      </c>
    </row>
    <row r="166" ht="22.5" customHeight="1">
      <c r="A166" s="113">
        <f t="shared" si="12"/>
        <v>165</v>
      </c>
      <c r="B166" s="98" t="str">
        <f t="array" ref="B166">_xlfn.XLOOKUP(A166,'Video Database'!L:L,'Video Database'!D:D,"")</f>
        <v>Erin</v>
      </c>
      <c r="C166" s="98" t="str">
        <f t="array" ref="C166">_xlfn.XLOOKUP(A166,'Video Database'!L:L,'Video Database'!E:E,"")</f>
        <v>Account 1</v>
      </c>
      <c r="D166" s="99" t="str">
        <f t="array" ref="D166">_xlfn.XLOOKUP(A166,'Video Database'!L:L,'Video Database'!G:G,"")</f>
        <v>LullaBites Natural Sleep Gummies</v>
      </c>
      <c r="E166" s="100">
        <f t="array" ref="E166">_xlfn.XLOOKUP(A166,'Video Database'!L:L,'Video Database'!H:H,"")</f>
        <v>1.1</v>
      </c>
      <c r="F166" s="101">
        <v>0.0</v>
      </c>
      <c r="G166" s="87">
        <v>0.0</v>
      </c>
      <c r="H166" s="114">
        <f t="array" ref="H166">_xlfn.XLOOKUP(A166,'Video Database'!L:L,'Video Database'!A:A,"")</f>
        <v>46186</v>
      </c>
      <c r="I166" s="103">
        <v>46201.0</v>
      </c>
      <c r="J166" s="104">
        <v>0.0</v>
      </c>
      <c r="K166" s="105"/>
      <c r="L166" s="105" t="str">
        <f t="shared" si="1"/>
        <v/>
      </c>
      <c r="O166" s="106" t="str">
        <f t="shared" si="2"/>
        <v>#N/A</v>
      </c>
      <c r="P166" s="106" t="str">
        <f t="shared" si="3"/>
        <v>#N/A</v>
      </c>
      <c r="Q166" s="84" t="str">
        <f t="shared" si="4"/>
        <v>#N/A</v>
      </c>
      <c r="R166" s="84" t="str">
        <f t="shared" si="5"/>
        <v>#N/A</v>
      </c>
      <c r="S166" s="107">
        <f t="shared" si="6"/>
        <v>-1.1</v>
      </c>
      <c r="T166" s="108">
        <f t="shared" si="7"/>
        <v>-1</v>
      </c>
      <c r="U166" s="106" t="str">
        <f t="shared" si="8"/>
        <v>#N/A</v>
      </c>
      <c r="V166" s="84" t="str">
        <f t="shared" si="9"/>
        <v/>
      </c>
      <c r="W166" s="109" t="str">
        <f t="shared" si="10"/>
        <v/>
      </c>
      <c r="X166" s="109" t="str">
        <f t="shared" si="11"/>
        <v/>
      </c>
      <c r="Y166" s="110" t="str">
        <f t="array" ref="Y166">_xlfn.XLOOKUP(A166,'Video Database'!L:L,'Video Database'!M:M,"")</f>
        <v>Bottom of Funnel</v>
      </c>
    </row>
    <row r="167" ht="22.5" customHeight="1">
      <c r="A167" s="113">
        <f t="shared" si="12"/>
        <v>166</v>
      </c>
      <c r="B167" s="98" t="str">
        <f t="array" ref="B167">_xlfn.XLOOKUP(A167,'Video Database'!L:L,'Video Database'!D:D,"")</f>
        <v>Erin</v>
      </c>
      <c r="C167" s="98" t="str">
        <f t="array" ref="C167">_xlfn.XLOOKUP(A167,'Video Database'!L:L,'Video Database'!E:E,"")</f>
        <v>Account 1</v>
      </c>
      <c r="D167" s="99" t="str">
        <f t="array" ref="D167">_xlfn.XLOOKUP(A167,'Video Database'!L:L,'Video Database'!G:G,"")</f>
        <v>LullaBites Natural Sleep Gummies</v>
      </c>
      <c r="E167" s="100">
        <f t="array" ref="E167">_xlfn.XLOOKUP(A167,'Video Database'!L:L,'Video Database'!H:H,"")</f>
        <v>1.1</v>
      </c>
      <c r="F167" s="101">
        <v>0.0</v>
      </c>
      <c r="G167" s="87">
        <v>0.0</v>
      </c>
      <c r="H167" s="114">
        <f t="array" ref="H167">_xlfn.XLOOKUP(A167,'Video Database'!L:L,'Video Database'!A:A,"")</f>
        <v>46186</v>
      </c>
      <c r="I167" s="103">
        <v>46201.0</v>
      </c>
      <c r="J167" s="104">
        <v>0.0</v>
      </c>
      <c r="K167" s="105"/>
      <c r="L167" s="105" t="str">
        <f t="shared" si="1"/>
        <v/>
      </c>
      <c r="O167" s="106" t="str">
        <f t="shared" si="2"/>
        <v>#N/A</v>
      </c>
      <c r="P167" s="106" t="str">
        <f t="shared" si="3"/>
        <v>#N/A</v>
      </c>
      <c r="Q167" s="84" t="str">
        <f t="shared" si="4"/>
        <v>#N/A</v>
      </c>
      <c r="R167" s="84" t="str">
        <f t="shared" si="5"/>
        <v>#N/A</v>
      </c>
      <c r="S167" s="107">
        <f t="shared" si="6"/>
        <v>-1.1</v>
      </c>
      <c r="T167" s="108">
        <f t="shared" si="7"/>
        <v>-1</v>
      </c>
      <c r="U167" s="106" t="str">
        <f t="shared" si="8"/>
        <v>#N/A</v>
      </c>
      <c r="V167" s="84" t="str">
        <f t="shared" si="9"/>
        <v/>
      </c>
      <c r="W167" s="109" t="str">
        <f t="shared" si="10"/>
        <v/>
      </c>
      <c r="X167" s="109" t="str">
        <f t="shared" si="11"/>
        <v/>
      </c>
      <c r="Y167" s="110" t="str">
        <f t="array" ref="Y167">_xlfn.XLOOKUP(A167,'Video Database'!L:L,'Video Database'!M:M,"")</f>
        <v>Bottom of Funnel</v>
      </c>
    </row>
    <row r="168" ht="22.5" customHeight="1">
      <c r="A168" s="113">
        <f t="shared" si="12"/>
        <v>167</v>
      </c>
      <c r="B168" s="98" t="str">
        <f t="array" ref="B168">_xlfn.XLOOKUP(A168,'Video Database'!L:L,'Video Database'!D:D,"")</f>
        <v>Erin</v>
      </c>
      <c r="C168" s="98" t="str">
        <f t="array" ref="C168">_xlfn.XLOOKUP(A168,'Video Database'!L:L,'Video Database'!E:E,"")</f>
        <v>Account 1</v>
      </c>
      <c r="D168" s="99" t="str">
        <f t="array" ref="D168">_xlfn.XLOOKUP(A168,'Video Database'!L:L,'Video Database'!G:G,"")</f>
        <v>LullaBites Natural Sleep Gummies</v>
      </c>
      <c r="E168" s="100">
        <f t="array" ref="E168">_xlfn.XLOOKUP(A168,'Video Database'!L:L,'Video Database'!H:H,"")</f>
        <v>1.1</v>
      </c>
      <c r="F168" s="101">
        <v>0.0</v>
      </c>
      <c r="G168" s="87">
        <v>0.0</v>
      </c>
      <c r="H168" s="114">
        <f t="array" ref="H168">_xlfn.XLOOKUP(A168,'Video Database'!L:L,'Video Database'!A:A,"")</f>
        <v>46186</v>
      </c>
      <c r="I168" s="103">
        <v>46201.0</v>
      </c>
      <c r="J168" s="104">
        <v>0.0</v>
      </c>
      <c r="K168" s="105"/>
      <c r="L168" s="105" t="str">
        <f t="shared" si="1"/>
        <v/>
      </c>
      <c r="O168" s="106" t="str">
        <f t="shared" si="2"/>
        <v>#N/A</v>
      </c>
      <c r="P168" s="106" t="str">
        <f t="shared" si="3"/>
        <v>#N/A</v>
      </c>
      <c r="Q168" s="84" t="str">
        <f t="shared" si="4"/>
        <v>#N/A</v>
      </c>
      <c r="R168" s="84" t="str">
        <f t="shared" si="5"/>
        <v>#N/A</v>
      </c>
      <c r="S168" s="107">
        <f t="shared" si="6"/>
        <v>-1.1</v>
      </c>
      <c r="T168" s="108">
        <f t="shared" si="7"/>
        <v>-1</v>
      </c>
      <c r="U168" s="106" t="str">
        <f t="shared" si="8"/>
        <v>#N/A</v>
      </c>
      <c r="V168" s="84" t="str">
        <f t="shared" si="9"/>
        <v/>
      </c>
      <c r="W168" s="109" t="str">
        <f t="shared" si="10"/>
        <v/>
      </c>
      <c r="X168" s="109" t="str">
        <f t="shared" si="11"/>
        <v/>
      </c>
      <c r="Y168" s="110" t="str">
        <f t="array" ref="Y168">_xlfn.XLOOKUP(A168,'Video Database'!L:L,'Video Database'!M:M,"")</f>
        <v>Bottom of Funnel</v>
      </c>
    </row>
    <row r="169" ht="22.5" customHeight="1">
      <c r="A169" s="113">
        <f t="shared" si="12"/>
        <v>168</v>
      </c>
      <c r="B169" s="98" t="str">
        <f t="array" ref="B169">_xlfn.XLOOKUP(A169,'Video Database'!L:L,'Video Database'!D:D,"")</f>
        <v>Erin</v>
      </c>
      <c r="C169" s="98" t="str">
        <f t="array" ref="C169">_xlfn.XLOOKUP(A169,'Video Database'!L:L,'Video Database'!E:E,"")</f>
        <v>Account 1</v>
      </c>
      <c r="D169" s="99" t="str">
        <f t="array" ref="D169">_xlfn.XLOOKUP(A169,'Video Database'!L:L,'Video Database'!G:G,"")</f>
        <v>LullaBites Natural Sleep Gummies</v>
      </c>
      <c r="E169" s="100">
        <f t="array" ref="E169">_xlfn.XLOOKUP(A169,'Video Database'!L:L,'Video Database'!H:H,"")</f>
        <v>1.1</v>
      </c>
      <c r="F169" s="101">
        <v>0.0</v>
      </c>
      <c r="G169" s="87">
        <v>0.0</v>
      </c>
      <c r="H169" s="114">
        <f t="array" ref="H169">_xlfn.XLOOKUP(A169,'Video Database'!L:L,'Video Database'!A:A,"")</f>
        <v>46186</v>
      </c>
      <c r="I169" s="103">
        <v>46201.0</v>
      </c>
      <c r="J169" s="104">
        <v>0.0</v>
      </c>
      <c r="K169" s="105"/>
      <c r="L169" s="105" t="str">
        <f t="shared" si="1"/>
        <v/>
      </c>
      <c r="O169" s="106" t="str">
        <f t="shared" si="2"/>
        <v>#N/A</v>
      </c>
      <c r="P169" s="106" t="str">
        <f t="shared" si="3"/>
        <v>#N/A</v>
      </c>
      <c r="Q169" s="84" t="str">
        <f t="shared" si="4"/>
        <v>#N/A</v>
      </c>
      <c r="R169" s="84" t="str">
        <f t="shared" si="5"/>
        <v>#N/A</v>
      </c>
      <c r="S169" s="107">
        <f t="shared" si="6"/>
        <v>-1.1</v>
      </c>
      <c r="T169" s="108">
        <f t="shared" si="7"/>
        <v>-1</v>
      </c>
      <c r="U169" s="106" t="str">
        <f t="shared" si="8"/>
        <v>#N/A</v>
      </c>
      <c r="V169" s="84" t="str">
        <f t="shared" si="9"/>
        <v/>
      </c>
      <c r="W169" s="109" t="str">
        <f t="shared" si="10"/>
        <v/>
      </c>
      <c r="X169" s="109" t="str">
        <f t="shared" si="11"/>
        <v/>
      </c>
      <c r="Y169" s="110" t="str">
        <f t="array" ref="Y169">_xlfn.XLOOKUP(A169,'Video Database'!L:L,'Video Database'!M:M,"")</f>
        <v>Bottom of Funnel</v>
      </c>
    </row>
    <row r="170" ht="22.5" customHeight="1">
      <c r="A170" s="113">
        <f t="shared" si="12"/>
        <v>169</v>
      </c>
      <c r="B170" s="98" t="str">
        <f t="array" ref="B170">_xlfn.XLOOKUP(A170,'Video Database'!L:L,'Video Database'!D:D,"")</f>
        <v>Erin</v>
      </c>
      <c r="C170" s="98" t="str">
        <f t="array" ref="C170">_xlfn.XLOOKUP(A170,'Video Database'!L:L,'Video Database'!E:E,"")</f>
        <v>Account 1</v>
      </c>
      <c r="D170" s="99" t="str">
        <f t="array" ref="D170">_xlfn.XLOOKUP(A170,'Video Database'!L:L,'Video Database'!G:G,"")</f>
        <v>LullaBites Natural Sleep Gummies</v>
      </c>
      <c r="E170" s="100">
        <f t="array" ref="E170">_xlfn.XLOOKUP(A170,'Video Database'!L:L,'Video Database'!H:H,"")</f>
        <v>1.1</v>
      </c>
      <c r="F170" s="101">
        <v>0.0</v>
      </c>
      <c r="G170" s="87">
        <v>0.0</v>
      </c>
      <c r="H170" s="114">
        <f t="array" ref="H170">_xlfn.XLOOKUP(A170,'Video Database'!L:L,'Video Database'!A:A,"")</f>
        <v>46186</v>
      </c>
      <c r="I170" s="103">
        <v>46201.0</v>
      </c>
      <c r="J170" s="104">
        <v>0.0</v>
      </c>
      <c r="K170" s="105"/>
      <c r="L170" s="105" t="str">
        <f t="shared" si="1"/>
        <v/>
      </c>
      <c r="O170" s="106" t="str">
        <f t="shared" si="2"/>
        <v>#N/A</v>
      </c>
      <c r="P170" s="106" t="str">
        <f t="shared" si="3"/>
        <v>#N/A</v>
      </c>
      <c r="Q170" s="84" t="str">
        <f t="shared" si="4"/>
        <v>#N/A</v>
      </c>
      <c r="R170" s="84" t="str">
        <f t="shared" si="5"/>
        <v>#N/A</v>
      </c>
      <c r="S170" s="107">
        <f t="shared" si="6"/>
        <v>-1.1</v>
      </c>
      <c r="T170" s="108">
        <f t="shared" si="7"/>
        <v>-1</v>
      </c>
      <c r="U170" s="106" t="str">
        <f t="shared" si="8"/>
        <v>#N/A</v>
      </c>
      <c r="V170" s="84" t="str">
        <f t="shared" si="9"/>
        <v/>
      </c>
      <c r="W170" s="109" t="str">
        <f t="shared" si="10"/>
        <v/>
      </c>
      <c r="X170" s="109" t="str">
        <f t="shared" si="11"/>
        <v/>
      </c>
      <c r="Y170" s="110" t="str">
        <f t="array" ref="Y170">_xlfn.XLOOKUP(A170,'Video Database'!L:L,'Video Database'!M:M,"")</f>
        <v>Bottom of Funnel</v>
      </c>
    </row>
    <row r="171" ht="22.5" customHeight="1">
      <c r="A171" s="113">
        <f t="shared" si="12"/>
        <v>170</v>
      </c>
      <c r="B171" s="98" t="str">
        <f t="array" ref="B171">_xlfn.XLOOKUP(A171,'Video Database'!L:L,'Video Database'!D:D,"")</f>
        <v>Erin</v>
      </c>
      <c r="C171" s="98" t="str">
        <f t="array" ref="C171">_xlfn.XLOOKUP(A171,'Video Database'!L:L,'Video Database'!E:E,"")</f>
        <v>Account 1</v>
      </c>
      <c r="D171" s="99" t="str">
        <f t="array" ref="D171">_xlfn.XLOOKUP(A171,'Video Database'!L:L,'Video Database'!G:G,"")</f>
        <v>LullaBites Natural Sleep Gummies</v>
      </c>
      <c r="E171" s="100">
        <f t="array" ref="E171">_xlfn.XLOOKUP(A171,'Video Database'!L:L,'Video Database'!H:H,"")</f>
        <v>1.1</v>
      </c>
      <c r="F171" s="101">
        <v>0.0</v>
      </c>
      <c r="G171" s="87">
        <v>0.0</v>
      </c>
      <c r="H171" s="114">
        <f t="array" ref="H171">_xlfn.XLOOKUP(A171,'Video Database'!L:L,'Video Database'!A:A,"")</f>
        <v>46186</v>
      </c>
      <c r="I171" s="103">
        <v>46201.0</v>
      </c>
      <c r="J171" s="104">
        <v>0.0</v>
      </c>
      <c r="K171" s="105"/>
      <c r="L171" s="105" t="str">
        <f t="shared" si="1"/>
        <v/>
      </c>
      <c r="O171" s="106" t="str">
        <f t="shared" si="2"/>
        <v>#N/A</v>
      </c>
      <c r="P171" s="106" t="str">
        <f t="shared" si="3"/>
        <v>#N/A</v>
      </c>
      <c r="Q171" s="84" t="str">
        <f t="shared" si="4"/>
        <v>#N/A</v>
      </c>
      <c r="R171" s="84" t="str">
        <f t="shared" si="5"/>
        <v>#N/A</v>
      </c>
      <c r="S171" s="107">
        <f t="shared" si="6"/>
        <v>-1.1</v>
      </c>
      <c r="T171" s="108">
        <f t="shared" si="7"/>
        <v>-1</v>
      </c>
      <c r="U171" s="106" t="str">
        <f t="shared" si="8"/>
        <v>#N/A</v>
      </c>
      <c r="V171" s="84" t="str">
        <f t="shared" si="9"/>
        <v/>
      </c>
      <c r="W171" s="109" t="str">
        <f t="shared" si="10"/>
        <v/>
      </c>
      <c r="X171" s="109" t="str">
        <f t="shared" si="11"/>
        <v/>
      </c>
      <c r="Y171" s="110" t="str">
        <f t="array" ref="Y171">_xlfn.XLOOKUP(A171,'Video Database'!L:L,'Video Database'!M:M,"")</f>
        <v>Bottom of Funnel</v>
      </c>
    </row>
    <row r="172" ht="22.5" customHeight="1">
      <c r="A172" s="113">
        <f t="shared" si="12"/>
        <v>171</v>
      </c>
      <c r="B172" s="98" t="str">
        <f t="array" ref="B172">_xlfn.XLOOKUP(A172,'Video Database'!L:L,'Video Database'!D:D,"")</f>
        <v>Erin</v>
      </c>
      <c r="C172" s="98" t="str">
        <f t="array" ref="C172">_xlfn.XLOOKUP(A172,'Video Database'!L:L,'Video Database'!E:E,"")</f>
        <v>Account 1</v>
      </c>
      <c r="D172" s="99" t="str">
        <f t="array" ref="D172">_xlfn.XLOOKUP(A172,'Video Database'!L:L,'Video Database'!G:G,"")</f>
        <v>LullaBites Natural Sleep Gummies</v>
      </c>
      <c r="E172" s="100">
        <f t="array" ref="E172">_xlfn.XLOOKUP(A172,'Video Database'!L:L,'Video Database'!H:H,"")</f>
        <v>1.1</v>
      </c>
      <c r="F172" s="101">
        <v>0.0</v>
      </c>
      <c r="G172" s="87">
        <v>0.0</v>
      </c>
      <c r="H172" s="114">
        <f t="array" ref="H172">_xlfn.XLOOKUP(A172,'Video Database'!L:L,'Video Database'!A:A,"")</f>
        <v>46186</v>
      </c>
      <c r="I172" s="103">
        <v>46201.0</v>
      </c>
      <c r="J172" s="104">
        <v>0.0</v>
      </c>
      <c r="K172" s="105"/>
      <c r="L172" s="105" t="str">
        <f t="shared" si="1"/>
        <v/>
      </c>
      <c r="O172" s="106" t="str">
        <f t="shared" si="2"/>
        <v>#N/A</v>
      </c>
      <c r="P172" s="106" t="str">
        <f t="shared" si="3"/>
        <v>#N/A</v>
      </c>
      <c r="Q172" s="84" t="str">
        <f t="shared" si="4"/>
        <v>#N/A</v>
      </c>
      <c r="R172" s="84" t="str">
        <f t="shared" si="5"/>
        <v>#N/A</v>
      </c>
      <c r="S172" s="107">
        <f t="shared" si="6"/>
        <v>-1.1</v>
      </c>
      <c r="T172" s="108">
        <f t="shared" si="7"/>
        <v>-1</v>
      </c>
      <c r="U172" s="106" t="str">
        <f t="shared" si="8"/>
        <v>#N/A</v>
      </c>
      <c r="V172" s="84" t="str">
        <f t="shared" si="9"/>
        <v/>
      </c>
      <c r="W172" s="109" t="str">
        <f t="shared" si="10"/>
        <v/>
      </c>
      <c r="X172" s="109" t="str">
        <f t="shared" si="11"/>
        <v/>
      </c>
      <c r="Y172" s="110" t="str">
        <f t="array" ref="Y172">_xlfn.XLOOKUP(A172,'Video Database'!L:L,'Video Database'!M:M,"")</f>
        <v>Bottom of Funnel</v>
      </c>
    </row>
    <row r="173" ht="22.5" customHeight="1">
      <c r="A173" s="113">
        <f t="shared" si="12"/>
        <v>172</v>
      </c>
      <c r="B173" s="98" t="str">
        <f t="array" ref="B173">_xlfn.XLOOKUP(A173,'Video Database'!L:L,'Video Database'!D:D,"")</f>
        <v>Erin</v>
      </c>
      <c r="C173" s="98" t="str">
        <f t="array" ref="C173">_xlfn.XLOOKUP(A173,'Video Database'!L:L,'Video Database'!E:E,"")</f>
        <v>Account 1</v>
      </c>
      <c r="D173" s="99" t="str">
        <f t="array" ref="D173">_xlfn.XLOOKUP(A173,'Video Database'!L:L,'Video Database'!G:G,"")</f>
        <v>LullaBites Natural Sleep Gummies</v>
      </c>
      <c r="E173" s="100">
        <f t="array" ref="E173">_xlfn.XLOOKUP(A173,'Video Database'!L:L,'Video Database'!H:H,"")</f>
        <v>1.1</v>
      </c>
      <c r="F173" s="101">
        <v>0.0</v>
      </c>
      <c r="G173" s="87">
        <v>0.0</v>
      </c>
      <c r="H173" s="114">
        <f t="array" ref="H173">_xlfn.XLOOKUP(A173,'Video Database'!L:L,'Video Database'!A:A,"")</f>
        <v>46186</v>
      </c>
      <c r="I173" s="103">
        <v>46201.0</v>
      </c>
      <c r="J173" s="104">
        <v>0.0</v>
      </c>
      <c r="K173" s="105"/>
      <c r="L173" s="105" t="str">
        <f t="shared" si="1"/>
        <v/>
      </c>
      <c r="O173" s="106" t="str">
        <f t="shared" si="2"/>
        <v>#N/A</v>
      </c>
      <c r="P173" s="106" t="str">
        <f t="shared" si="3"/>
        <v>#N/A</v>
      </c>
      <c r="Q173" s="84" t="str">
        <f t="shared" si="4"/>
        <v>#N/A</v>
      </c>
      <c r="R173" s="84" t="str">
        <f t="shared" si="5"/>
        <v>#N/A</v>
      </c>
      <c r="S173" s="107">
        <f t="shared" si="6"/>
        <v>-1.1</v>
      </c>
      <c r="T173" s="108">
        <f t="shared" si="7"/>
        <v>-1</v>
      </c>
      <c r="U173" s="106" t="str">
        <f t="shared" si="8"/>
        <v>#N/A</v>
      </c>
      <c r="V173" s="84" t="str">
        <f t="shared" si="9"/>
        <v/>
      </c>
      <c r="W173" s="109" t="str">
        <f t="shared" si="10"/>
        <v/>
      </c>
      <c r="X173" s="109" t="str">
        <f t="shared" si="11"/>
        <v/>
      </c>
      <c r="Y173" s="110" t="str">
        <f t="array" ref="Y173">_xlfn.XLOOKUP(A173,'Video Database'!L:L,'Video Database'!M:M,"")</f>
        <v>Bottom of Funnel</v>
      </c>
    </row>
    <row r="174" ht="22.5" customHeight="1">
      <c r="A174" s="113">
        <f t="shared" si="12"/>
        <v>173</v>
      </c>
      <c r="B174" s="98" t="str">
        <f t="array" ref="B174">_xlfn.XLOOKUP(A174,'Video Database'!L:L,'Video Database'!D:D,"")</f>
        <v>Erin</v>
      </c>
      <c r="C174" s="98" t="str">
        <f t="array" ref="C174">_xlfn.XLOOKUP(A174,'Video Database'!L:L,'Video Database'!E:E,"")</f>
        <v>Account 1</v>
      </c>
      <c r="D174" s="99" t="str">
        <f t="array" ref="D174">_xlfn.XLOOKUP(A174,'Video Database'!L:L,'Video Database'!G:G,"")</f>
        <v>LullaBites Natural Sleep Gummies</v>
      </c>
      <c r="E174" s="100">
        <f t="array" ref="E174">_xlfn.XLOOKUP(A174,'Video Database'!L:L,'Video Database'!H:H,"")</f>
        <v>1.1</v>
      </c>
      <c r="F174" s="101">
        <v>0.0</v>
      </c>
      <c r="G174" s="87">
        <v>0.0</v>
      </c>
      <c r="H174" s="114">
        <f t="array" ref="H174">_xlfn.XLOOKUP(A174,'Video Database'!L:L,'Video Database'!A:A,"")</f>
        <v>46186</v>
      </c>
      <c r="I174" s="103">
        <v>46201.0</v>
      </c>
      <c r="J174" s="104">
        <v>0.0</v>
      </c>
      <c r="K174" s="105"/>
      <c r="L174" s="105" t="str">
        <f t="shared" si="1"/>
        <v/>
      </c>
      <c r="O174" s="106" t="str">
        <f t="shared" si="2"/>
        <v>#N/A</v>
      </c>
      <c r="P174" s="106" t="str">
        <f t="shared" si="3"/>
        <v>#N/A</v>
      </c>
      <c r="Q174" s="84" t="str">
        <f t="shared" si="4"/>
        <v>#N/A</v>
      </c>
      <c r="R174" s="84" t="str">
        <f t="shared" si="5"/>
        <v>#N/A</v>
      </c>
      <c r="S174" s="107">
        <f t="shared" si="6"/>
        <v>-1.1</v>
      </c>
      <c r="T174" s="108">
        <f t="shared" si="7"/>
        <v>-1</v>
      </c>
      <c r="U174" s="106" t="str">
        <f t="shared" si="8"/>
        <v>#N/A</v>
      </c>
      <c r="V174" s="84" t="str">
        <f t="shared" si="9"/>
        <v/>
      </c>
      <c r="W174" s="109" t="str">
        <f t="shared" si="10"/>
        <v/>
      </c>
      <c r="X174" s="109" t="str">
        <f t="shared" si="11"/>
        <v/>
      </c>
      <c r="Y174" s="110" t="str">
        <f t="array" ref="Y174">_xlfn.XLOOKUP(A174,'Video Database'!L:L,'Video Database'!M:M,"")</f>
        <v>Bottom of Funnel</v>
      </c>
    </row>
    <row r="175" ht="22.5" customHeight="1">
      <c r="A175" s="113">
        <f t="shared" si="12"/>
        <v>174</v>
      </c>
      <c r="B175" s="98" t="str">
        <f t="array" ref="B175">_xlfn.XLOOKUP(A175,'Video Database'!L:L,'Video Database'!D:D,"")</f>
        <v>Erin</v>
      </c>
      <c r="C175" s="98" t="str">
        <f t="array" ref="C175">_xlfn.XLOOKUP(A175,'Video Database'!L:L,'Video Database'!E:E,"")</f>
        <v>Account 1</v>
      </c>
      <c r="D175" s="99" t="str">
        <f t="array" ref="D175">_xlfn.XLOOKUP(A175,'Video Database'!L:L,'Video Database'!G:G,"")</f>
        <v>LullaBites Natural Sleep Gummies</v>
      </c>
      <c r="E175" s="100">
        <f t="array" ref="E175">_xlfn.XLOOKUP(A175,'Video Database'!L:L,'Video Database'!H:H,"")</f>
        <v>1.1</v>
      </c>
      <c r="F175" s="101">
        <v>0.0</v>
      </c>
      <c r="G175" s="87">
        <v>0.0</v>
      </c>
      <c r="H175" s="114">
        <f t="array" ref="H175">_xlfn.XLOOKUP(A175,'Video Database'!L:L,'Video Database'!A:A,"")</f>
        <v>46186</v>
      </c>
      <c r="I175" s="103">
        <v>46201.0</v>
      </c>
      <c r="J175" s="104">
        <v>0.0</v>
      </c>
      <c r="K175" s="105"/>
      <c r="L175" s="105" t="str">
        <f t="shared" si="1"/>
        <v/>
      </c>
      <c r="O175" s="106" t="str">
        <f t="shared" si="2"/>
        <v>#N/A</v>
      </c>
      <c r="P175" s="106" t="str">
        <f t="shared" si="3"/>
        <v>#N/A</v>
      </c>
      <c r="Q175" s="84" t="str">
        <f t="shared" si="4"/>
        <v>#N/A</v>
      </c>
      <c r="R175" s="84" t="str">
        <f t="shared" si="5"/>
        <v>#N/A</v>
      </c>
      <c r="S175" s="107">
        <f t="shared" si="6"/>
        <v>-1.1</v>
      </c>
      <c r="T175" s="108">
        <f t="shared" si="7"/>
        <v>-1</v>
      </c>
      <c r="U175" s="106" t="str">
        <f t="shared" si="8"/>
        <v>#N/A</v>
      </c>
      <c r="V175" s="84" t="str">
        <f t="shared" si="9"/>
        <v/>
      </c>
      <c r="W175" s="109" t="str">
        <f t="shared" si="10"/>
        <v/>
      </c>
      <c r="X175" s="109" t="str">
        <f t="shared" si="11"/>
        <v/>
      </c>
      <c r="Y175" s="110" t="str">
        <f t="array" ref="Y175">_xlfn.XLOOKUP(A175,'Video Database'!L:L,'Video Database'!M:M,"")</f>
        <v>Bottom of Funnel</v>
      </c>
    </row>
    <row r="176" ht="22.5" customHeight="1">
      <c r="A176" s="113">
        <f t="shared" si="12"/>
        <v>175</v>
      </c>
      <c r="B176" s="98" t="str">
        <f t="array" ref="B176">_xlfn.XLOOKUP(A176,'Video Database'!L:L,'Video Database'!D:D,"")</f>
        <v>Blakely</v>
      </c>
      <c r="C176" s="98" t="str">
        <f t="array" ref="C176">_xlfn.XLOOKUP(A176,'Video Database'!L:L,'Video Database'!E:E,"")</f>
        <v>Account 2</v>
      </c>
      <c r="D176" s="99" t="str">
        <f t="array" ref="D176">_xlfn.XLOOKUP(A176,'Video Database'!L:L,'Video Database'!G:G,"")</f>
        <v>Holafish Unisex Fleece Hoodie</v>
      </c>
      <c r="E176" s="100">
        <f t="array" ref="E176">_xlfn.XLOOKUP(A176,'Video Database'!L:L,'Video Database'!H:H,"")</f>
        <v>0.11</v>
      </c>
      <c r="F176" s="101">
        <v>0.0</v>
      </c>
      <c r="G176" s="87">
        <v>0.0</v>
      </c>
      <c r="H176" s="114">
        <f t="array" ref="H176">_xlfn.XLOOKUP(A176,'Video Database'!L:L,'Video Database'!A:A,"")</f>
        <v>46186</v>
      </c>
      <c r="I176" s="103">
        <v>46201.0</v>
      </c>
      <c r="J176" s="104">
        <v>0.0</v>
      </c>
      <c r="K176" s="105"/>
      <c r="L176" s="105" t="str">
        <f t="shared" si="1"/>
        <v/>
      </c>
      <c r="O176" s="106" t="str">
        <f t="shared" si="2"/>
        <v>#N/A</v>
      </c>
      <c r="P176" s="106" t="str">
        <f t="shared" si="3"/>
        <v>#N/A</v>
      </c>
      <c r="Q176" s="84" t="str">
        <f t="shared" si="4"/>
        <v>#N/A</v>
      </c>
      <c r="R176" s="84" t="str">
        <f t="shared" si="5"/>
        <v>#N/A</v>
      </c>
      <c r="S176" s="107">
        <f t="shared" si="6"/>
        <v>-0.11</v>
      </c>
      <c r="T176" s="108">
        <f t="shared" si="7"/>
        <v>-1</v>
      </c>
      <c r="U176" s="106" t="str">
        <f t="shared" si="8"/>
        <v>#N/A</v>
      </c>
      <c r="V176" s="84" t="str">
        <f t="shared" si="9"/>
        <v/>
      </c>
      <c r="W176" s="109" t="str">
        <f t="shared" si="10"/>
        <v/>
      </c>
      <c r="X176" s="109" t="str">
        <f t="shared" si="11"/>
        <v/>
      </c>
      <c r="Y176" s="110" t="str">
        <f t="array" ref="Y176">_xlfn.XLOOKUP(A176,'Video Database'!L:L,'Video Database'!M:M,"")</f>
        <v>Product Overlay</v>
      </c>
    </row>
    <row r="177" ht="22.5" customHeight="1">
      <c r="A177" s="113">
        <f t="shared" si="12"/>
        <v>176</v>
      </c>
      <c r="B177" s="98" t="str">
        <f t="array" ref="B177">_xlfn.XLOOKUP(A177,'Video Database'!L:L,'Video Database'!D:D,"")</f>
        <v>Blakely</v>
      </c>
      <c r="C177" s="98" t="str">
        <f t="array" ref="C177">_xlfn.XLOOKUP(A177,'Video Database'!L:L,'Video Database'!E:E,"")</f>
        <v>Account 2</v>
      </c>
      <c r="D177" s="99" t="str">
        <f t="array" ref="D177">_xlfn.XLOOKUP(A177,'Video Database'!L:L,'Video Database'!G:G,"")</f>
        <v>Holafish Unisex Fleece Hoodie</v>
      </c>
      <c r="E177" s="100">
        <f t="array" ref="E177">_xlfn.XLOOKUP(A177,'Video Database'!L:L,'Video Database'!H:H,"")</f>
        <v>0.11</v>
      </c>
      <c r="F177" s="101">
        <v>0.0</v>
      </c>
      <c r="G177" s="87">
        <v>0.0</v>
      </c>
      <c r="H177" s="114">
        <f t="array" ref="H177">_xlfn.XLOOKUP(A177,'Video Database'!L:L,'Video Database'!A:A,"")</f>
        <v>46186</v>
      </c>
      <c r="I177" s="103">
        <v>46201.0</v>
      </c>
      <c r="J177" s="104">
        <v>0.0</v>
      </c>
      <c r="K177" s="105"/>
      <c r="L177" s="105" t="str">
        <f t="shared" si="1"/>
        <v/>
      </c>
      <c r="O177" s="106" t="str">
        <f t="shared" si="2"/>
        <v>#N/A</v>
      </c>
      <c r="P177" s="106" t="str">
        <f t="shared" si="3"/>
        <v>#N/A</v>
      </c>
      <c r="Q177" s="84" t="str">
        <f t="shared" si="4"/>
        <v>#N/A</v>
      </c>
      <c r="R177" s="84" t="str">
        <f t="shared" si="5"/>
        <v>#N/A</v>
      </c>
      <c r="S177" s="107">
        <f t="shared" si="6"/>
        <v>-0.11</v>
      </c>
      <c r="T177" s="108">
        <f t="shared" si="7"/>
        <v>-1</v>
      </c>
      <c r="U177" s="106" t="str">
        <f t="shared" si="8"/>
        <v>#N/A</v>
      </c>
      <c r="V177" s="84" t="str">
        <f t="shared" si="9"/>
        <v/>
      </c>
      <c r="W177" s="109" t="str">
        <f t="shared" si="10"/>
        <v/>
      </c>
      <c r="X177" s="109" t="str">
        <f t="shared" si="11"/>
        <v/>
      </c>
      <c r="Y177" s="110" t="str">
        <f t="array" ref="Y177">_xlfn.XLOOKUP(A177,'Video Database'!L:L,'Video Database'!M:M,"")</f>
        <v>Product Overlay</v>
      </c>
    </row>
    <row r="178" ht="22.5" customHeight="1">
      <c r="A178" s="113">
        <f t="shared" si="12"/>
        <v>177</v>
      </c>
      <c r="B178" s="98" t="str">
        <f t="array" ref="B178">_xlfn.XLOOKUP(A178,'Video Database'!L:L,'Video Database'!D:D,"")</f>
        <v>Blakely</v>
      </c>
      <c r="C178" s="98" t="str">
        <f t="array" ref="C178">_xlfn.XLOOKUP(A178,'Video Database'!L:L,'Video Database'!E:E,"")</f>
        <v>Account 2</v>
      </c>
      <c r="D178" s="99" t="str">
        <f t="array" ref="D178">_xlfn.XLOOKUP(A178,'Video Database'!L:L,'Video Database'!G:G,"")</f>
        <v>Holafish Unisex Fleece Hoodie</v>
      </c>
      <c r="E178" s="100">
        <f t="array" ref="E178">_xlfn.XLOOKUP(A178,'Video Database'!L:L,'Video Database'!H:H,"")</f>
        <v>0.11</v>
      </c>
      <c r="F178" s="101">
        <v>0.0</v>
      </c>
      <c r="G178" s="87">
        <v>0.0</v>
      </c>
      <c r="H178" s="114">
        <f t="array" ref="H178">_xlfn.XLOOKUP(A178,'Video Database'!L:L,'Video Database'!A:A,"")</f>
        <v>46186</v>
      </c>
      <c r="I178" s="103">
        <v>46201.0</v>
      </c>
      <c r="J178" s="104">
        <v>0.0</v>
      </c>
      <c r="K178" s="105"/>
      <c r="L178" s="105" t="str">
        <f t="shared" si="1"/>
        <v/>
      </c>
      <c r="O178" s="106" t="str">
        <f t="shared" si="2"/>
        <v>#N/A</v>
      </c>
      <c r="P178" s="106" t="str">
        <f t="shared" si="3"/>
        <v>#N/A</v>
      </c>
      <c r="Q178" s="84" t="str">
        <f t="shared" si="4"/>
        <v>#N/A</v>
      </c>
      <c r="R178" s="84" t="str">
        <f t="shared" si="5"/>
        <v>#N/A</v>
      </c>
      <c r="S178" s="107">
        <f t="shared" si="6"/>
        <v>-0.11</v>
      </c>
      <c r="T178" s="108">
        <f t="shared" si="7"/>
        <v>-1</v>
      </c>
      <c r="U178" s="106" t="str">
        <f t="shared" si="8"/>
        <v>#N/A</v>
      </c>
      <c r="V178" s="84" t="str">
        <f t="shared" si="9"/>
        <v/>
      </c>
      <c r="W178" s="109" t="str">
        <f t="shared" si="10"/>
        <v/>
      </c>
      <c r="X178" s="109" t="str">
        <f t="shared" si="11"/>
        <v/>
      </c>
      <c r="Y178" s="110" t="str">
        <f t="array" ref="Y178">_xlfn.XLOOKUP(A178,'Video Database'!L:L,'Video Database'!M:M,"")</f>
        <v>Product Overlay</v>
      </c>
    </row>
    <row r="179" ht="22.5" customHeight="1">
      <c r="A179" s="113">
        <f t="shared" si="12"/>
        <v>178</v>
      </c>
      <c r="B179" s="98" t="str">
        <f t="array" ref="B179">_xlfn.XLOOKUP(A179,'Video Database'!L:L,'Video Database'!D:D,"")</f>
        <v>Blakely</v>
      </c>
      <c r="C179" s="98" t="str">
        <f t="array" ref="C179">_xlfn.XLOOKUP(A179,'Video Database'!L:L,'Video Database'!E:E,"")</f>
        <v>Account 2</v>
      </c>
      <c r="D179" s="99" t="str">
        <f t="array" ref="D179">_xlfn.XLOOKUP(A179,'Video Database'!L:L,'Video Database'!G:G,"")</f>
        <v>Holafish Unisex Fleece Hoodie</v>
      </c>
      <c r="E179" s="100">
        <f t="array" ref="E179">_xlfn.XLOOKUP(A179,'Video Database'!L:L,'Video Database'!H:H,"")</f>
        <v>0.11</v>
      </c>
      <c r="F179" s="101">
        <v>0.0</v>
      </c>
      <c r="G179" s="87">
        <v>0.0</v>
      </c>
      <c r="H179" s="114">
        <f t="array" ref="H179">_xlfn.XLOOKUP(A179,'Video Database'!L:L,'Video Database'!A:A,"")</f>
        <v>46186</v>
      </c>
      <c r="I179" s="103">
        <v>46201.0</v>
      </c>
      <c r="J179" s="104">
        <v>0.0</v>
      </c>
      <c r="K179" s="105"/>
      <c r="L179" s="105" t="str">
        <f t="shared" si="1"/>
        <v/>
      </c>
      <c r="O179" s="106" t="str">
        <f t="shared" si="2"/>
        <v>#N/A</v>
      </c>
      <c r="P179" s="106" t="str">
        <f t="shared" si="3"/>
        <v>#N/A</v>
      </c>
      <c r="Q179" s="84" t="str">
        <f t="shared" si="4"/>
        <v>#N/A</v>
      </c>
      <c r="R179" s="84" t="str">
        <f t="shared" si="5"/>
        <v>#N/A</v>
      </c>
      <c r="S179" s="107">
        <f t="shared" si="6"/>
        <v>-0.11</v>
      </c>
      <c r="T179" s="108">
        <f t="shared" si="7"/>
        <v>-1</v>
      </c>
      <c r="U179" s="106" t="str">
        <f t="shared" si="8"/>
        <v>#N/A</v>
      </c>
      <c r="V179" s="84" t="str">
        <f t="shared" si="9"/>
        <v/>
      </c>
      <c r="W179" s="109" t="str">
        <f t="shared" si="10"/>
        <v/>
      </c>
      <c r="X179" s="109" t="str">
        <f t="shared" si="11"/>
        <v/>
      </c>
      <c r="Y179" s="110" t="str">
        <f t="array" ref="Y179">_xlfn.XLOOKUP(A179,'Video Database'!L:L,'Video Database'!M:M,"")</f>
        <v>Product Overlay</v>
      </c>
    </row>
    <row r="180" ht="22.5" customHeight="1">
      <c r="A180" s="113">
        <f t="shared" si="12"/>
        <v>179</v>
      </c>
      <c r="B180" s="98" t="str">
        <f t="array" ref="B180">_xlfn.XLOOKUP(A180,'Video Database'!L:L,'Video Database'!D:D,"")</f>
        <v>Blakely</v>
      </c>
      <c r="C180" s="98" t="str">
        <f t="array" ref="C180">_xlfn.XLOOKUP(A180,'Video Database'!L:L,'Video Database'!E:E,"")</f>
        <v>Account 2</v>
      </c>
      <c r="D180" s="99" t="str">
        <f t="array" ref="D180">_xlfn.XLOOKUP(A180,'Video Database'!L:L,'Video Database'!G:G,"")</f>
        <v>Holafish Unisex Fleece Hoodie</v>
      </c>
      <c r="E180" s="100">
        <f t="array" ref="E180">_xlfn.XLOOKUP(A180,'Video Database'!L:L,'Video Database'!H:H,"")</f>
        <v>0.11</v>
      </c>
      <c r="F180" s="101">
        <v>0.0</v>
      </c>
      <c r="G180" s="87">
        <v>0.0</v>
      </c>
      <c r="H180" s="114">
        <f t="array" ref="H180">_xlfn.XLOOKUP(A180,'Video Database'!L:L,'Video Database'!A:A,"")</f>
        <v>46186</v>
      </c>
      <c r="I180" s="103">
        <v>46201.0</v>
      </c>
      <c r="J180" s="104">
        <v>0.0</v>
      </c>
      <c r="K180" s="105"/>
      <c r="L180" s="105" t="str">
        <f t="shared" si="1"/>
        <v/>
      </c>
      <c r="O180" s="106" t="str">
        <f t="shared" si="2"/>
        <v>#N/A</v>
      </c>
      <c r="P180" s="106" t="str">
        <f t="shared" si="3"/>
        <v>#N/A</v>
      </c>
      <c r="Q180" s="84" t="str">
        <f t="shared" si="4"/>
        <v>#N/A</v>
      </c>
      <c r="R180" s="84" t="str">
        <f t="shared" si="5"/>
        <v>#N/A</v>
      </c>
      <c r="S180" s="107">
        <f t="shared" si="6"/>
        <v>-0.11</v>
      </c>
      <c r="T180" s="108">
        <f t="shared" si="7"/>
        <v>-1</v>
      </c>
      <c r="U180" s="106" t="str">
        <f t="shared" si="8"/>
        <v>#N/A</v>
      </c>
      <c r="V180" s="84" t="str">
        <f t="shared" si="9"/>
        <v/>
      </c>
      <c r="W180" s="109" t="str">
        <f t="shared" si="10"/>
        <v/>
      </c>
      <c r="X180" s="109" t="str">
        <f t="shared" si="11"/>
        <v/>
      </c>
      <c r="Y180" s="110" t="str">
        <f t="array" ref="Y180">_xlfn.XLOOKUP(A180,'Video Database'!L:L,'Video Database'!M:M,"")</f>
        <v>Product Overlay</v>
      </c>
    </row>
    <row r="181" ht="22.5" customHeight="1">
      <c r="A181" s="113">
        <f t="shared" si="12"/>
        <v>180</v>
      </c>
      <c r="B181" s="98" t="str">
        <f t="array" ref="B181">_xlfn.XLOOKUP(A181,'Video Database'!L:L,'Video Database'!D:D,"")</f>
        <v>Blakely</v>
      </c>
      <c r="C181" s="98" t="str">
        <f t="array" ref="C181">_xlfn.XLOOKUP(A181,'Video Database'!L:L,'Video Database'!E:E,"")</f>
        <v>Account 2</v>
      </c>
      <c r="D181" s="99" t="str">
        <f t="array" ref="D181">_xlfn.XLOOKUP(A181,'Video Database'!L:L,'Video Database'!G:G,"")</f>
        <v>Holafish Unisex Fleece Hoodie</v>
      </c>
      <c r="E181" s="100">
        <f t="array" ref="E181">_xlfn.XLOOKUP(A181,'Video Database'!L:L,'Video Database'!H:H,"")</f>
        <v>0.11</v>
      </c>
      <c r="F181" s="101">
        <v>0.0</v>
      </c>
      <c r="G181" s="87">
        <v>0.0</v>
      </c>
      <c r="H181" s="114">
        <f t="array" ref="H181">_xlfn.XLOOKUP(A181,'Video Database'!L:L,'Video Database'!A:A,"")</f>
        <v>46186</v>
      </c>
      <c r="I181" s="103">
        <v>46201.0</v>
      </c>
      <c r="J181" s="104">
        <v>0.0</v>
      </c>
      <c r="K181" s="105"/>
      <c r="L181" s="105" t="str">
        <f t="shared" si="1"/>
        <v/>
      </c>
      <c r="O181" s="106" t="str">
        <f t="shared" si="2"/>
        <v>#N/A</v>
      </c>
      <c r="P181" s="106" t="str">
        <f t="shared" si="3"/>
        <v>#N/A</v>
      </c>
      <c r="Q181" s="84" t="str">
        <f t="shared" si="4"/>
        <v>#N/A</v>
      </c>
      <c r="R181" s="84" t="str">
        <f t="shared" si="5"/>
        <v>#N/A</v>
      </c>
      <c r="S181" s="107">
        <f t="shared" si="6"/>
        <v>-0.11</v>
      </c>
      <c r="T181" s="108">
        <f t="shared" si="7"/>
        <v>-1</v>
      </c>
      <c r="U181" s="106" t="str">
        <f t="shared" si="8"/>
        <v>#N/A</v>
      </c>
      <c r="V181" s="84" t="str">
        <f t="shared" si="9"/>
        <v/>
      </c>
      <c r="W181" s="109" t="str">
        <f t="shared" si="10"/>
        <v/>
      </c>
      <c r="X181" s="109" t="str">
        <f t="shared" si="11"/>
        <v/>
      </c>
      <c r="Y181" s="110" t="str">
        <f t="array" ref="Y181">_xlfn.XLOOKUP(A181,'Video Database'!L:L,'Video Database'!M:M,"")</f>
        <v>Product Overlay</v>
      </c>
    </row>
    <row r="182" ht="22.5" customHeight="1">
      <c r="A182" s="113">
        <f t="shared" si="12"/>
        <v>181</v>
      </c>
      <c r="B182" s="98" t="str">
        <f t="array" ref="B182">_xlfn.XLOOKUP(A182,'Video Database'!L:L,'Video Database'!D:D,"")</f>
        <v>Blakely</v>
      </c>
      <c r="C182" s="98" t="str">
        <f t="array" ref="C182">_xlfn.XLOOKUP(A182,'Video Database'!L:L,'Video Database'!E:E,"")</f>
        <v>Account 2</v>
      </c>
      <c r="D182" s="99" t="str">
        <f t="array" ref="D182">_xlfn.XLOOKUP(A182,'Video Database'!L:L,'Video Database'!G:G,"")</f>
        <v>Holafish Unisex Fleece Hoodie</v>
      </c>
      <c r="E182" s="100">
        <f t="array" ref="E182">_xlfn.XLOOKUP(A182,'Video Database'!L:L,'Video Database'!H:H,"")</f>
        <v>0.11</v>
      </c>
      <c r="F182" s="101">
        <v>0.0</v>
      </c>
      <c r="G182" s="87">
        <v>0.0</v>
      </c>
      <c r="H182" s="114">
        <f t="array" ref="H182">_xlfn.XLOOKUP(A182,'Video Database'!L:L,'Video Database'!A:A,"")</f>
        <v>46186</v>
      </c>
      <c r="I182" s="103">
        <v>46201.0</v>
      </c>
      <c r="J182" s="104">
        <v>0.0</v>
      </c>
      <c r="K182" s="105"/>
      <c r="L182" s="105" t="str">
        <f t="shared" si="1"/>
        <v/>
      </c>
      <c r="O182" s="106" t="str">
        <f t="shared" si="2"/>
        <v>#N/A</v>
      </c>
      <c r="P182" s="106" t="str">
        <f t="shared" si="3"/>
        <v>#N/A</v>
      </c>
      <c r="Q182" s="84" t="str">
        <f t="shared" si="4"/>
        <v>#N/A</v>
      </c>
      <c r="R182" s="84" t="str">
        <f t="shared" si="5"/>
        <v>#N/A</v>
      </c>
      <c r="S182" s="107">
        <f t="shared" si="6"/>
        <v>-0.11</v>
      </c>
      <c r="T182" s="108">
        <f t="shared" si="7"/>
        <v>-1</v>
      </c>
      <c r="U182" s="106" t="str">
        <f t="shared" si="8"/>
        <v>#N/A</v>
      </c>
      <c r="V182" s="84" t="str">
        <f t="shared" si="9"/>
        <v/>
      </c>
      <c r="W182" s="109" t="str">
        <f t="shared" si="10"/>
        <v/>
      </c>
      <c r="X182" s="109" t="str">
        <f t="shared" si="11"/>
        <v/>
      </c>
      <c r="Y182" s="110" t="str">
        <f t="array" ref="Y182">_xlfn.XLOOKUP(A182,'Video Database'!L:L,'Video Database'!M:M,"")</f>
        <v>Product Overlay</v>
      </c>
    </row>
    <row r="183" ht="22.5" customHeight="1">
      <c r="A183" s="113">
        <f t="shared" si="12"/>
        <v>182</v>
      </c>
      <c r="B183" s="98" t="str">
        <f t="array" ref="B183">_xlfn.XLOOKUP(A183,'Video Database'!L:L,'Video Database'!D:D,"")</f>
        <v>Blakely</v>
      </c>
      <c r="C183" s="98" t="str">
        <f t="array" ref="C183">_xlfn.XLOOKUP(A183,'Video Database'!L:L,'Video Database'!E:E,"")</f>
        <v>Account 2</v>
      </c>
      <c r="D183" s="99" t="str">
        <f t="array" ref="D183">_xlfn.XLOOKUP(A183,'Video Database'!L:L,'Video Database'!G:G,"")</f>
        <v>Holafish Unisex Fleece Hoodie</v>
      </c>
      <c r="E183" s="100">
        <f t="array" ref="E183">_xlfn.XLOOKUP(A183,'Video Database'!L:L,'Video Database'!H:H,"")</f>
        <v>0.11</v>
      </c>
      <c r="F183" s="101">
        <v>0.0</v>
      </c>
      <c r="G183" s="87">
        <v>0.0</v>
      </c>
      <c r="H183" s="114">
        <f t="array" ref="H183">_xlfn.XLOOKUP(A183,'Video Database'!L:L,'Video Database'!A:A,"")</f>
        <v>46186</v>
      </c>
      <c r="I183" s="103">
        <v>46201.0</v>
      </c>
      <c r="J183" s="104">
        <v>0.0</v>
      </c>
      <c r="K183" s="105"/>
      <c r="L183" s="105" t="str">
        <f t="shared" si="1"/>
        <v/>
      </c>
      <c r="O183" s="106" t="str">
        <f t="shared" si="2"/>
        <v>#N/A</v>
      </c>
      <c r="P183" s="106" t="str">
        <f t="shared" si="3"/>
        <v>#N/A</v>
      </c>
      <c r="Q183" s="84" t="str">
        <f t="shared" si="4"/>
        <v>#N/A</v>
      </c>
      <c r="R183" s="84" t="str">
        <f t="shared" si="5"/>
        <v>#N/A</v>
      </c>
      <c r="S183" s="107">
        <f t="shared" si="6"/>
        <v>-0.11</v>
      </c>
      <c r="T183" s="108">
        <f t="shared" si="7"/>
        <v>-1</v>
      </c>
      <c r="U183" s="106" t="str">
        <f t="shared" si="8"/>
        <v>#N/A</v>
      </c>
      <c r="V183" s="84" t="str">
        <f t="shared" si="9"/>
        <v/>
      </c>
      <c r="W183" s="109" t="str">
        <f t="shared" si="10"/>
        <v/>
      </c>
      <c r="X183" s="109" t="str">
        <f t="shared" si="11"/>
        <v/>
      </c>
      <c r="Y183" s="110" t="str">
        <f t="array" ref="Y183">_xlfn.XLOOKUP(A183,'Video Database'!L:L,'Video Database'!M:M,"")</f>
        <v>Product Overlay</v>
      </c>
    </row>
    <row r="184" ht="22.5" customHeight="1">
      <c r="A184" s="113">
        <f t="shared" si="12"/>
        <v>183</v>
      </c>
      <c r="B184" s="98" t="str">
        <f t="array" ref="B184">_xlfn.XLOOKUP(A184,'Video Database'!L:L,'Video Database'!D:D,"")</f>
        <v>Blakely</v>
      </c>
      <c r="C184" s="98" t="str">
        <f t="array" ref="C184">_xlfn.XLOOKUP(A184,'Video Database'!L:L,'Video Database'!E:E,"")</f>
        <v>Account 2</v>
      </c>
      <c r="D184" s="99" t="str">
        <f t="array" ref="D184">_xlfn.XLOOKUP(A184,'Video Database'!L:L,'Video Database'!G:G,"")</f>
        <v>Holafish Unisex Fleece Hoodie</v>
      </c>
      <c r="E184" s="100">
        <f t="array" ref="E184">_xlfn.XLOOKUP(A184,'Video Database'!L:L,'Video Database'!H:H,"")</f>
        <v>0.11</v>
      </c>
      <c r="F184" s="101">
        <v>0.0</v>
      </c>
      <c r="G184" s="87">
        <v>0.0</v>
      </c>
      <c r="H184" s="114">
        <f t="array" ref="H184">_xlfn.XLOOKUP(A184,'Video Database'!L:L,'Video Database'!A:A,"")</f>
        <v>46186</v>
      </c>
      <c r="I184" s="103">
        <v>46201.0</v>
      </c>
      <c r="J184" s="104">
        <v>0.0</v>
      </c>
      <c r="K184" s="105"/>
      <c r="L184" s="105" t="str">
        <f t="shared" si="1"/>
        <v/>
      </c>
      <c r="O184" s="106" t="str">
        <f t="shared" si="2"/>
        <v>#N/A</v>
      </c>
      <c r="P184" s="106" t="str">
        <f t="shared" si="3"/>
        <v>#N/A</v>
      </c>
      <c r="Q184" s="84" t="str">
        <f t="shared" si="4"/>
        <v>#N/A</v>
      </c>
      <c r="R184" s="84" t="str">
        <f t="shared" si="5"/>
        <v>#N/A</v>
      </c>
      <c r="S184" s="107">
        <f t="shared" si="6"/>
        <v>-0.11</v>
      </c>
      <c r="T184" s="108">
        <f t="shared" si="7"/>
        <v>-1</v>
      </c>
      <c r="U184" s="106" t="str">
        <f t="shared" si="8"/>
        <v>#N/A</v>
      </c>
      <c r="V184" s="84" t="str">
        <f t="shared" si="9"/>
        <v/>
      </c>
      <c r="W184" s="109" t="str">
        <f t="shared" si="10"/>
        <v/>
      </c>
      <c r="X184" s="109" t="str">
        <f t="shared" si="11"/>
        <v/>
      </c>
      <c r="Y184" s="110" t="str">
        <f t="array" ref="Y184">_xlfn.XLOOKUP(A184,'Video Database'!L:L,'Video Database'!M:M,"")</f>
        <v>Product Overlay</v>
      </c>
    </row>
    <row r="185" ht="22.5" customHeight="1">
      <c r="A185" s="113">
        <f t="shared" si="12"/>
        <v>184</v>
      </c>
      <c r="B185" s="98" t="str">
        <f t="array" ref="B185">_xlfn.XLOOKUP(A185,'Video Database'!L:L,'Video Database'!D:D,"")</f>
        <v>Blakely</v>
      </c>
      <c r="C185" s="98" t="str">
        <f t="array" ref="C185">_xlfn.XLOOKUP(A185,'Video Database'!L:L,'Video Database'!E:E,"")</f>
        <v>Account 2</v>
      </c>
      <c r="D185" s="99" t="str">
        <f t="array" ref="D185">_xlfn.XLOOKUP(A185,'Video Database'!L:L,'Video Database'!G:G,"")</f>
        <v>Holafish Unisex Fleece Hoodie</v>
      </c>
      <c r="E185" s="100">
        <f t="array" ref="E185">_xlfn.XLOOKUP(A185,'Video Database'!L:L,'Video Database'!H:H,"")</f>
        <v>0.11</v>
      </c>
      <c r="F185" s="101">
        <v>0.0</v>
      </c>
      <c r="G185" s="87">
        <v>0.0</v>
      </c>
      <c r="H185" s="114">
        <f t="array" ref="H185">_xlfn.XLOOKUP(A185,'Video Database'!L:L,'Video Database'!A:A,"")</f>
        <v>46186</v>
      </c>
      <c r="I185" s="103">
        <v>46201.0</v>
      </c>
      <c r="J185" s="104">
        <v>0.0</v>
      </c>
      <c r="K185" s="105"/>
      <c r="L185" s="105" t="str">
        <f t="shared" si="1"/>
        <v/>
      </c>
      <c r="O185" s="106" t="str">
        <f t="shared" si="2"/>
        <v>#N/A</v>
      </c>
      <c r="P185" s="106" t="str">
        <f t="shared" si="3"/>
        <v>#N/A</v>
      </c>
      <c r="Q185" s="84" t="str">
        <f t="shared" si="4"/>
        <v>#N/A</v>
      </c>
      <c r="R185" s="84" t="str">
        <f t="shared" si="5"/>
        <v>#N/A</v>
      </c>
      <c r="S185" s="107">
        <f t="shared" si="6"/>
        <v>-0.11</v>
      </c>
      <c r="T185" s="108">
        <f t="shared" si="7"/>
        <v>-1</v>
      </c>
      <c r="U185" s="106" t="str">
        <f t="shared" si="8"/>
        <v>#N/A</v>
      </c>
      <c r="V185" s="84" t="str">
        <f t="shared" si="9"/>
        <v/>
      </c>
      <c r="W185" s="109" t="str">
        <f t="shared" si="10"/>
        <v/>
      </c>
      <c r="X185" s="109" t="str">
        <f t="shared" si="11"/>
        <v/>
      </c>
      <c r="Y185" s="110" t="str">
        <f t="array" ref="Y185">_xlfn.XLOOKUP(A185,'Video Database'!L:L,'Video Database'!M:M,"")</f>
        <v>Product Overlay</v>
      </c>
    </row>
    <row r="186" ht="22.5" customHeight="1">
      <c r="A186" s="113">
        <f t="shared" si="12"/>
        <v>185</v>
      </c>
      <c r="B186" s="98" t="str">
        <f t="array" ref="B186">_xlfn.XLOOKUP(A186,'Video Database'!L:L,'Video Database'!D:D,"")</f>
        <v>Blakely</v>
      </c>
      <c r="C186" s="98" t="str">
        <f t="array" ref="C186">_xlfn.XLOOKUP(A186,'Video Database'!L:L,'Video Database'!E:E,"")</f>
        <v>Account 2</v>
      </c>
      <c r="D186" s="99" t="str">
        <f t="array" ref="D186">_xlfn.XLOOKUP(A186,'Video Database'!L:L,'Video Database'!G:G,"")</f>
        <v>Holafish Unisex Fleece Hoodie</v>
      </c>
      <c r="E186" s="100">
        <f t="array" ref="E186">_xlfn.XLOOKUP(A186,'Video Database'!L:L,'Video Database'!H:H,"")</f>
        <v>0.11</v>
      </c>
      <c r="F186" s="101">
        <v>0.0</v>
      </c>
      <c r="G186" s="87">
        <v>0.0</v>
      </c>
      <c r="H186" s="114">
        <f t="array" ref="H186">_xlfn.XLOOKUP(A186,'Video Database'!L:L,'Video Database'!A:A,"")</f>
        <v>46186</v>
      </c>
      <c r="I186" s="103">
        <v>46201.0</v>
      </c>
      <c r="J186" s="104">
        <v>0.0</v>
      </c>
      <c r="K186" s="105"/>
      <c r="L186" s="105" t="str">
        <f t="shared" si="1"/>
        <v/>
      </c>
      <c r="O186" s="106" t="str">
        <f t="shared" si="2"/>
        <v>#N/A</v>
      </c>
      <c r="P186" s="106" t="str">
        <f t="shared" si="3"/>
        <v>#N/A</v>
      </c>
      <c r="Q186" s="84" t="str">
        <f t="shared" si="4"/>
        <v>#N/A</v>
      </c>
      <c r="R186" s="84" t="str">
        <f t="shared" si="5"/>
        <v>#N/A</v>
      </c>
      <c r="S186" s="107">
        <f t="shared" si="6"/>
        <v>-0.11</v>
      </c>
      <c r="T186" s="108">
        <f t="shared" si="7"/>
        <v>-1</v>
      </c>
      <c r="U186" s="106" t="str">
        <f t="shared" si="8"/>
        <v>#N/A</v>
      </c>
      <c r="V186" s="84" t="str">
        <f t="shared" si="9"/>
        <v/>
      </c>
      <c r="W186" s="109" t="str">
        <f t="shared" si="10"/>
        <v/>
      </c>
      <c r="X186" s="109" t="str">
        <f t="shared" si="11"/>
        <v/>
      </c>
      <c r="Y186" s="110" t="str">
        <f t="array" ref="Y186">_xlfn.XLOOKUP(A186,'Video Database'!L:L,'Video Database'!M:M,"")</f>
        <v>Product Overlay</v>
      </c>
    </row>
    <row r="187" ht="22.5" customHeight="1">
      <c r="A187" s="113">
        <f t="shared" si="12"/>
        <v>186</v>
      </c>
      <c r="B187" s="98" t="str">
        <f t="array" ref="B187">_xlfn.XLOOKUP(A187,'Video Database'!L:L,'Video Database'!D:D,"")</f>
        <v>Blakely</v>
      </c>
      <c r="C187" s="98" t="str">
        <f t="array" ref="C187">_xlfn.XLOOKUP(A187,'Video Database'!L:L,'Video Database'!E:E,"")</f>
        <v>Account 2</v>
      </c>
      <c r="D187" s="99" t="str">
        <f t="array" ref="D187">_xlfn.XLOOKUP(A187,'Video Database'!L:L,'Video Database'!G:G,"")</f>
        <v>Holafish Unisex Fleece Hoodie</v>
      </c>
      <c r="E187" s="100">
        <f t="array" ref="E187">_xlfn.XLOOKUP(A187,'Video Database'!L:L,'Video Database'!H:H,"")</f>
        <v>0.11</v>
      </c>
      <c r="F187" s="101">
        <v>0.0</v>
      </c>
      <c r="G187" s="87">
        <v>0.0</v>
      </c>
      <c r="H187" s="114">
        <f t="array" ref="H187">_xlfn.XLOOKUP(A187,'Video Database'!L:L,'Video Database'!A:A,"")</f>
        <v>46186</v>
      </c>
      <c r="I187" s="103">
        <v>46201.0</v>
      </c>
      <c r="J187" s="104">
        <v>0.0</v>
      </c>
      <c r="K187" s="105"/>
      <c r="L187" s="105" t="str">
        <f t="shared" si="1"/>
        <v/>
      </c>
      <c r="O187" s="106" t="str">
        <f t="shared" si="2"/>
        <v>#N/A</v>
      </c>
      <c r="P187" s="106" t="str">
        <f t="shared" si="3"/>
        <v>#N/A</v>
      </c>
      <c r="Q187" s="84" t="str">
        <f t="shared" si="4"/>
        <v>#N/A</v>
      </c>
      <c r="R187" s="84" t="str">
        <f t="shared" si="5"/>
        <v>#N/A</v>
      </c>
      <c r="S187" s="107">
        <f t="shared" si="6"/>
        <v>-0.11</v>
      </c>
      <c r="T187" s="108">
        <f t="shared" si="7"/>
        <v>-1</v>
      </c>
      <c r="U187" s="106" t="str">
        <f t="shared" si="8"/>
        <v>#N/A</v>
      </c>
      <c r="V187" s="84" t="str">
        <f t="shared" si="9"/>
        <v/>
      </c>
      <c r="W187" s="109" t="str">
        <f t="shared" si="10"/>
        <v/>
      </c>
      <c r="X187" s="109" t="str">
        <f t="shared" si="11"/>
        <v/>
      </c>
      <c r="Y187" s="110" t="str">
        <f t="array" ref="Y187">_xlfn.XLOOKUP(A187,'Video Database'!L:L,'Video Database'!M:M,"")</f>
        <v>Product Overlay</v>
      </c>
    </row>
    <row r="188" ht="22.5" customHeight="1">
      <c r="A188" s="113">
        <f t="shared" si="12"/>
        <v>187</v>
      </c>
      <c r="B188" s="98" t="str">
        <f t="array" ref="B188">_xlfn.XLOOKUP(A188,'Video Database'!L:L,'Video Database'!D:D,"")</f>
        <v>Blakely</v>
      </c>
      <c r="C188" s="98" t="str">
        <f t="array" ref="C188">_xlfn.XLOOKUP(A188,'Video Database'!L:L,'Video Database'!E:E,"")</f>
        <v>Account 2</v>
      </c>
      <c r="D188" s="99" t="str">
        <f t="array" ref="D188">_xlfn.XLOOKUP(A188,'Video Database'!L:L,'Video Database'!G:G,"")</f>
        <v>Holafish Unisex Fleece Hoodie</v>
      </c>
      <c r="E188" s="100">
        <f t="array" ref="E188">_xlfn.XLOOKUP(A188,'Video Database'!L:L,'Video Database'!H:H,"")</f>
        <v>0.11</v>
      </c>
      <c r="F188" s="101">
        <v>0.0</v>
      </c>
      <c r="G188" s="87">
        <v>0.0</v>
      </c>
      <c r="H188" s="114">
        <f t="array" ref="H188">_xlfn.XLOOKUP(A188,'Video Database'!L:L,'Video Database'!A:A,"")</f>
        <v>46186</v>
      </c>
      <c r="I188" s="103">
        <v>46201.0</v>
      </c>
      <c r="J188" s="104">
        <v>0.0</v>
      </c>
      <c r="K188" s="105"/>
      <c r="L188" s="105" t="str">
        <f t="shared" si="1"/>
        <v/>
      </c>
      <c r="O188" s="106" t="str">
        <f t="shared" si="2"/>
        <v>#N/A</v>
      </c>
      <c r="P188" s="106" t="str">
        <f t="shared" si="3"/>
        <v>#N/A</v>
      </c>
      <c r="Q188" s="84" t="str">
        <f t="shared" si="4"/>
        <v>#N/A</v>
      </c>
      <c r="R188" s="84" t="str">
        <f t="shared" si="5"/>
        <v>#N/A</v>
      </c>
      <c r="S188" s="107">
        <f t="shared" si="6"/>
        <v>-0.11</v>
      </c>
      <c r="T188" s="108">
        <f t="shared" si="7"/>
        <v>-1</v>
      </c>
      <c r="U188" s="106" t="str">
        <f t="shared" si="8"/>
        <v>#N/A</v>
      </c>
      <c r="V188" s="84" t="str">
        <f t="shared" si="9"/>
        <v/>
      </c>
      <c r="W188" s="109" t="str">
        <f t="shared" si="10"/>
        <v/>
      </c>
      <c r="X188" s="109" t="str">
        <f t="shared" si="11"/>
        <v/>
      </c>
      <c r="Y188" s="110" t="str">
        <f t="array" ref="Y188">_xlfn.XLOOKUP(A188,'Video Database'!L:L,'Video Database'!M:M,"")</f>
        <v>Product Overlay</v>
      </c>
    </row>
    <row r="189" ht="22.5" customHeight="1">
      <c r="A189" s="113">
        <f t="shared" si="12"/>
        <v>188</v>
      </c>
      <c r="B189" s="98" t="str">
        <f t="array" ref="B189">_xlfn.XLOOKUP(A189,'Video Database'!L:L,'Video Database'!D:D,"")</f>
        <v>Blakely</v>
      </c>
      <c r="C189" s="98" t="str">
        <f t="array" ref="C189">_xlfn.XLOOKUP(A189,'Video Database'!L:L,'Video Database'!E:E,"")</f>
        <v>Account 2</v>
      </c>
      <c r="D189" s="99" t="str">
        <f t="array" ref="D189">_xlfn.XLOOKUP(A189,'Video Database'!L:L,'Video Database'!G:G,"")</f>
        <v>Holafish Unisex Fleece Hoodie</v>
      </c>
      <c r="E189" s="100">
        <f t="array" ref="E189">_xlfn.XLOOKUP(A189,'Video Database'!L:L,'Video Database'!H:H,"")</f>
        <v>0.11</v>
      </c>
      <c r="F189" s="101">
        <v>0.0</v>
      </c>
      <c r="G189" s="87">
        <v>0.0</v>
      </c>
      <c r="H189" s="114">
        <f t="array" ref="H189">_xlfn.XLOOKUP(A189,'Video Database'!L:L,'Video Database'!A:A,"")</f>
        <v>46186</v>
      </c>
      <c r="I189" s="103">
        <v>46201.0</v>
      </c>
      <c r="J189" s="104">
        <v>0.0</v>
      </c>
      <c r="K189" s="105"/>
      <c r="L189" s="105" t="str">
        <f t="shared" si="1"/>
        <v/>
      </c>
      <c r="O189" s="106" t="str">
        <f t="shared" si="2"/>
        <v>#N/A</v>
      </c>
      <c r="P189" s="106" t="str">
        <f t="shared" si="3"/>
        <v>#N/A</v>
      </c>
      <c r="Q189" s="84" t="str">
        <f t="shared" si="4"/>
        <v>#N/A</v>
      </c>
      <c r="R189" s="84" t="str">
        <f t="shared" si="5"/>
        <v>#N/A</v>
      </c>
      <c r="S189" s="107">
        <f t="shared" si="6"/>
        <v>-0.11</v>
      </c>
      <c r="T189" s="108">
        <f t="shared" si="7"/>
        <v>-1</v>
      </c>
      <c r="U189" s="106" t="str">
        <f t="shared" si="8"/>
        <v>#N/A</v>
      </c>
      <c r="V189" s="84" t="str">
        <f t="shared" si="9"/>
        <v/>
      </c>
      <c r="W189" s="109" t="str">
        <f t="shared" si="10"/>
        <v/>
      </c>
      <c r="X189" s="109" t="str">
        <f t="shared" si="11"/>
        <v/>
      </c>
      <c r="Y189" s="110" t="str">
        <f t="array" ref="Y189">_xlfn.XLOOKUP(A189,'Video Database'!L:L,'Video Database'!M:M,"")</f>
        <v>Product Overlay</v>
      </c>
    </row>
    <row r="190" ht="22.5" customHeight="1">
      <c r="A190" s="113">
        <f t="shared" si="12"/>
        <v>189</v>
      </c>
      <c r="B190" s="98" t="str">
        <f t="array" ref="B190">_xlfn.XLOOKUP(A190,'Video Database'!L:L,'Video Database'!D:D,"")</f>
        <v>Blakely</v>
      </c>
      <c r="C190" s="98" t="str">
        <f t="array" ref="C190">_xlfn.XLOOKUP(A190,'Video Database'!L:L,'Video Database'!E:E,"")</f>
        <v>Account 2</v>
      </c>
      <c r="D190" s="99" t="str">
        <f t="array" ref="D190">_xlfn.XLOOKUP(A190,'Video Database'!L:L,'Video Database'!G:G,"")</f>
        <v>Holafish Unisex Fleece Hoodie</v>
      </c>
      <c r="E190" s="100">
        <f t="array" ref="E190">_xlfn.XLOOKUP(A190,'Video Database'!L:L,'Video Database'!H:H,"")</f>
        <v>0.11</v>
      </c>
      <c r="F190" s="101">
        <v>0.0</v>
      </c>
      <c r="G190" s="87">
        <v>0.0</v>
      </c>
      <c r="H190" s="114">
        <f t="array" ref="H190">_xlfn.XLOOKUP(A190,'Video Database'!L:L,'Video Database'!A:A,"")</f>
        <v>46186</v>
      </c>
      <c r="I190" s="103">
        <v>46201.0</v>
      </c>
      <c r="J190" s="104">
        <v>0.0</v>
      </c>
      <c r="K190" s="105"/>
      <c r="L190" s="105" t="str">
        <f t="shared" si="1"/>
        <v/>
      </c>
      <c r="O190" s="106" t="str">
        <f t="shared" si="2"/>
        <v>#N/A</v>
      </c>
      <c r="P190" s="106" t="str">
        <f t="shared" si="3"/>
        <v>#N/A</v>
      </c>
      <c r="Q190" s="84" t="str">
        <f t="shared" si="4"/>
        <v>#N/A</v>
      </c>
      <c r="R190" s="84" t="str">
        <f t="shared" si="5"/>
        <v>#N/A</v>
      </c>
      <c r="S190" s="107">
        <f t="shared" si="6"/>
        <v>-0.11</v>
      </c>
      <c r="T190" s="108">
        <f t="shared" si="7"/>
        <v>-1</v>
      </c>
      <c r="U190" s="106" t="str">
        <f t="shared" si="8"/>
        <v>#N/A</v>
      </c>
      <c r="V190" s="84" t="str">
        <f t="shared" si="9"/>
        <v/>
      </c>
      <c r="W190" s="109" t="str">
        <f t="shared" si="10"/>
        <v/>
      </c>
      <c r="X190" s="109" t="str">
        <f t="shared" si="11"/>
        <v/>
      </c>
      <c r="Y190" s="110" t="str">
        <f t="array" ref="Y190">_xlfn.XLOOKUP(A190,'Video Database'!L:L,'Video Database'!M:M,"")</f>
        <v>Product Overlay</v>
      </c>
    </row>
    <row r="191" ht="22.5" customHeight="1">
      <c r="A191" s="113">
        <f t="shared" si="12"/>
        <v>190</v>
      </c>
      <c r="B191" s="98" t="str">
        <f t="array" ref="B191">_xlfn.XLOOKUP(A191,'Video Database'!L:L,'Video Database'!D:D,"")</f>
        <v>Blakely</v>
      </c>
      <c r="C191" s="98" t="str">
        <f t="array" ref="C191">_xlfn.XLOOKUP(A191,'Video Database'!L:L,'Video Database'!E:E,"")</f>
        <v>Account 2</v>
      </c>
      <c r="D191" s="99" t="str">
        <f t="array" ref="D191">_xlfn.XLOOKUP(A191,'Video Database'!L:L,'Video Database'!G:G,"")</f>
        <v>Old Navy Men's Utility Shacket</v>
      </c>
      <c r="E191" s="100">
        <f t="array" ref="E191">_xlfn.XLOOKUP(A191,'Video Database'!L:L,'Video Database'!H:H,"")</f>
        <v>0.11</v>
      </c>
      <c r="F191" s="101">
        <v>0.0</v>
      </c>
      <c r="G191" s="87">
        <v>0.0</v>
      </c>
      <c r="H191" s="114">
        <f t="array" ref="H191">_xlfn.XLOOKUP(A191,'Video Database'!L:L,'Video Database'!A:A,"")</f>
        <v>46186</v>
      </c>
      <c r="I191" s="103">
        <v>46201.0</v>
      </c>
      <c r="J191" s="104">
        <v>0.0</v>
      </c>
      <c r="K191" s="105"/>
      <c r="L191" s="105" t="str">
        <f t="shared" si="1"/>
        <v/>
      </c>
      <c r="O191" s="106" t="str">
        <f t="shared" si="2"/>
        <v>#N/A</v>
      </c>
      <c r="P191" s="106" t="str">
        <f t="shared" si="3"/>
        <v>#N/A</v>
      </c>
      <c r="Q191" s="84" t="str">
        <f t="shared" si="4"/>
        <v>#N/A</v>
      </c>
      <c r="R191" s="84" t="str">
        <f t="shared" si="5"/>
        <v>#N/A</v>
      </c>
      <c r="S191" s="107">
        <f t="shared" si="6"/>
        <v>-0.11</v>
      </c>
      <c r="T191" s="108">
        <f t="shared" si="7"/>
        <v>-1</v>
      </c>
      <c r="U191" s="106" t="str">
        <f t="shared" si="8"/>
        <v>#N/A</v>
      </c>
      <c r="V191" s="84" t="str">
        <f t="shared" si="9"/>
        <v/>
      </c>
      <c r="W191" s="109" t="str">
        <f t="shared" si="10"/>
        <v/>
      </c>
      <c r="X191" s="109" t="str">
        <f t="shared" si="11"/>
        <v/>
      </c>
      <c r="Y191" s="110" t="str">
        <f t="array" ref="Y191">_xlfn.XLOOKUP(A191,'Video Database'!L:L,'Video Database'!M:M,"")</f>
        <v>Product Overlay</v>
      </c>
    </row>
    <row r="192" ht="22.5" customHeight="1">
      <c r="A192" s="113">
        <f t="shared" si="12"/>
        <v>191</v>
      </c>
      <c r="B192" s="98" t="str">
        <f t="array" ref="B192">_xlfn.XLOOKUP(A192,'Video Database'!L:L,'Video Database'!D:D,"")</f>
        <v>Blakely</v>
      </c>
      <c r="C192" s="98" t="str">
        <f t="array" ref="C192">_xlfn.XLOOKUP(A192,'Video Database'!L:L,'Video Database'!E:E,"")</f>
        <v>Account 2</v>
      </c>
      <c r="D192" s="99" t="str">
        <f t="array" ref="D192">_xlfn.XLOOKUP(A192,'Video Database'!L:L,'Video Database'!G:G,"")</f>
        <v>Old Navy Men's Utility Shacket</v>
      </c>
      <c r="E192" s="100">
        <f t="array" ref="E192">_xlfn.XLOOKUP(A192,'Video Database'!L:L,'Video Database'!H:H,"")</f>
        <v>0.11</v>
      </c>
      <c r="F192" s="101">
        <v>0.0</v>
      </c>
      <c r="G192" s="87">
        <v>0.0</v>
      </c>
      <c r="H192" s="114">
        <f t="array" ref="H192">_xlfn.XLOOKUP(A192,'Video Database'!L:L,'Video Database'!A:A,"")</f>
        <v>46186</v>
      </c>
      <c r="I192" s="103">
        <v>46201.0</v>
      </c>
      <c r="J192" s="104">
        <v>0.0</v>
      </c>
      <c r="K192" s="105"/>
      <c r="L192" s="105" t="str">
        <f t="shared" si="1"/>
        <v/>
      </c>
      <c r="O192" s="106" t="str">
        <f t="shared" si="2"/>
        <v>#N/A</v>
      </c>
      <c r="P192" s="106" t="str">
        <f t="shared" si="3"/>
        <v>#N/A</v>
      </c>
      <c r="Q192" s="84" t="str">
        <f t="shared" si="4"/>
        <v>#N/A</v>
      </c>
      <c r="R192" s="84" t="str">
        <f t="shared" si="5"/>
        <v>#N/A</v>
      </c>
      <c r="S192" s="107">
        <f t="shared" si="6"/>
        <v>-0.11</v>
      </c>
      <c r="T192" s="108">
        <f t="shared" si="7"/>
        <v>-1</v>
      </c>
      <c r="U192" s="106" t="str">
        <f t="shared" si="8"/>
        <v>#N/A</v>
      </c>
      <c r="V192" s="84" t="str">
        <f t="shared" si="9"/>
        <v/>
      </c>
      <c r="W192" s="109" t="str">
        <f t="shared" si="10"/>
        <v/>
      </c>
      <c r="X192" s="109" t="str">
        <f t="shared" si="11"/>
        <v/>
      </c>
      <c r="Y192" s="110" t="str">
        <f t="array" ref="Y192">_xlfn.XLOOKUP(A192,'Video Database'!L:L,'Video Database'!M:M,"")</f>
        <v>Product Overlay</v>
      </c>
    </row>
    <row r="193" ht="22.5" customHeight="1">
      <c r="A193" s="113">
        <f t="shared" si="12"/>
        <v>192</v>
      </c>
      <c r="B193" s="98" t="str">
        <f t="array" ref="B193">_xlfn.XLOOKUP(A193,'Video Database'!L:L,'Video Database'!D:D,"")</f>
        <v>Blakely</v>
      </c>
      <c r="C193" s="98" t="str">
        <f t="array" ref="C193">_xlfn.XLOOKUP(A193,'Video Database'!L:L,'Video Database'!E:E,"")</f>
        <v>Account 2</v>
      </c>
      <c r="D193" s="99" t="str">
        <f t="array" ref="D193">_xlfn.XLOOKUP(A193,'Video Database'!L:L,'Video Database'!G:G,"")</f>
        <v>Old Navy Men's Utility Shacket</v>
      </c>
      <c r="E193" s="100">
        <f t="array" ref="E193">_xlfn.XLOOKUP(A193,'Video Database'!L:L,'Video Database'!H:H,"")</f>
        <v>0.11</v>
      </c>
      <c r="F193" s="101">
        <v>0.0</v>
      </c>
      <c r="G193" s="87">
        <v>0.0</v>
      </c>
      <c r="H193" s="114">
        <f t="array" ref="H193">_xlfn.XLOOKUP(A193,'Video Database'!L:L,'Video Database'!A:A,"")</f>
        <v>46186</v>
      </c>
      <c r="I193" s="103">
        <v>46201.0</v>
      </c>
      <c r="J193" s="104">
        <v>0.0</v>
      </c>
      <c r="K193" s="105"/>
      <c r="L193" s="105" t="str">
        <f t="shared" si="1"/>
        <v/>
      </c>
      <c r="O193" s="106" t="str">
        <f t="shared" si="2"/>
        <v>#N/A</v>
      </c>
      <c r="P193" s="106" t="str">
        <f t="shared" si="3"/>
        <v>#N/A</v>
      </c>
      <c r="Q193" s="84" t="str">
        <f t="shared" si="4"/>
        <v>#N/A</v>
      </c>
      <c r="R193" s="84" t="str">
        <f t="shared" si="5"/>
        <v>#N/A</v>
      </c>
      <c r="S193" s="107">
        <f t="shared" si="6"/>
        <v>-0.11</v>
      </c>
      <c r="T193" s="108">
        <f t="shared" si="7"/>
        <v>-1</v>
      </c>
      <c r="U193" s="106" t="str">
        <f t="shared" si="8"/>
        <v>#N/A</v>
      </c>
      <c r="V193" s="84" t="str">
        <f t="shared" si="9"/>
        <v/>
      </c>
      <c r="W193" s="109" t="str">
        <f t="shared" si="10"/>
        <v/>
      </c>
      <c r="X193" s="109" t="str">
        <f t="shared" si="11"/>
        <v/>
      </c>
      <c r="Y193" s="110" t="str">
        <f t="array" ref="Y193">_xlfn.XLOOKUP(A193,'Video Database'!L:L,'Video Database'!M:M,"")</f>
        <v>Product Overlay</v>
      </c>
    </row>
    <row r="194" ht="22.5" customHeight="1">
      <c r="A194" s="113">
        <f t="shared" si="12"/>
        <v>193</v>
      </c>
      <c r="B194" s="98" t="str">
        <f t="array" ref="B194">_xlfn.XLOOKUP(A194,'Video Database'!L:L,'Video Database'!D:D,"")</f>
        <v>Blakely</v>
      </c>
      <c r="C194" s="98" t="str">
        <f t="array" ref="C194">_xlfn.XLOOKUP(A194,'Video Database'!L:L,'Video Database'!E:E,"")</f>
        <v>Account 2</v>
      </c>
      <c r="D194" s="99" t="str">
        <f t="array" ref="D194">_xlfn.XLOOKUP(A194,'Video Database'!L:L,'Video Database'!G:G,"")</f>
        <v>Old Navy Men's Utility Shacket</v>
      </c>
      <c r="E194" s="100">
        <f t="array" ref="E194">_xlfn.XLOOKUP(A194,'Video Database'!L:L,'Video Database'!H:H,"")</f>
        <v>0.11</v>
      </c>
      <c r="F194" s="101">
        <v>0.0</v>
      </c>
      <c r="G194" s="87">
        <v>0.0</v>
      </c>
      <c r="H194" s="114">
        <f t="array" ref="H194">_xlfn.XLOOKUP(A194,'Video Database'!L:L,'Video Database'!A:A,"")</f>
        <v>46186</v>
      </c>
      <c r="I194" s="103">
        <v>46201.0</v>
      </c>
      <c r="J194" s="104">
        <v>0.0</v>
      </c>
      <c r="K194" s="105"/>
      <c r="L194" s="105" t="str">
        <f t="shared" si="1"/>
        <v/>
      </c>
      <c r="O194" s="106" t="str">
        <f t="shared" si="2"/>
        <v>#N/A</v>
      </c>
      <c r="P194" s="106" t="str">
        <f t="shared" si="3"/>
        <v>#N/A</v>
      </c>
      <c r="Q194" s="84" t="str">
        <f t="shared" si="4"/>
        <v>#N/A</v>
      </c>
      <c r="R194" s="84" t="str">
        <f t="shared" si="5"/>
        <v>#N/A</v>
      </c>
      <c r="S194" s="107">
        <f t="shared" si="6"/>
        <v>-0.11</v>
      </c>
      <c r="T194" s="108">
        <f t="shared" si="7"/>
        <v>-1</v>
      </c>
      <c r="U194" s="106" t="str">
        <f t="shared" si="8"/>
        <v>#N/A</v>
      </c>
      <c r="V194" s="84" t="str">
        <f t="shared" si="9"/>
        <v/>
      </c>
      <c r="W194" s="109" t="str">
        <f t="shared" si="10"/>
        <v/>
      </c>
      <c r="X194" s="109" t="str">
        <f t="shared" si="11"/>
        <v/>
      </c>
      <c r="Y194" s="110" t="str">
        <f t="array" ref="Y194">_xlfn.XLOOKUP(A194,'Video Database'!L:L,'Video Database'!M:M,"")</f>
        <v>Product Overlay</v>
      </c>
    </row>
    <row r="195" ht="22.5" customHeight="1">
      <c r="A195" s="113">
        <f t="shared" si="12"/>
        <v>194</v>
      </c>
      <c r="B195" s="98" t="str">
        <f t="array" ref="B195">_xlfn.XLOOKUP(A195,'Video Database'!L:L,'Video Database'!D:D,"")</f>
        <v>Blakely</v>
      </c>
      <c r="C195" s="98" t="str">
        <f t="array" ref="C195">_xlfn.XLOOKUP(A195,'Video Database'!L:L,'Video Database'!E:E,"")</f>
        <v>Account 2</v>
      </c>
      <c r="D195" s="99" t="str">
        <f t="array" ref="D195">_xlfn.XLOOKUP(A195,'Video Database'!L:L,'Video Database'!G:G,"")</f>
        <v>Old Navy Men's Utility Shacket</v>
      </c>
      <c r="E195" s="100">
        <f t="array" ref="E195">_xlfn.XLOOKUP(A195,'Video Database'!L:L,'Video Database'!H:H,"")</f>
        <v>0.11</v>
      </c>
      <c r="F195" s="101">
        <v>0.0</v>
      </c>
      <c r="G195" s="87">
        <v>0.0</v>
      </c>
      <c r="H195" s="114">
        <f t="array" ref="H195">_xlfn.XLOOKUP(A195,'Video Database'!L:L,'Video Database'!A:A,"")</f>
        <v>46186</v>
      </c>
      <c r="I195" s="103">
        <v>46201.0</v>
      </c>
      <c r="J195" s="104">
        <v>0.0</v>
      </c>
      <c r="K195" s="105"/>
      <c r="L195" s="105" t="str">
        <f t="shared" si="1"/>
        <v/>
      </c>
      <c r="O195" s="106" t="str">
        <f t="shared" si="2"/>
        <v>#N/A</v>
      </c>
      <c r="P195" s="106" t="str">
        <f t="shared" si="3"/>
        <v>#N/A</v>
      </c>
      <c r="Q195" s="84" t="str">
        <f t="shared" si="4"/>
        <v>#N/A</v>
      </c>
      <c r="R195" s="84" t="str">
        <f t="shared" si="5"/>
        <v>#N/A</v>
      </c>
      <c r="S195" s="107">
        <f t="shared" si="6"/>
        <v>-0.11</v>
      </c>
      <c r="T195" s="108">
        <f t="shared" si="7"/>
        <v>-1</v>
      </c>
      <c r="U195" s="106" t="str">
        <f t="shared" si="8"/>
        <v>#N/A</v>
      </c>
      <c r="V195" s="84" t="str">
        <f t="shared" si="9"/>
        <v/>
      </c>
      <c r="W195" s="109" t="str">
        <f t="shared" si="10"/>
        <v/>
      </c>
      <c r="X195" s="109" t="str">
        <f t="shared" si="11"/>
        <v/>
      </c>
      <c r="Y195" s="110" t="str">
        <f t="array" ref="Y195">_xlfn.XLOOKUP(A195,'Video Database'!L:L,'Video Database'!M:M,"")</f>
        <v>Product Overlay</v>
      </c>
    </row>
    <row r="196" ht="22.5" customHeight="1">
      <c r="A196" s="113">
        <f t="shared" si="12"/>
        <v>195</v>
      </c>
      <c r="B196" s="98" t="str">
        <f t="array" ref="B196">_xlfn.XLOOKUP(A196,'Video Database'!L:L,'Video Database'!D:D,"")</f>
        <v>Blakely</v>
      </c>
      <c r="C196" s="98" t="str">
        <f t="array" ref="C196">_xlfn.XLOOKUP(A196,'Video Database'!L:L,'Video Database'!E:E,"")</f>
        <v>Account 2</v>
      </c>
      <c r="D196" s="99" t="str">
        <f t="array" ref="D196">_xlfn.XLOOKUP(A196,'Video Database'!L:L,'Video Database'!G:G,"")</f>
        <v>Old Navy Men's Utility Shacket</v>
      </c>
      <c r="E196" s="100">
        <f t="array" ref="E196">_xlfn.XLOOKUP(A196,'Video Database'!L:L,'Video Database'!H:H,"")</f>
        <v>0.11</v>
      </c>
      <c r="F196" s="101">
        <v>0.0</v>
      </c>
      <c r="G196" s="87">
        <v>0.0</v>
      </c>
      <c r="H196" s="114">
        <f t="array" ref="H196">_xlfn.XLOOKUP(A196,'Video Database'!L:L,'Video Database'!A:A,"")</f>
        <v>46186</v>
      </c>
      <c r="I196" s="103">
        <v>46201.0</v>
      </c>
      <c r="J196" s="104">
        <v>0.0</v>
      </c>
      <c r="K196" s="105"/>
      <c r="L196" s="105" t="str">
        <f t="shared" si="1"/>
        <v/>
      </c>
      <c r="O196" s="106" t="str">
        <f t="shared" si="2"/>
        <v>#N/A</v>
      </c>
      <c r="P196" s="106" t="str">
        <f t="shared" si="3"/>
        <v>#N/A</v>
      </c>
      <c r="Q196" s="84" t="str">
        <f t="shared" si="4"/>
        <v>#N/A</v>
      </c>
      <c r="R196" s="84" t="str">
        <f t="shared" si="5"/>
        <v>#N/A</v>
      </c>
      <c r="S196" s="107">
        <f t="shared" si="6"/>
        <v>-0.11</v>
      </c>
      <c r="T196" s="108">
        <f t="shared" si="7"/>
        <v>-1</v>
      </c>
      <c r="U196" s="106" t="str">
        <f t="shared" si="8"/>
        <v>#N/A</v>
      </c>
      <c r="V196" s="84" t="str">
        <f t="shared" si="9"/>
        <v/>
      </c>
      <c r="W196" s="109" t="str">
        <f t="shared" si="10"/>
        <v/>
      </c>
      <c r="X196" s="109" t="str">
        <f t="shared" si="11"/>
        <v/>
      </c>
      <c r="Y196" s="110" t="str">
        <f t="array" ref="Y196">_xlfn.XLOOKUP(A196,'Video Database'!L:L,'Video Database'!M:M,"")</f>
        <v>Product Overlay</v>
      </c>
    </row>
    <row r="197" ht="22.5" customHeight="1">
      <c r="A197" s="113">
        <f t="shared" si="12"/>
        <v>196</v>
      </c>
      <c r="B197" s="98" t="str">
        <f t="array" ref="B197">_xlfn.XLOOKUP(A197,'Video Database'!L:L,'Video Database'!D:D,"")</f>
        <v>Blakely</v>
      </c>
      <c r="C197" s="98" t="str">
        <f t="array" ref="C197">_xlfn.XLOOKUP(A197,'Video Database'!L:L,'Video Database'!E:E,"")</f>
        <v>Account 2</v>
      </c>
      <c r="D197" s="99" t="str">
        <f t="array" ref="D197">_xlfn.XLOOKUP(A197,'Video Database'!L:L,'Video Database'!G:G,"")</f>
        <v>Old Navy Men's Utility Shacket</v>
      </c>
      <c r="E197" s="100">
        <f t="array" ref="E197">_xlfn.XLOOKUP(A197,'Video Database'!L:L,'Video Database'!H:H,"")</f>
        <v>0.11</v>
      </c>
      <c r="F197" s="101">
        <v>0.0</v>
      </c>
      <c r="G197" s="87">
        <v>0.0</v>
      </c>
      <c r="H197" s="114">
        <f t="array" ref="H197">_xlfn.XLOOKUP(A197,'Video Database'!L:L,'Video Database'!A:A,"")</f>
        <v>46186</v>
      </c>
      <c r="I197" s="103">
        <v>46201.0</v>
      </c>
      <c r="J197" s="104">
        <v>0.0</v>
      </c>
      <c r="K197" s="105"/>
      <c r="L197" s="105" t="str">
        <f t="shared" si="1"/>
        <v/>
      </c>
      <c r="O197" s="106" t="str">
        <f t="shared" si="2"/>
        <v>#N/A</v>
      </c>
      <c r="P197" s="106" t="str">
        <f t="shared" si="3"/>
        <v>#N/A</v>
      </c>
      <c r="Q197" s="84" t="str">
        <f t="shared" si="4"/>
        <v>#N/A</v>
      </c>
      <c r="R197" s="84" t="str">
        <f t="shared" si="5"/>
        <v>#N/A</v>
      </c>
      <c r="S197" s="107">
        <f t="shared" si="6"/>
        <v>-0.11</v>
      </c>
      <c r="T197" s="108">
        <f t="shared" si="7"/>
        <v>-1</v>
      </c>
      <c r="U197" s="106" t="str">
        <f t="shared" si="8"/>
        <v>#N/A</v>
      </c>
      <c r="V197" s="84" t="str">
        <f t="shared" si="9"/>
        <v/>
      </c>
      <c r="W197" s="109" t="str">
        <f t="shared" si="10"/>
        <v/>
      </c>
      <c r="X197" s="109" t="str">
        <f t="shared" si="11"/>
        <v/>
      </c>
      <c r="Y197" s="110" t="str">
        <f t="array" ref="Y197">_xlfn.XLOOKUP(A197,'Video Database'!L:L,'Video Database'!M:M,"")</f>
        <v>Product Overlay</v>
      </c>
    </row>
    <row r="198" ht="22.5" customHeight="1">
      <c r="A198" s="113">
        <f t="shared" si="12"/>
        <v>197</v>
      </c>
      <c r="B198" s="98" t="str">
        <f t="array" ref="B198">_xlfn.XLOOKUP(A198,'Video Database'!L:L,'Video Database'!D:D,"")</f>
        <v>Blakely</v>
      </c>
      <c r="C198" s="98" t="str">
        <f t="array" ref="C198">_xlfn.XLOOKUP(A198,'Video Database'!L:L,'Video Database'!E:E,"")</f>
        <v>Account 2</v>
      </c>
      <c r="D198" s="99" t="str">
        <f t="array" ref="D198">_xlfn.XLOOKUP(A198,'Video Database'!L:L,'Video Database'!G:G,"")</f>
        <v>Old Navy Men's Utility Shacket</v>
      </c>
      <c r="E198" s="100">
        <f t="array" ref="E198">_xlfn.XLOOKUP(A198,'Video Database'!L:L,'Video Database'!H:H,"")</f>
        <v>0.11</v>
      </c>
      <c r="F198" s="101">
        <v>0.0</v>
      </c>
      <c r="G198" s="87">
        <v>0.0</v>
      </c>
      <c r="H198" s="114">
        <f t="array" ref="H198">_xlfn.XLOOKUP(A198,'Video Database'!L:L,'Video Database'!A:A,"")</f>
        <v>46186</v>
      </c>
      <c r="I198" s="103">
        <v>46201.0</v>
      </c>
      <c r="J198" s="104">
        <v>0.0</v>
      </c>
      <c r="K198" s="105"/>
      <c r="L198" s="105" t="str">
        <f t="shared" si="1"/>
        <v/>
      </c>
      <c r="O198" s="106" t="str">
        <f t="shared" si="2"/>
        <v>#N/A</v>
      </c>
      <c r="P198" s="106" t="str">
        <f t="shared" si="3"/>
        <v>#N/A</v>
      </c>
      <c r="Q198" s="84" t="str">
        <f t="shared" si="4"/>
        <v>#N/A</v>
      </c>
      <c r="R198" s="84" t="str">
        <f t="shared" si="5"/>
        <v>#N/A</v>
      </c>
      <c r="S198" s="107">
        <f t="shared" si="6"/>
        <v>-0.11</v>
      </c>
      <c r="T198" s="108">
        <f t="shared" si="7"/>
        <v>-1</v>
      </c>
      <c r="U198" s="106" t="str">
        <f t="shared" si="8"/>
        <v>#N/A</v>
      </c>
      <c r="V198" s="84" t="str">
        <f t="shared" si="9"/>
        <v/>
      </c>
      <c r="W198" s="109" t="str">
        <f t="shared" si="10"/>
        <v/>
      </c>
      <c r="X198" s="109" t="str">
        <f t="shared" si="11"/>
        <v/>
      </c>
      <c r="Y198" s="110" t="str">
        <f t="array" ref="Y198">_xlfn.XLOOKUP(A198,'Video Database'!L:L,'Video Database'!M:M,"")</f>
        <v>Product Overlay</v>
      </c>
    </row>
    <row r="199" ht="22.5" customHeight="1">
      <c r="A199" s="113">
        <f t="shared" si="12"/>
        <v>198</v>
      </c>
      <c r="B199" s="98" t="str">
        <f t="array" ref="B199">_xlfn.XLOOKUP(A199,'Video Database'!L:L,'Video Database'!D:D,"")</f>
        <v>Blakely</v>
      </c>
      <c r="C199" s="98" t="str">
        <f t="array" ref="C199">_xlfn.XLOOKUP(A199,'Video Database'!L:L,'Video Database'!E:E,"")</f>
        <v>Account 2</v>
      </c>
      <c r="D199" s="99" t="str">
        <f t="array" ref="D199">_xlfn.XLOOKUP(A199,'Video Database'!L:L,'Video Database'!G:G,"")</f>
        <v>Old Navy Men's Utility Shacket</v>
      </c>
      <c r="E199" s="100">
        <f t="array" ref="E199">_xlfn.XLOOKUP(A199,'Video Database'!L:L,'Video Database'!H:H,"")</f>
        <v>0.11</v>
      </c>
      <c r="F199" s="101">
        <v>0.0</v>
      </c>
      <c r="G199" s="87">
        <v>0.0</v>
      </c>
      <c r="H199" s="114">
        <f t="array" ref="H199">_xlfn.XLOOKUP(A199,'Video Database'!L:L,'Video Database'!A:A,"")</f>
        <v>46186</v>
      </c>
      <c r="I199" s="103">
        <v>46201.0</v>
      </c>
      <c r="J199" s="104">
        <v>0.0</v>
      </c>
      <c r="K199" s="105"/>
      <c r="L199" s="105" t="str">
        <f t="shared" si="1"/>
        <v/>
      </c>
      <c r="O199" s="106" t="str">
        <f t="shared" si="2"/>
        <v>#N/A</v>
      </c>
      <c r="P199" s="106" t="str">
        <f t="shared" si="3"/>
        <v>#N/A</v>
      </c>
      <c r="Q199" s="84" t="str">
        <f t="shared" si="4"/>
        <v>#N/A</v>
      </c>
      <c r="R199" s="84" t="str">
        <f t="shared" si="5"/>
        <v>#N/A</v>
      </c>
      <c r="S199" s="107">
        <f t="shared" si="6"/>
        <v>-0.11</v>
      </c>
      <c r="T199" s="108">
        <f t="shared" si="7"/>
        <v>-1</v>
      </c>
      <c r="U199" s="106" t="str">
        <f t="shared" si="8"/>
        <v>#N/A</v>
      </c>
      <c r="V199" s="84" t="str">
        <f t="shared" si="9"/>
        <v/>
      </c>
      <c r="W199" s="109" t="str">
        <f t="shared" si="10"/>
        <v/>
      </c>
      <c r="X199" s="109" t="str">
        <f t="shared" si="11"/>
        <v/>
      </c>
      <c r="Y199" s="110" t="str">
        <f t="array" ref="Y199">_xlfn.XLOOKUP(A199,'Video Database'!L:L,'Video Database'!M:M,"")</f>
        <v>Product Overlay</v>
      </c>
    </row>
    <row r="200" ht="22.5" customHeight="1">
      <c r="A200" s="113">
        <f t="shared" si="12"/>
        <v>199</v>
      </c>
      <c r="B200" s="98" t="str">
        <f t="array" ref="B200">_xlfn.XLOOKUP(A200,'Video Database'!L:L,'Video Database'!D:D,"")</f>
        <v>Blakely</v>
      </c>
      <c r="C200" s="98" t="str">
        <f t="array" ref="C200">_xlfn.XLOOKUP(A200,'Video Database'!L:L,'Video Database'!E:E,"")</f>
        <v>Account 2</v>
      </c>
      <c r="D200" s="99" t="str">
        <f t="array" ref="D200">_xlfn.XLOOKUP(A200,'Video Database'!L:L,'Video Database'!G:G,"")</f>
        <v>Old Navy Men's Utility Shacket</v>
      </c>
      <c r="E200" s="100">
        <f t="array" ref="E200">_xlfn.XLOOKUP(A200,'Video Database'!L:L,'Video Database'!H:H,"")</f>
        <v>0.11</v>
      </c>
      <c r="F200" s="101">
        <v>0.0</v>
      </c>
      <c r="G200" s="87">
        <v>0.0</v>
      </c>
      <c r="H200" s="114">
        <f t="array" ref="H200">_xlfn.XLOOKUP(A200,'Video Database'!L:L,'Video Database'!A:A,"")</f>
        <v>46186</v>
      </c>
      <c r="I200" s="103">
        <v>46201.0</v>
      </c>
      <c r="J200" s="104">
        <v>0.0</v>
      </c>
      <c r="K200" s="105"/>
      <c r="L200" s="105" t="str">
        <f t="shared" si="1"/>
        <v/>
      </c>
      <c r="O200" s="106" t="str">
        <f t="shared" si="2"/>
        <v>#N/A</v>
      </c>
      <c r="P200" s="106" t="str">
        <f t="shared" si="3"/>
        <v>#N/A</v>
      </c>
      <c r="Q200" s="84" t="str">
        <f t="shared" si="4"/>
        <v>#N/A</v>
      </c>
      <c r="R200" s="84" t="str">
        <f t="shared" si="5"/>
        <v>#N/A</v>
      </c>
      <c r="S200" s="107">
        <f t="shared" si="6"/>
        <v>-0.11</v>
      </c>
      <c r="T200" s="108">
        <f t="shared" si="7"/>
        <v>-1</v>
      </c>
      <c r="U200" s="106" t="str">
        <f t="shared" si="8"/>
        <v>#N/A</v>
      </c>
      <c r="V200" s="84" t="str">
        <f t="shared" si="9"/>
        <v/>
      </c>
      <c r="W200" s="109" t="str">
        <f t="shared" si="10"/>
        <v/>
      </c>
      <c r="X200" s="109" t="str">
        <f t="shared" si="11"/>
        <v/>
      </c>
      <c r="Y200" s="110" t="str">
        <f t="array" ref="Y200">_xlfn.XLOOKUP(A200,'Video Database'!L:L,'Video Database'!M:M,"")</f>
        <v>Product Overlay</v>
      </c>
    </row>
    <row r="201" ht="22.5" customHeight="1">
      <c r="A201" s="113">
        <f t="shared" si="12"/>
        <v>200</v>
      </c>
      <c r="B201" s="98" t="str">
        <f t="array" ref="B201">_xlfn.XLOOKUP(A201,'Video Database'!L:L,'Video Database'!D:D,"")</f>
        <v>Blakely</v>
      </c>
      <c r="C201" s="98" t="str">
        <f t="array" ref="C201">_xlfn.XLOOKUP(A201,'Video Database'!L:L,'Video Database'!E:E,"")</f>
        <v>Account 2</v>
      </c>
      <c r="D201" s="99" t="str">
        <f t="array" ref="D201">_xlfn.XLOOKUP(A201,'Video Database'!L:L,'Video Database'!G:G,"")</f>
        <v>Old Navy Men's Utility Shacket</v>
      </c>
      <c r="E201" s="100">
        <f t="array" ref="E201">_xlfn.XLOOKUP(A201,'Video Database'!L:L,'Video Database'!H:H,"")</f>
        <v>0.11</v>
      </c>
      <c r="F201" s="101">
        <v>0.0</v>
      </c>
      <c r="G201" s="87">
        <v>0.0</v>
      </c>
      <c r="H201" s="114">
        <f t="array" ref="H201">_xlfn.XLOOKUP(A201,'Video Database'!L:L,'Video Database'!A:A,"")</f>
        <v>46186</v>
      </c>
      <c r="I201" s="103">
        <v>46201.0</v>
      </c>
      <c r="J201" s="104">
        <v>0.0</v>
      </c>
      <c r="K201" s="105"/>
      <c r="L201" s="105" t="str">
        <f t="shared" si="1"/>
        <v/>
      </c>
      <c r="O201" s="106" t="str">
        <f t="shared" si="2"/>
        <v>#N/A</v>
      </c>
      <c r="P201" s="106" t="str">
        <f t="shared" si="3"/>
        <v>#N/A</v>
      </c>
      <c r="Q201" s="84" t="str">
        <f t="shared" si="4"/>
        <v>#N/A</v>
      </c>
      <c r="R201" s="84" t="str">
        <f t="shared" si="5"/>
        <v>#N/A</v>
      </c>
      <c r="S201" s="107">
        <f t="shared" si="6"/>
        <v>-0.11</v>
      </c>
      <c r="T201" s="108">
        <f t="shared" si="7"/>
        <v>-1</v>
      </c>
      <c r="U201" s="106" t="str">
        <f t="shared" si="8"/>
        <v>#N/A</v>
      </c>
      <c r="V201" s="84" t="str">
        <f t="shared" si="9"/>
        <v/>
      </c>
      <c r="W201" s="109" t="str">
        <f t="shared" si="10"/>
        <v/>
      </c>
      <c r="X201" s="109" t="str">
        <f t="shared" si="11"/>
        <v/>
      </c>
      <c r="Y201" s="110" t="str">
        <f t="array" ref="Y201">_xlfn.XLOOKUP(A201,'Video Database'!L:L,'Video Database'!M:M,"")</f>
        <v>Product Overlay</v>
      </c>
    </row>
    <row r="202" ht="22.5" customHeight="1">
      <c r="A202" s="113">
        <f t="shared" si="12"/>
        <v>201</v>
      </c>
      <c r="B202" s="98" t="str">
        <f t="array" ref="B202">_xlfn.XLOOKUP(A202,'Video Database'!L:L,'Video Database'!D:D,"")</f>
        <v>Blakely</v>
      </c>
      <c r="C202" s="98" t="str">
        <f t="array" ref="C202">_xlfn.XLOOKUP(A202,'Video Database'!L:L,'Video Database'!E:E,"")</f>
        <v>Account 2</v>
      </c>
      <c r="D202" s="99" t="str">
        <f t="array" ref="D202">_xlfn.XLOOKUP(A202,'Video Database'!L:L,'Video Database'!G:G,"")</f>
        <v>Old Navy Men's Utility Shacket</v>
      </c>
      <c r="E202" s="100">
        <f t="array" ref="E202">_xlfn.XLOOKUP(A202,'Video Database'!L:L,'Video Database'!H:H,"")</f>
        <v>0.11</v>
      </c>
      <c r="F202" s="101">
        <v>0.0</v>
      </c>
      <c r="G202" s="87">
        <v>0.0</v>
      </c>
      <c r="H202" s="114">
        <f t="array" ref="H202">_xlfn.XLOOKUP(A202,'Video Database'!L:L,'Video Database'!A:A,"")</f>
        <v>46186</v>
      </c>
      <c r="I202" s="103">
        <v>46201.0</v>
      </c>
      <c r="J202" s="104">
        <v>0.0</v>
      </c>
      <c r="K202" s="105"/>
      <c r="L202" s="105" t="str">
        <f t="shared" si="1"/>
        <v/>
      </c>
      <c r="O202" s="106" t="str">
        <f t="shared" si="2"/>
        <v>#N/A</v>
      </c>
      <c r="P202" s="106" t="str">
        <f t="shared" si="3"/>
        <v>#N/A</v>
      </c>
      <c r="Q202" s="84" t="str">
        <f t="shared" si="4"/>
        <v>#N/A</v>
      </c>
      <c r="R202" s="84" t="str">
        <f t="shared" si="5"/>
        <v>#N/A</v>
      </c>
      <c r="S202" s="107">
        <f t="shared" si="6"/>
        <v>-0.11</v>
      </c>
      <c r="T202" s="108">
        <f t="shared" si="7"/>
        <v>-1</v>
      </c>
      <c r="U202" s="106" t="str">
        <f t="shared" si="8"/>
        <v>#N/A</v>
      </c>
      <c r="V202" s="84" t="str">
        <f t="shared" si="9"/>
        <v/>
      </c>
      <c r="W202" s="109" t="str">
        <f t="shared" si="10"/>
        <v/>
      </c>
      <c r="X202" s="109" t="str">
        <f t="shared" si="11"/>
        <v/>
      </c>
      <c r="Y202" s="110" t="str">
        <f t="array" ref="Y202">_xlfn.XLOOKUP(A202,'Video Database'!L:L,'Video Database'!M:M,"")</f>
        <v>Product Overlay</v>
      </c>
    </row>
    <row r="203" ht="22.5" customHeight="1">
      <c r="A203" s="113">
        <f t="shared" si="12"/>
        <v>202</v>
      </c>
      <c r="B203" s="98" t="str">
        <f t="array" ref="B203">_xlfn.XLOOKUP(A203,'Video Database'!L:L,'Video Database'!D:D,"")</f>
        <v>Blakely</v>
      </c>
      <c r="C203" s="98" t="str">
        <f t="array" ref="C203">_xlfn.XLOOKUP(A203,'Video Database'!L:L,'Video Database'!E:E,"")</f>
        <v>Account 2</v>
      </c>
      <c r="D203" s="99" t="str">
        <f t="array" ref="D203">_xlfn.XLOOKUP(A203,'Video Database'!L:L,'Video Database'!G:G,"")</f>
        <v>Old Navy Men's Utility Shacket</v>
      </c>
      <c r="E203" s="100">
        <f t="array" ref="E203">_xlfn.XLOOKUP(A203,'Video Database'!L:L,'Video Database'!H:H,"")</f>
        <v>0.11</v>
      </c>
      <c r="F203" s="101">
        <v>0.0</v>
      </c>
      <c r="G203" s="87">
        <v>0.0</v>
      </c>
      <c r="H203" s="114">
        <f t="array" ref="H203">_xlfn.XLOOKUP(A203,'Video Database'!L:L,'Video Database'!A:A,"")</f>
        <v>46186</v>
      </c>
      <c r="I203" s="103">
        <v>46201.0</v>
      </c>
      <c r="J203" s="104">
        <v>0.0</v>
      </c>
      <c r="K203" s="105"/>
      <c r="L203" s="105" t="str">
        <f t="shared" si="1"/>
        <v/>
      </c>
      <c r="O203" s="106" t="str">
        <f t="shared" si="2"/>
        <v>#N/A</v>
      </c>
      <c r="P203" s="106" t="str">
        <f t="shared" si="3"/>
        <v>#N/A</v>
      </c>
      <c r="Q203" s="84" t="str">
        <f t="shared" si="4"/>
        <v>#N/A</v>
      </c>
      <c r="R203" s="84" t="str">
        <f t="shared" si="5"/>
        <v>#N/A</v>
      </c>
      <c r="S203" s="107">
        <f t="shared" si="6"/>
        <v>-0.11</v>
      </c>
      <c r="T203" s="108">
        <f t="shared" si="7"/>
        <v>-1</v>
      </c>
      <c r="U203" s="106" t="str">
        <f t="shared" si="8"/>
        <v>#N/A</v>
      </c>
      <c r="V203" s="84" t="str">
        <f t="shared" si="9"/>
        <v/>
      </c>
      <c r="W203" s="109" t="str">
        <f t="shared" si="10"/>
        <v/>
      </c>
      <c r="X203" s="109" t="str">
        <f t="shared" si="11"/>
        <v/>
      </c>
      <c r="Y203" s="110" t="str">
        <f t="array" ref="Y203">_xlfn.XLOOKUP(A203,'Video Database'!L:L,'Video Database'!M:M,"")</f>
        <v>Product Overlay</v>
      </c>
    </row>
    <row r="204" ht="22.5" customHeight="1">
      <c r="A204" s="113">
        <f t="shared" si="12"/>
        <v>203</v>
      </c>
      <c r="B204" s="98" t="str">
        <f t="array" ref="B204">_xlfn.XLOOKUP(A204,'Video Database'!L:L,'Video Database'!D:D,"")</f>
        <v>Blakely</v>
      </c>
      <c r="C204" s="98" t="str">
        <f t="array" ref="C204">_xlfn.XLOOKUP(A204,'Video Database'!L:L,'Video Database'!E:E,"")</f>
        <v>Account 2</v>
      </c>
      <c r="D204" s="99" t="str">
        <f t="array" ref="D204">_xlfn.XLOOKUP(A204,'Video Database'!L:L,'Video Database'!G:G,"")</f>
        <v>Old Navy Men's Utility Shacket</v>
      </c>
      <c r="E204" s="100">
        <f t="array" ref="E204">_xlfn.XLOOKUP(A204,'Video Database'!L:L,'Video Database'!H:H,"")</f>
        <v>0.11</v>
      </c>
      <c r="F204" s="101">
        <v>0.0</v>
      </c>
      <c r="G204" s="87">
        <v>0.0</v>
      </c>
      <c r="H204" s="114">
        <f t="array" ref="H204">_xlfn.XLOOKUP(A204,'Video Database'!L:L,'Video Database'!A:A,"")</f>
        <v>46186</v>
      </c>
      <c r="I204" s="103">
        <v>46201.0</v>
      </c>
      <c r="J204" s="104">
        <v>0.0</v>
      </c>
      <c r="K204" s="105"/>
      <c r="L204" s="105" t="str">
        <f t="shared" si="1"/>
        <v/>
      </c>
      <c r="O204" s="106" t="str">
        <f t="shared" si="2"/>
        <v>#N/A</v>
      </c>
      <c r="P204" s="106" t="str">
        <f t="shared" si="3"/>
        <v>#N/A</v>
      </c>
      <c r="Q204" s="84" t="str">
        <f t="shared" si="4"/>
        <v>#N/A</v>
      </c>
      <c r="R204" s="84" t="str">
        <f t="shared" si="5"/>
        <v>#N/A</v>
      </c>
      <c r="S204" s="107">
        <f t="shared" si="6"/>
        <v>-0.11</v>
      </c>
      <c r="T204" s="108">
        <f t="shared" si="7"/>
        <v>-1</v>
      </c>
      <c r="U204" s="106" t="str">
        <f t="shared" si="8"/>
        <v>#N/A</v>
      </c>
      <c r="V204" s="84" t="str">
        <f t="shared" si="9"/>
        <v/>
      </c>
      <c r="W204" s="109" t="str">
        <f t="shared" si="10"/>
        <v/>
      </c>
      <c r="X204" s="109" t="str">
        <f t="shared" si="11"/>
        <v/>
      </c>
      <c r="Y204" s="110" t="str">
        <f t="array" ref="Y204">_xlfn.XLOOKUP(A204,'Video Database'!L:L,'Video Database'!M:M,"")</f>
        <v>Product Overlay</v>
      </c>
    </row>
    <row r="205" ht="22.5" customHeight="1">
      <c r="A205" s="113">
        <f t="shared" si="12"/>
        <v>204</v>
      </c>
      <c r="B205" s="98" t="str">
        <f t="array" ref="B205">_xlfn.XLOOKUP(A205,'Video Database'!L:L,'Video Database'!D:D,"")</f>
        <v>Blakely</v>
      </c>
      <c r="C205" s="98" t="str">
        <f t="array" ref="C205">_xlfn.XLOOKUP(A205,'Video Database'!L:L,'Video Database'!E:E,"")</f>
        <v>Account 2</v>
      </c>
      <c r="D205" s="99" t="str">
        <f t="array" ref="D205">_xlfn.XLOOKUP(A205,'Video Database'!L:L,'Video Database'!G:G,"")</f>
        <v>Old Navy Men's Utility Shacket</v>
      </c>
      <c r="E205" s="100">
        <f t="array" ref="E205">_xlfn.XLOOKUP(A205,'Video Database'!L:L,'Video Database'!H:H,"")</f>
        <v>0.11</v>
      </c>
      <c r="F205" s="101">
        <v>0.0</v>
      </c>
      <c r="G205" s="87">
        <v>0.0</v>
      </c>
      <c r="H205" s="114">
        <f t="array" ref="H205">_xlfn.XLOOKUP(A205,'Video Database'!L:L,'Video Database'!A:A,"")</f>
        <v>46186</v>
      </c>
      <c r="I205" s="103">
        <v>46201.0</v>
      </c>
      <c r="J205" s="104">
        <v>0.0</v>
      </c>
      <c r="K205" s="105"/>
      <c r="L205" s="105" t="str">
        <f t="shared" si="1"/>
        <v/>
      </c>
      <c r="O205" s="106" t="str">
        <f t="shared" si="2"/>
        <v>#N/A</v>
      </c>
      <c r="P205" s="106" t="str">
        <f t="shared" si="3"/>
        <v>#N/A</v>
      </c>
      <c r="Q205" s="84" t="str">
        <f t="shared" si="4"/>
        <v>#N/A</v>
      </c>
      <c r="R205" s="84" t="str">
        <f t="shared" si="5"/>
        <v>#N/A</v>
      </c>
      <c r="S205" s="107">
        <f t="shared" si="6"/>
        <v>-0.11</v>
      </c>
      <c r="T205" s="108">
        <f t="shared" si="7"/>
        <v>-1</v>
      </c>
      <c r="U205" s="106" t="str">
        <f t="shared" si="8"/>
        <v>#N/A</v>
      </c>
      <c r="V205" s="84" t="str">
        <f t="shared" si="9"/>
        <v/>
      </c>
      <c r="W205" s="109" t="str">
        <f t="shared" si="10"/>
        <v/>
      </c>
      <c r="X205" s="109" t="str">
        <f t="shared" si="11"/>
        <v/>
      </c>
      <c r="Y205" s="110" t="str">
        <f t="array" ref="Y205">_xlfn.XLOOKUP(A205,'Video Database'!L:L,'Video Database'!M:M,"")</f>
        <v>Product Overlay</v>
      </c>
    </row>
    <row r="206" ht="22.5" customHeight="1">
      <c r="A206" s="113">
        <f t="shared" si="12"/>
        <v>205</v>
      </c>
      <c r="B206" s="98" t="str">
        <f t="array" ref="B206">_xlfn.XLOOKUP(A206,'Video Database'!L:L,'Video Database'!D:D,"")</f>
        <v>Brittney</v>
      </c>
      <c r="C206" s="98" t="str">
        <f t="array" ref="C206">_xlfn.XLOOKUP(A206,'Video Database'!L:L,'Video Database'!E:E,"")</f>
        <v>Account 4</v>
      </c>
      <c r="D206" s="99" t="str">
        <f t="array" ref="D206">_xlfn.XLOOKUP(A206,'Video Database'!L:L,'Video Database'!G:G,"")</f>
        <v>Gruns Greens Popsicle Firecracker Gummies</v>
      </c>
      <c r="E206" s="100">
        <f t="array" ref="E206">_xlfn.XLOOKUP(A206,'Video Database'!L:L,'Video Database'!H:H,"")</f>
        <v>1.1</v>
      </c>
      <c r="F206" s="101">
        <v>0.0</v>
      </c>
      <c r="G206" s="87">
        <v>0.0</v>
      </c>
      <c r="H206" s="114">
        <f t="array" ref="H206">_xlfn.XLOOKUP(A206,'Video Database'!L:L,'Video Database'!A:A,"")</f>
        <v>46186</v>
      </c>
      <c r="I206" s="103">
        <v>46201.0</v>
      </c>
      <c r="J206" s="104">
        <v>0.0</v>
      </c>
      <c r="K206" s="105"/>
      <c r="L206" s="105" t="str">
        <f t="shared" si="1"/>
        <v/>
      </c>
      <c r="O206" s="106" t="str">
        <f t="shared" si="2"/>
        <v>#N/A</v>
      </c>
      <c r="P206" s="106" t="str">
        <f t="shared" si="3"/>
        <v>#N/A</v>
      </c>
      <c r="Q206" s="84" t="str">
        <f t="shared" si="4"/>
        <v>#N/A</v>
      </c>
      <c r="R206" s="84" t="str">
        <f t="shared" si="5"/>
        <v>#N/A</v>
      </c>
      <c r="S206" s="107">
        <f t="shared" si="6"/>
        <v>-1.1</v>
      </c>
      <c r="T206" s="108">
        <f t="shared" si="7"/>
        <v>-1</v>
      </c>
      <c r="U206" s="106" t="str">
        <f t="shared" si="8"/>
        <v>#N/A</v>
      </c>
      <c r="V206" s="84" t="str">
        <f t="shared" si="9"/>
        <v/>
      </c>
      <c r="W206" s="109" t="str">
        <f t="shared" si="10"/>
        <v/>
      </c>
      <c r="X206" s="109" t="str">
        <f t="shared" si="11"/>
        <v/>
      </c>
      <c r="Y206" s="110" t="str">
        <f t="array" ref="Y206">_xlfn.XLOOKUP(A206,'Video Database'!L:L,'Video Database'!M:M,"")</f>
        <v>Bottom of Funnel</v>
      </c>
    </row>
    <row r="207" ht="22.5" customHeight="1">
      <c r="A207" s="113">
        <f t="shared" si="12"/>
        <v>206</v>
      </c>
      <c r="B207" s="98" t="str">
        <f t="array" ref="B207">_xlfn.XLOOKUP(A207,'Video Database'!L:L,'Video Database'!D:D,"")</f>
        <v>Brittney</v>
      </c>
      <c r="C207" s="98" t="str">
        <f t="array" ref="C207">_xlfn.XLOOKUP(A207,'Video Database'!L:L,'Video Database'!E:E,"")</f>
        <v>Account 4</v>
      </c>
      <c r="D207" s="99" t="str">
        <f t="array" ref="D207">_xlfn.XLOOKUP(A207,'Video Database'!L:L,'Video Database'!G:G,"")</f>
        <v>Gruns Greens Popsicle Firecracker Gummies</v>
      </c>
      <c r="E207" s="100">
        <f t="array" ref="E207">_xlfn.XLOOKUP(A207,'Video Database'!L:L,'Video Database'!H:H,"")</f>
        <v>1.1</v>
      </c>
      <c r="F207" s="101">
        <v>0.0</v>
      </c>
      <c r="G207" s="87">
        <v>0.0</v>
      </c>
      <c r="H207" s="114">
        <f t="array" ref="H207">_xlfn.XLOOKUP(A207,'Video Database'!L:L,'Video Database'!A:A,"")</f>
        <v>46186</v>
      </c>
      <c r="I207" s="103">
        <v>46201.0</v>
      </c>
      <c r="J207" s="104">
        <v>0.0</v>
      </c>
      <c r="K207" s="105"/>
      <c r="L207" s="105" t="str">
        <f t="shared" si="1"/>
        <v/>
      </c>
      <c r="O207" s="106" t="str">
        <f t="shared" si="2"/>
        <v>#N/A</v>
      </c>
      <c r="P207" s="106" t="str">
        <f t="shared" si="3"/>
        <v>#N/A</v>
      </c>
      <c r="Q207" s="84" t="str">
        <f t="shared" si="4"/>
        <v>#N/A</v>
      </c>
      <c r="R207" s="84" t="str">
        <f t="shared" si="5"/>
        <v>#N/A</v>
      </c>
      <c r="S207" s="107">
        <f t="shared" si="6"/>
        <v>-1.1</v>
      </c>
      <c r="T207" s="108">
        <f t="shared" si="7"/>
        <v>-1</v>
      </c>
      <c r="U207" s="106" t="str">
        <f t="shared" si="8"/>
        <v>#N/A</v>
      </c>
      <c r="V207" s="84" t="str">
        <f t="shared" si="9"/>
        <v/>
      </c>
      <c r="W207" s="109" t="str">
        <f t="shared" si="10"/>
        <v/>
      </c>
      <c r="X207" s="109" t="str">
        <f t="shared" si="11"/>
        <v/>
      </c>
      <c r="Y207" s="110" t="str">
        <f t="array" ref="Y207">_xlfn.XLOOKUP(A207,'Video Database'!L:L,'Video Database'!M:M,"")</f>
        <v>Bottom of Funnel</v>
      </c>
    </row>
    <row r="208" ht="22.5" customHeight="1">
      <c r="A208" s="113">
        <f t="shared" si="12"/>
        <v>207</v>
      </c>
      <c r="B208" s="98" t="str">
        <f t="array" ref="B208">_xlfn.XLOOKUP(A208,'Video Database'!L:L,'Video Database'!D:D,"")</f>
        <v>Brittney</v>
      </c>
      <c r="C208" s="98" t="str">
        <f t="array" ref="C208">_xlfn.XLOOKUP(A208,'Video Database'!L:L,'Video Database'!E:E,"")</f>
        <v>Account 4</v>
      </c>
      <c r="D208" s="99" t="str">
        <f t="array" ref="D208">_xlfn.XLOOKUP(A208,'Video Database'!L:L,'Video Database'!G:G,"")</f>
        <v>Gruns Greens Popsicle Firecracker Gummies</v>
      </c>
      <c r="E208" s="100">
        <f t="array" ref="E208">_xlfn.XLOOKUP(A208,'Video Database'!L:L,'Video Database'!H:H,"")</f>
        <v>1.1</v>
      </c>
      <c r="F208" s="101">
        <v>0.0</v>
      </c>
      <c r="G208" s="87">
        <v>0.0</v>
      </c>
      <c r="H208" s="114">
        <f t="array" ref="H208">_xlfn.XLOOKUP(A208,'Video Database'!L:L,'Video Database'!A:A,"")</f>
        <v>46186</v>
      </c>
      <c r="I208" s="103">
        <v>46201.0</v>
      </c>
      <c r="J208" s="104">
        <v>0.0</v>
      </c>
      <c r="K208" s="105"/>
      <c r="L208" s="105" t="str">
        <f t="shared" si="1"/>
        <v/>
      </c>
      <c r="O208" s="106" t="str">
        <f t="shared" si="2"/>
        <v>#N/A</v>
      </c>
      <c r="P208" s="106" t="str">
        <f t="shared" si="3"/>
        <v>#N/A</v>
      </c>
      <c r="Q208" s="84" t="str">
        <f t="shared" si="4"/>
        <v>#N/A</v>
      </c>
      <c r="R208" s="84" t="str">
        <f t="shared" si="5"/>
        <v>#N/A</v>
      </c>
      <c r="S208" s="107">
        <f t="shared" si="6"/>
        <v>-1.1</v>
      </c>
      <c r="T208" s="108">
        <f t="shared" si="7"/>
        <v>-1</v>
      </c>
      <c r="U208" s="106" t="str">
        <f t="shared" si="8"/>
        <v>#N/A</v>
      </c>
      <c r="V208" s="84" t="str">
        <f t="shared" si="9"/>
        <v/>
      </c>
      <c r="W208" s="109" t="str">
        <f t="shared" si="10"/>
        <v/>
      </c>
      <c r="X208" s="109" t="str">
        <f t="shared" si="11"/>
        <v/>
      </c>
      <c r="Y208" s="110" t="str">
        <f t="array" ref="Y208">_xlfn.XLOOKUP(A208,'Video Database'!L:L,'Video Database'!M:M,"")</f>
        <v>Bottom of Funnel</v>
      </c>
    </row>
    <row r="209" ht="22.5" customHeight="1">
      <c r="A209" s="113">
        <f t="shared" si="12"/>
        <v>208</v>
      </c>
      <c r="B209" s="98" t="str">
        <f t="array" ref="B209">_xlfn.XLOOKUP(A209,'Video Database'!L:L,'Video Database'!D:D,"")</f>
        <v>Brittney</v>
      </c>
      <c r="C209" s="98" t="str">
        <f t="array" ref="C209">_xlfn.XLOOKUP(A209,'Video Database'!L:L,'Video Database'!E:E,"")</f>
        <v>Account 4</v>
      </c>
      <c r="D209" s="99" t="str">
        <f t="array" ref="D209">_xlfn.XLOOKUP(A209,'Video Database'!L:L,'Video Database'!G:G,"")</f>
        <v>Gruns Greens Popsicle Firecracker Gummies</v>
      </c>
      <c r="E209" s="100">
        <f t="array" ref="E209">_xlfn.XLOOKUP(A209,'Video Database'!L:L,'Video Database'!H:H,"")</f>
        <v>1.1</v>
      </c>
      <c r="F209" s="101">
        <v>0.0</v>
      </c>
      <c r="G209" s="87">
        <v>0.0</v>
      </c>
      <c r="H209" s="114">
        <f t="array" ref="H209">_xlfn.XLOOKUP(A209,'Video Database'!L:L,'Video Database'!A:A,"")</f>
        <v>46186</v>
      </c>
      <c r="I209" s="103">
        <v>46201.0</v>
      </c>
      <c r="J209" s="104">
        <v>0.0</v>
      </c>
      <c r="K209" s="105"/>
      <c r="L209" s="105" t="str">
        <f t="shared" si="1"/>
        <v/>
      </c>
      <c r="O209" s="106" t="str">
        <f t="shared" si="2"/>
        <v>#N/A</v>
      </c>
      <c r="P209" s="106" t="str">
        <f t="shared" si="3"/>
        <v>#N/A</v>
      </c>
      <c r="Q209" s="84" t="str">
        <f t="shared" si="4"/>
        <v>#N/A</v>
      </c>
      <c r="R209" s="84" t="str">
        <f t="shared" si="5"/>
        <v>#N/A</v>
      </c>
      <c r="S209" s="107">
        <f t="shared" si="6"/>
        <v>-1.1</v>
      </c>
      <c r="T209" s="108">
        <f t="shared" si="7"/>
        <v>-1</v>
      </c>
      <c r="U209" s="106" t="str">
        <f t="shared" si="8"/>
        <v>#N/A</v>
      </c>
      <c r="V209" s="84" t="str">
        <f t="shared" si="9"/>
        <v/>
      </c>
      <c r="W209" s="109" t="str">
        <f t="shared" si="10"/>
        <v/>
      </c>
      <c r="X209" s="109" t="str">
        <f t="shared" si="11"/>
        <v/>
      </c>
      <c r="Y209" s="110" t="str">
        <f t="array" ref="Y209">_xlfn.XLOOKUP(A209,'Video Database'!L:L,'Video Database'!M:M,"")</f>
        <v>Bottom of Funnel</v>
      </c>
    </row>
    <row r="210" ht="22.5" customHeight="1">
      <c r="A210" s="113">
        <f t="shared" si="12"/>
        <v>209</v>
      </c>
      <c r="B210" s="98" t="str">
        <f t="array" ref="B210">_xlfn.XLOOKUP(A210,'Video Database'!L:L,'Video Database'!D:D,"")</f>
        <v>Brittney</v>
      </c>
      <c r="C210" s="98" t="str">
        <f t="array" ref="C210">_xlfn.XLOOKUP(A210,'Video Database'!L:L,'Video Database'!E:E,"")</f>
        <v>Account 4</v>
      </c>
      <c r="D210" s="99" t="str">
        <f t="array" ref="D210">_xlfn.XLOOKUP(A210,'Video Database'!L:L,'Video Database'!G:G,"")</f>
        <v>Gruns Greens Popsicle Firecracker Gummies</v>
      </c>
      <c r="E210" s="100">
        <f t="array" ref="E210">_xlfn.XLOOKUP(A210,'Video Database'!L:L,'Video Database'!H:H,"")</f>
        <v>1.1</v>
      </c>
      <c r="F210" s="101">
        <v>0.0</v>
      </c>
      <c r="G210" s="87">
        <v>0.0</v>
      </c>
      <c r="H210" s="114">
        <f t="array" ref="H210">_xlfn.XLOOKUP(A210,'Video Database'!L:L,'Video Database'!A:A,"")</f>
        <v>46186</v>
      </c>
      <c r="I210" s="103">
        <v>46201.0</v>
      </c>
      <c r="J210" s="104">
        <v>0.0</v>
      </c>
      <c r="K210" s="105"/>
      <c r="L210" s="105" t="str">
        <f t="shared" si="1"/>
        <v/>
      </c>
      <c r="O210" s="106" t="str">
        <f t="shared" si="2"/>
        <v>#N/A</v>
      </c>
      <c r="P210" s="106" t="str">
        <f t="shared" si="3"/>
        <v>#N/A</v>
      </c>
      <c r="Q210" s="84" t="str">
        <f t="shared" si="4"/>
        <v>#N/A</v>
      </c>
      <c r="R210" s="84" t="str">
        <f t="shared" si="5"/>
        <v>#N/A</v>
      </c>
      <c r="S210" s="107">
        <f t="shared" si="6"/>
        <v>-1.1</v>
      </c>
      <c r="T210" s="108">
        <f t="shared" si="7"/>
        <v>-1</v>
      </c>
      <c r="U210" s="106" t="str">
        <f t="shared" si="8"/>
        <v>#N/A</v>
      </c>
      <c r="V210" s="84" t="str">
        <f t="shared" si="9"/>
        <v/>
      </c>
      <c r="W210" s="109" t="str">
        <f t="shared" si="10"/>
        <v/>
      </c>
      <c r="X210" s="109" t="str">
        <f t="shared" si="11"/>
        <v/>
      </c>
      <c r="Y210" s="110" t="str">
        <f t="array" ref="Y210">_xlfn.XLOOKUP(A210,'Video Database'!L:L,'Video Database'!M:M,"")</f>
        <v>Bottom of Funnel</v>
      </c>
    </row>
    <row r="211" ht="22.5" customHeight="1">
      <c r="A211" s="113">
        <f t="shared" si="12"/>
        <v>210</v>
      </c>
      <c r="B211" s="98" t="str">
        <f t="array" ref="B211">_xlfn.XLOOKUP(A211,'Video Database'!L:L,'Video Database'!D:D,"")</f>
        <v>Brittney</v>
      </c>
      <c r="C211" s="98" t="str">
        <f t="array" ref="C211">_xlfn.XLOOKUP(A211,'Video Database'!L:L,'Video Database'!E:E,"")</f>
        <v>Account 4</v>
      </c>
      <c r="D211" s="99" t="str">
        <f t="array" ref="D211">_xlfn.XLOOKUP(A211,'Video Database'!L:L,'Video Database'!G:G,"")</f>
        <v>Gruns Greens Popsicle Firecracker Gummies</v>
      </c>
      <c r="E211" s="100">
        <f t="array" ref="E211">_xlfn.XLOOKUP(A211,'Video Database'!L:L,'Video Database'!H:H,"")</f>
        <v>1.1</v>
      </c>
      <c r="F211" s="101">
        <v>0.0</v>
      </c>
      <c r="G211" s="87">
        <v>0.0</v>
      </c>
      <c r="H211" s="114">
        <f t="array" ref="H211">_xlfn.XLOOKUP(A211,'Video Database'!L:L,'Video Database'!A:A,"")</f>
        <v>46186</v>
      </c>
      <c r="I211" s="103">
        <v>46201.0</v>
      </c>
      <c r="J211" s="104">
        <v>0.0</v>
      </c>
      <c r="K211" s="105"/>
      <c r="L211" s="105" t="str">
        <f t="shared" si="1"/>
        <v/>
      </c>
      <c r="O211" s="106" t="str">
        <f t="shared" si="2"/>
        <v>#N/A</v>
      </c>
      <c r="P211" s="106" t="str">
        <f t="shared" si="3"/>
        <v>#N/A</v>
      </c>
      <c r="Q211" s="84" t="str">
        <f t="shared" si="4"/>
        <v>#N/A</v>
      </c>
      <c r="R211" s="84" t="str">
        <f t="shared" si="5"/>
        <v>#N/A</v>
      </c>
      <c r="S211" s="107">
        <f t="shared" si="6"/>
        <v>-1.1</v>
      </c>
      <c r="T211" s="108">
        <f t="shared" si="7"/>
        <v>-1</v>
      </c>
      <c r="U211" s="106" t="str">
        <f t="shared" si="8"/>
        <v>#N/A</v>
      </c>
      <c r="V211" s="84" t="str">
        <f t="shared" si="9"/>
        <v/>
      </c>
      <c r="W211" s="109" t="str">
        <f t="shared" si="10"/>
        <v/>
      </c>
      <c r="X211" s="109" t="str">
        <f t="shared" si="11"/>
        <v/>
      </c>
      <c r="Y211" s="110" t="str">
        <f t="array" ref="Y211">_xlfn.XLOOKUP(A211,'Video Database'!L:L,'Video Database'!M:M,"")</f>
        <v>Bottom of Funnel</v>
      </c>
    </row>
    <row r="212" ht="22.5" customHeight="1">
      <c r="A212" s="113">
        <f t="shared" si="12"/>
        <v>211</v>
      </c>
      <c r="B212" s="98" t="str">
        <f t="array" ref="B212">_xlfn.XLOOKUP(A212,'Video Database'!L:L,'Video Database'!D:D,"")</f>
        <v>Brittney</v>
      </c>
      <c r="C212" s="98" t="str">
        <f t="array" ref="C212">_xlfn.XLOOKUP(A212,'Video Database'!L:L,'Video Database'!E:E,"")</f>
        <v>Account 4</v>
      </c>
      <c r="D212" s="99" t="str">
        <f t="array" ref="D212">_xlfn.XLOOKUP(A212,'Video Database'!L:L,'Video Database'!G:G,"")</f>
        <v>Gruns Greens Popsicle Firecracker Gummies</v>
      </c>
      <c r="E212" s="100">
        <f t="array" ref="E212">_xlfn.XLOOKUP(A212,'Video Database'!L:L,'Video Database'!H:H,"")</f>
        <v>1.1</v>
      </c>
      <c r="F212" s="101">
        <v>0.0</v>
      </c>
      <c r="G212" s="87">
        <v>0.0</v>
      </c>
      <c r="H212" s="114">
        <f t="array" ref="H212">_xlfn.XLOOKUP(A212,'Video Database'!L:L,'Video Database'!A:A,"")</f>
        <v>46186</v>
      </c>
      <c r="I212" s="103">
        <v>46201.0</v>
      </c>
      <c r="J212" s="104">
        <v>0.0</v>
      </c>
      <c r="K212" s="105"/>
      <c r="L212" s="105" t="str">
        <f t="shared" si="1"/>
        <v/>
      </c>
      <c r="O212" s="106" t="str">
        <f t="shared" si="2"/>
        <v>#N/A</v>
      </c>
      <c r="P212" s="106" t="str">
        <f t="shared" si="3"/>
        <v>#N/A</v>
      </c>
      <c r="Q212" s="84" t="str">
        <f t="shared" si="4"/>
        <v>#N/A</v>
      </c>
      <c r="R212" s="84" t="str">
        <f t="shared" si="5"/>
        <v>#N/A</v>
      </c>
      <c r="S212" s="107">
        <f t="shared" si="6"/>
        <v>-1.1</v>
      </c>
      <c r="T212" s="108">
        <f t="shared" si="7"/>
        <v>-1</v>
      </c>
      <c r="U212" s="106" t="str">
        <f t="shared" si="8"/>
        <v>#N/A</v>
      </c>
      <c r="V212" s="84" t="str">
        <f t="shared" si="9"/>
        <v/>
      </c>
      <c r="W212" s="109" t="str">
        <f t="shared" si="10"/>
        <v/>
      </c>
      <c r="X212" s="109" t="str">
        <f t="shared" si="11"/>
        <v/>
      </c>
      <c r="Y212" s="110" t="str">
        <f t="array" ref="Y212">_xlfn.XLOOKUP(A212,'Video Database'!L:L,'Video Database'!M:M,"")</f>
        <v>Bottom of Funnel</v>
      </c>
    </row>
    <row r="213" ht="22.5" customHeight="1">
      <c r="A213" s="113">
        <f t="shared" si="12"/>
        <v>212</v>
      </c>
      <c r="B213" s="98" t="str">
        <f t="array" ref="B213">_xlfn.XLOOKUP(A213,'Video Database'!L:L,'Video Database'!D:D,"")</f>
        <v>Brittney</v>
      </c>
      <c r="C213" s="98" t="str">
        <f t="array" ref="C213">_xlfn.XLOOKUP(A213,'Video Database'!L:L,'Video Database'!E:E,"")</f>
        <v>Account 4</v>
      </c>
      <c r="D213" s="99" t="str">
        <f t="array" ref="D213">_xlfn.XLOOKUP(A213,'Video Database'!L:L,'Video Database'!G:G,"")</f>
        <v>Gruns Greens Popsicle Firecracker Gummies</v>
      </c>
      <c r="E213" s="100">
        <f t="array" ref="E213">_xlfn.XLOOKUP(A213,'Video Database'!L:L,'Video Database'!H:H,"")</f>
        <v>1.1</v>
      </c>
      <c r="F213" s="101">
        <v>0.0</v>
      </c>
      <c r="G213" s="87">
        <v>0.0</v>
      </c>
      <c r="H213" s="114">
        <f t="array" ref="H213">_xlfn.XLOOKUP(A213,'Video Database'!L:L,'Video Database'!A:A,"")</f>
        <v>46186</v>
      </c>
      <c r="I213" s="103">
        <v>46201.0</v>
      </c>
      <c r="J213" s="104">
        <v>0.0</v>
      </c>
      <c r="K213" s="105"/>
      <c r="L213" s="105" t="str">
        <f t="shared" si="1"/>
        <v/>
      </c>
      <c r="O213" s="106" t="str">
        <f t="shared" si="2"/>
        <v>#N/A</v>
      </c>
      <c r="P213" s="106" t="str">
        <f t="shared" si="3"/>
        <v>#N/A</v>
      </c>
      <c r="Q213" s="84" t="str">
        <f t="shared" si="4"/>
        <v>#N/A</v>
      </c>
      <c r="R213" s="84" t="str">
        <f t="shared" si="5"/>
        <v>#N/A</v>
      </c>
      <c r="S213" s="107">
        <f t="shared" si="6"/>
        <v>-1.1</v>
      </c>
      <c r="T213" s="108">
        <f t="shared" si="7"/>
        <v>-1</v>
      </c>
      <c r="U213" s="106" t="str">
        <f t="shared" si="8"/>
        <v>#N/A</v>
      </c>
      <c r="V213" s="84" t="str">
        <f t="shared" si="9"/>
        <v/>
      </c>
      <c r="W213" s="109" t="str">
        <f t="shared" si="10"/>
        <v/>
      </c>
      <c r="X213" s="109" t="str">
        <f t="shared" si="11"/>
        <v/>
      </c>
      <c r="Y213" s="110" t="str">
        <f t="array" ref="Y213">_xlfn.XLOOKUP(A213,'Video Database'!L:L,'Video Database'!M:M,"")</f>
        <v>Bottom of Funnel</v>
      </c>
    </row>
    <row r="214" ht="22.5" customHeight="1">
      <c r="A214" s="113">
        <f t="shared" si="12"/>
        <v>213</v>
      </c>
      <c r="B214" s="98" t="str">
        <f t="array" ref="B214">_xlfn.XLOOKUP(A214,'Video Database'!L:L,'Video Database'!D:D,"")</f>
        <v>Brittney</v>
      </c>
      <c r="C214" s="98" t="str">
        <f t="array" ref="C214">_xlfn.XLOOKUP(A214,'Video Database'!L:L,'Video Database'!E:E,"")</f>
        <v>Account 4</v>
      </c>
      <c r="D214" s="99" t="str">
        <f t="array" ref="D214">_xlfn.XLOOKUP(A214,'Video Database'!L:L,'Video Database'!G:G,"")</f>
        <v>Gruns Greens Popsicle Firecracker Gummies</v>
      </c>
      <c r="E214" s="100">
        <f t="array" ref="E214">_xlfn.XLOOKUP(A214,'Video Database'!L:L,'Video Database'!H:H,"")</f>
        <v>1.1</v>
      </c>
      <c r="F214" s="101">
        <v>0.0</v>
      </c>
      <c r="G214" s="87">
        <v>0.0</v>
      </c>
      <c r="H214" s="114">
        <f t="array" ref="H214">_xlfn.XLOOKUP(A214,'Video Database'!L:L,'Video Database'!A:A,"")</f>
        <v>46186</v>
      </c>
      <c r="I214" s="103">
        <v>46201.0</v>
      </c>
      <c r="J214" s="104">
        <v>0.0</v>
      </c>
      <c r="K214" s="105"/>
      <c r="L214" s="105" t="str">
        <f t="shared" si="1"/>
        <v/>
      </c>
      <c r="O214" s="106" t="str">
        <f t="shared" si="2"/>
        <v>#N/A</v>
      </c>
      <c r="P214" s="106" t="str">
        <f t="shared" si="3"/>
        <v>#N/A</v>
      </c>
      <c r="Q214" s="84" t="str">
        <f t="shared" si="4"/>
        <v>#N/A</v>
      </c>
      <c r="R214" s="84" t="str">
        <f t="shared" si="5"/>
        <v>#N/A</v>
      </c>
      <c r="S214" s="107">
        <f t="shared" si="6"/>
        <v>-1.1</v>
      </c>
      <c r="T214" s="108">
        <f t="shared" si="7"/>
        <v>-1</v>
      </c>
      <c r="U214" s="106" t="str">
        <f t="shared" si="8"/>
        <v>#N/A</v>
      </c>
      <c r="V214" s="84" t="str">
        <f t="shared" si="9"/>
        <v/>
      </c>
      <c r="W214" s="109" t="str">
        <f t="shared" si="10"/>
        <v/>
      </c>
      <c r="X214" s="109" t="str">
        <f t="shared" si="11"/>
        <v/>
      </c>
      <c r="Y214" s="110" t="str">
        <f t="array" ref="Y214">_xlfn.XLOOKUP(A214,'Video Database'!L:L,'Video Database'!M:M,"")</f>
        <v>Bottom of Funnel</v>
      </c>
    </row>
    <row r="215" ht="22.5" customHeight="1">
      <c r="A215" s="113">
        <f t="shared" si="12"/>
        <v>214</v>
      </c>
      <c r="B215" s="98" t="str">
        <f t="array" ref="B215">_xlfn.XLOOKUP(A215,'Video Database'!L:L,'Video Database'!D:D,"")</f>
        <v>Brittney</v>
      </c>
      <c r="C215" s="98" t="str">
        <f t="array" ref="C215">_xlfn.XLOOKUP(A215,'Video Database'!L:L,'Video Database'!E:E,"")</f>
        <v>Account 4</v>
      </c>
      <c r="D215" s="99" t="str">
        <f t="array" ref="D215">_xlfn.XLOOKUP(A215,'Video Database'!L:L,'Video Database'!G:G,"")</f>
        <v>Gruns Greens Popsicle Firecracker Gummies</v>
      </c>
      <c r="E215" s="100">
        <f t="array" ref="E215">_xlfn.XLOOKUP(A215,'Video Database'!L:L,'Video Database'!H:H,"")</f>
        <v>1.1</v>
      </c>
      <c r="F215" s="101">
        <v>0.0</v>
      </c>
      <c r="G215" s="87">
        <v>0.0</v>
      </c>
      <c r="H215" s="114">
        <f t="array" ref="H215">_xlfn.XLOOKUP(A215,'Video Database'!L:L,'Video Database'!A:A,"")</f>
        <v>46186</v>
      </c>
      <c r="I215" s="103">
        <v>46201.0</v>
      </c>
      <c r="J215" s="104">
        <v>0.0</v>
      </c>
      <c r="K215" s="105"/>
      <c r="L215" s="105" t="str">
        <f t="shared" si="1"/>
        <v/>
      </c>
      <c r="O215" s="106" t="str">
        <f t="shared" si="2"/>
        <v>#N/A</v>
      </c>
      <c r="P215" s="106" t="str">
        <f t="shared" si="3"/>
        <v>#N/A</v>
      </c>
      <c r="Q215" s="84" t="str">
        <f t="shared" si="4"/>
        <v>#N/A</v>
      </c>
      <c r="R215" s="84" t="str">
        <f t="shared" si="5"/>
        <v>#N/A</v>
      </c>
      <c r="S215" s="107">
        <f t="shared" si="6"/>
        <v>-1.1</v>
      </c>
      <c r="T215" s="108">
        <f t="shared" si="7"/>
        <v>-1</v>
      </c>
      <c r="U215" s="106" t="str">
        <f t="shared" si="8"/>
        <v>#N/A</v>
      </c>
      <c r="V215" s="84" t="str">
        <f t="shared" si="9"/>
        <v/>
      </c>
      <c r="W215" s="109" t="str">
        <f t="shared" si="10"/>
        <v/>
      </c>
      <c r="X215" s="109" t="str">
        <f t="shared" si="11"/>
        <v/>
      </c>
      <c r="Y215" s="110" t="str">
        <f t="array" ref="Y215">_xlfn.XLOOKUP(A215,'Video Database'!L:L,'Video Database'!M:M,"")</f>
        <v>Bottom of Funnel</v>
      </c>
    </row>
    <row r="216" ht="22.5" customHeight="1">
      <c r="A216" s="113">
        <f t="shared" si="12"/>
        <v>215</v>
      </c>
      <c r="B216" s="98" t="str">
        <f t="array" ref="B216">_xlfn.XLOOKUP(A216,'Video Database'!L:L,'Video Database'!D:D,"")</f>
        <v>Brittney</v>
      </c>
      <c r="C216" s="98" t="str">
        <f t="array" ref="C216">_xlfn.XLOOKUP(A216,'Video Database'!L:L,'Video Database'!E:E,"")</f>
        <v>Account 4</v>
      </c>
      <c r="D216" s="99" t="str">
        <f t="array" ref="D216">_xlfn.XLOOKUP(A216,'Video Database'!L:L,'Video Database'!G:G,"")</f>
        <v>Gruns Greens Popsicle Firecracker Gummies</v>
      </c>
      <c r="E216" s="100">
        <f t="array" ref="E216">_xlfn.XLOOKUP(A216,'Video Database'!L:L,'Video Database'!H:H,"")</f>
        <v>1.1</v>
      </c>
      <c r="F216" s="101">
        <v>0.0</v>
      </c>
      <c r="G216" s="87">
        <v>0.0</v>
      </c>
      <c r="H216" s="114">
        <f t="array" ref="H216">_xlfn.XLOOKUP(A216,'Video Database'!L:L,'Video Database'!A:A,"")</f>
        <v>46186</v>
      </c>
      <c r="I216" s="103">
        <v>46201.0</v>
      </c>
      <c r="J216" s="104">
        <v>0.0</v>
      </c>
      <c r="K216" s="105"/>
      <c r="L216" s="105" t="str">
        <f t="shared" si="1"/>
        <v/>
      </c>
      <c r="O216" s="106" t="str">
        <f t="shared" si="2"/>
        <v>#N/A</v>
      </c>
      <c r="P216" s="106" t="str">
        <f t="shared" si="3"/>
        <v>#N/A</v>
      </c>
      <c r="Q216" s="84" t="str">
        <f t="shared" si="4"/>
        <v>#N/A</v>
      </c>
      <c r="R216" s="84" t="str">
        <f t="shared" si="5"/>
        <v>#N/A</v>
      </c>
      <c r="S216" s="107">
        <f t="shared" si="6"/>
        <v>-1.1</v>
      </c>
      <c r="T216" s="108">
        <f t="shared" si="7"/>
        <v>-1</v>
      </c>
      <c r="U216" s="106" t="str">
        <f t="shared" si="8"/>
        <v>#N/A</v>
      </c>
      <c r="V216" s="84" t="str">
        <f t="shared" si="9"/>
        <v/>
      </c>
      <c r="W216" s="109" t="str">
        <f t="shared" si="10"/>
        <v/>
      </c>
      <c r="X216" s="109" t="str">
        <f t="shared" si="11"/>
        <v/>
      </c>
      <c r="Y216" s="110" t="str">
        <f t="array" ref="Y216">_xlfn.XLOOKUP(A216,'Video Database'!L:L,'Video Database'!M:M,"")</f>
        <v>Bottom of Funnel</v>
      </c>
    </row>
    <row r="217" ht="22.5" customHeight="1">
      <c r="A217" s="113">
        <f t="shared" si="12"/>
        <v>216</v>
      </c>
      <c r="B217" s="98" t="str">
        <f t="array" ref="B217">_xlfn.XLOOKUP(A217,'Video Database'!L:L,'Video Database'!D:D,"")</f>
        <v>Brittney</v>
      </c>
      <c r="C217" s="98" t="str">
        <f t="array" ref="C217">_xlfn.XLOOKUP(A217,'Video Database'!L:L,'Video Database'!E:E,"")</f>
        <v>Account 4</v>
      </c>
      <c r="D217" s="99" t="str">
        <f t="array" ref="D217">_xlfn.XLOOKUP(A217,'Video Database'!L:L,'Video Database'!G:G,"")</f>
        <v>Gruns Greens Popsicle Firecracker Gummies</v>
      </c>
      <c r="E217" s="100">
        <f t="array" ref="E217">_xlfn.XLOOKUP(A217,'Video Database'!L:L,'Video Database'!H:H,"")</f>
        <v>1.1</v>
      </c>
      <c r="F217" s="101">
        <v>0.0</v>
      </c>
      <c r="G217" s="87">
        <v>0.0</v>
      </c>
      <c r="H217" s="114">
        <f t="array" ref="H217">_xlfn.XLOOKUP(A217,'Video Database'!L:L,'Video Database'!A:A,"")</f>
        <v>46186</v>
      </c>
      <c r="I217" s="103">
        <v>46201.0</v>
      </c>
      <c r="J217" s="104">
        <v>0.0</v>
      </c>
      <c r="K217" s="105"/>
      <c r="L217" s="105" t="str">
        <f t="shared" si="1"/>
        <v/>
      </c>
      <c r="O217" s="106" t="str">
        <f t="shared" si="2"/>
        <v>#N/A</v>
      </c>
      <c r="P217" s="106" t="str">
        <f t="shared" si="3"/>
        <v>#N/A</v>
      </c>
      <c r="Q217" s="84" t="str">
        <f t="shared" si="4"/>
        <v>#N/A</v>
      </c>
      <c r="R217" s="84" t="str">
        <f t="shared" si="5"/>
        <v>#N/A</v>
      </c>
      <c r="S217" s="107">
        <f t="shared" si="6"/>
        <v>-1.1</v>
      </c>
      <c r="T217" s="108">
        <f t="shared" si="7"/>
        <v>-1</v>
      </c>
      <c r="U217" s="106" t="str">
        <f t="shared" si="8"/>
        <v>#N/A</v>
      </c>
      <c r="V217" s="84" t="str">
        <f t="shared" si="9"/>
        <v/>
      </c>
      <c r="W217" s="109" t="str">
        <f t="shared" si="10"/>
        <v/>
      </c>
      <c r="X217" s="109" t="str">
        <f t="shared" si="11"/>
        <v/>
      </c>
      <c r="Y217" s="110" t="str">
        <f t="array" ref="Y217">_xlfn.XLOOKUP(A217,'Video Database'!L:L,'Video Database'!M:M,"")</f>
        <v>Bottom of Funnel</v>
      </c>
    </row>
    <row r="218" ht="22.5" customHeight="1">
      <c r="A218" s="113">
        <f t="shared" si="12"/>
        <v>217</v>
      </c>
      <c r="B218" s="98" t="str">
        <f t="array" ref="B218">_xlfn.XLOOKUP(A218,'Video Database'!L:L,'Video Database'!D:D,"")</f>
        <v>Brittney</v>
      </c>
      <c r="C218" s="98" t="str">
        <f t="array" ref="C218">_xlfn.XLOOKUP(A218,'Video Database'!L:L,'Video Database'!E:E,"")</f>
        <v>Account 4</v>
      </c>
      <c r="D218" s="99" t="str">
        <f t="array" ref="D218">_xlfn.XLOOKUP(A218,'Video Database'!L:L,'Video Database'!G:G,"")</f>
        <v>Gruns Greens Popsicle Firecracker Gummies</v>
      </c>
      <c r="E218" s="100">
        <f t="array" ref="E218">_xlfn.XLOOKUP(A218,'Video Database'!L:L,'Video Database'!H:H,"")</f>
        <v>1.1</v>
      </c>
      <c r="F218" s="101">
        <v>0.0</v>
      </c>
      <c r="G218" s="87">
        <v>0.0</v>
      </c>
      <c r="H218" s="114">
        <f t="array" ref="H218">_xlfn.XLOOKUP(A218,'Video Database'!L:L,'Video Database'!A:A,"")</f>
        <v>46186</v>
      </c>
      <c r="I218" s="103">
        <v>46201.0</v>
      </c>
      <c r="J218" s="104">
        <v>0.0</v>
      </c>
      <c r="K218" s="105"/>
      <c r="L218" s="105" t="str">
        <f t="shared" si="1"/>
        <v/>
      </c>
      <c r="O218" s="106" t="str">
        <f t="shared" si="2"/>
        <v>#N/A</v>
      </c>
      <c r="P218" s="106" t="str">
        <f t="shared" si="3"/>
        <v>#N/A</v>
      </c>
      <c r="Q218" s="84" t="str">
        <f t="shared" si="4"/>
        <v>#N/A</v>
      </c>
      <c r="R218" s="84" t="str">
        <f t="shared" si="5"/>
        <v>#N/A</v>
      </c>
      <c r="S218" s="107">
        <f t="shared" si="6"/>
        <v>-1.1</v>
      </c>
      <c r="T218" s="108">
        <f t="shared" si="7"/>
        <v>-1</v>
      </c>
      <c r="U218" s="106" t="str">
        <f t="shared" si="8"/>
        <v>#N/A</v>
      </c>
      <c r="V218" s="84" t="str">
        <f t="shared" si="9"/>
        <v/>
      </c>
      <c r="W218" s="109" t="str">
        <f t="shared" si="10"/>
        <v/>
      </c>
      <c r="X218" s="109" t="str">
        <f t="shared" si="11"/>
        <v/>
      </c>
      <c r="Y218" s="110" t="str">
        <f t="array" ref="Y218">_xlfn.XLOOKUP(A218,'Video Database'!L:L,'Video Database'!M:M,"")</f>
        <v>Bottom of Funnel</v>
      </c>
    </row>
    <row r="219" ht="22.5" customHeight="1">
      <c r="A219" s="113">
        <f t="shared" si="12"/>
        <v>218</v>
      </c>
      <c r="B219" s="98" t="str">
        <f t="array" ref="B219">_xlfn.XLOOKUP(A219,'Video Database'!L:L,'Video Database'!D:D,"")</f>
        <v>Brittney</v>
      </c>
      <c r="C219" s="98" t="str">
        <f t="array" ref="C219">_xlfn.XLOOKUP(A219,'Video Database'!L:L,'Video Database'!E:E,"")</f>
        <v>Account 4</v>
      </c>
      <c r="D219" s="99" t="str">
        <f t="array" ref="D219">_xlfn.XLOOKUP(A219,'Video Database'!L:L,'Video Database'!G:G,"")</f>
        <v>Gruns Greens Popsicle Firecracker Gummies</v>
      </c>
      <c r="E219" s="100">
        <f t="array" ref="E219">_xlfn.XLOOKUP(A219,'Video Database'!L:L,'Video Database'!H:H,"")</f>
        <v>1.1</v>
      </c>
      <c r="F219" s="101">
        <v>0.0</v>
      </c>
      <c r="G219" s="87">
        <v>0.0</v>
      </c>
      <c r="H219" s="114">
        <f t="array" ref="H219">_xlfn.XLOOKUP(A219,'Video Database'!L:L,'Video Database'!A:A,"")</f>
        <v>46186</v>
      </c>
      <c r="I219" s="103">
        <v>46201.0</v>
      </c>
      <c r="J219" s="104">
        <v>0.0</v>
      </c>
      <c r="K219" s="105"/>
      <c r="L219" s="105" t="str">
        <f t="shared" si="1"/>
        <v/>
      </c>
      <c r="O219" s="106" t="str">
        <f t="shared" si="2"/>
        <v>#N/A</v>
      </c>
      <c r="P219" s="106" t="str">
        <f t="shared" si="3"/>
        <v>#N/A</v>
      </c>
      <c r="Q219" s="84" t="str">
        <f t="shared" si="4"/>
        <v>#N/A</v>
      </c>
      <c r="R219" s="84" t="str">
        <f t="shared" si="5"/>
        <v>#N/A</v>
      </c>
      <c r="S219" s="107">
        <f t="shared" si="6"/>
        <v>-1.1</v>
      </c>
      <c r="T219" s="108">
        <f t="shared" si="7"/>
        <v>-1</v>
      </c>
      <c r="U219" s="106" t="str">
        <f t="shared" si="8"/>
        <v>#N/A</v>
      </c>
      <c r="V219" s="84" t="str">
        <f t="shared" si="9"/>
        <v/>
      </c>
      <c r="W219" s="109" t="str">
        <f t="shared" si="10"/>
        <v/>
      </c>
      <c r="X219" s="109" t="str">
        <f t="shared" si="11"/>
        <v/>
      </c>
      <c r="Y219" s="110" t="str">
        <f t="array" ref="Y219">_xlfn.XLOOKUP(A219,'Video Database'!L:L,'Video Database'!M:M,"")</f>
        <v>Bottom of Funnel</v>
      </c>
    </row>
    <row r="220" ht="22.5" customHeight="1">
      <c r="A220" s="113">
        <f t="shared" si="12"/>
        <v>219</v>
      </c>
      <c r="B220" s="98" t="str">
        <f t="array" ref="B220">_xlfn.XLOOKUP(A220,'Video Database'!L:L,'Video Database'!D:D,"")</f>
        <v>Brittney</v>
      </c>
      <c r="C220" s="98" t="str">
        <f t="array" ref="C220">_xlfn.XLOOKUP(A220,'Video Database'!L:L,'Video Database'!E:E,"")</f>
        <v>Account 4</v>
      </c>
      <c r="D220" s="99" t="str">
        <f t="array" ref="D220">_xlfn.XLOOKUP(A220,'Video Database'!L:L,'Video Database'!G:G,"")</f>
        <v>Gruns Greens Popsicle Firecracker Gummies</v>
      </c>
      <c r="E220" s="100">
        <f t="array" ref="E220">_xlfn.XLOOKUP(A220,'Video Database'!L:L,'Video Database'!H:H,"")</f>
        <v>1.1</v>
      </c>
      <c r="F220" s="101">
        <v>0.0</v>
      </c>
      <c r="G220" s="87">
        <v>0.0</v>
      </c>
      <c r="H220" s="114">
        <f t="array" ref="H220">_xlfn.XLOOKUP(A220,'Video Database'!L:L,'Video Database'!A:A,"")</f>
        <v>46186</v>
      </c>
      <c r="I220" s="103">
        <v>46201.0</v>
      </c>
      <c r="J220" s="104">
        <v>0.0</v>
      </c>
      <c r="K220" s="105"/>
      <c r="L220" s="105" t="str">
        <f t="shared" si="1"/>
        <v/>
      </c>
      <c r="O220" s="106" t="str">
        <f t="shared" si="2"/>
        <v>#N/A</v>
      </c>
      <c r="P220" s="106" t="str">
        <f t="shared" si="3"/>
        <v>#N/A</v>
      </c>
      <c r="Q220" s="84" t="str">
        <f t="shared" si="4"/>
        <v>#N/A</v>
      </c>
      <c r="R220" s="84" t="str">
        <f t="shared" si="5"/>
        <v>#N/A</v>
      </c>
      <c r="S220" s="107">
        <f t="shared" si="6"/>
        <v>-1.1</v>
      </c>
      <c r="T220" s="108">
        <f t="shared" si="7"/>
        <v>-1</v>
      </c>
      <c r="U220" s="106" t="str">
        <f t="shared" si="8"/>
        <v>#N/A</v>
      </c>
      <c r="V220" s="84" t="str">
        <f t="shared" si="9"/>
        <v/>
      </c>
      <c r="W220" s="109" t="str">
        <f t="shared" si="10"/>
        <v/>
      </c>
      <c r="X220" s="109" t="str">
        <f t="shared" si="11"/>
        <v/>
      </c>
      <c r="Y220" s="110" t="str">
        <f t="array" ref="Y220">_xlfn.XLOOKUP(A220,'Video Database'!L:L,'Video Database'!M:M,"")</f>
        <v>Bottom of Funnel</v>
      </c>
    </row>
    <row r="221" ht="22.5" customHeight="1">
      <c r="A221" s="113">
        <f t="shared" si="12"/>
        <v>220</v>
      </c>
      <c r="B221" s="98" t="str">
        <f t="array" ref="B221">_xlfn.XLOOKUP(A221,'Video Database'!L:L,'Video Database'!D:D,"")</f>
        <v>Brittney</v>
      </c>
      <c r="C221" s="98" t="str">
        <f t="array" ref="C221">_xlfn.XLOOKUP(A221,'Video Database'!L:L,'Video Database'!E:E,"")</f>
        <v>Account 4</v>
      </c>
      <c r="D221" s="99" t="str">
        <f t="array" ref="D221">_xlfn.XLOOKUP(A221,'Video Database'!L:L,'Video Database'!G:G,"")</f>
        <v>Gruns Greens Popsicle Firecracker Gummies</v>
      </c>
      <c r="E221" s="100">
        <f t="array" ref="E221">_xlfn.XLOOKUP(A221,'Video Database'!L:L,'Video Database'!H:H,"")</f>
        <v>1.1</v>
      </c>
      <c r="F221" s="101">
        <v>0.0</v>
      </c>
      <c r="G221" s="87">
        <v>0.0</v>
      </c>
      <c r="H221" s="114">
        <f t="array" ref="H221">_xlfn.XLOOKUP(A221,'Video Database'!L:L,'Video Database'!A:A,"")</f>
        <v>46186</v>
      </c>
      <c r="I221" s="103">
        <v>46201.0</v>
      </c>
      <c r="J221" s="104">
        <v>0.0</v>
      </c>
      <c r="K221" s="105"/>
      <c r="L221" s="105" t="str">
        <f t="shared" si="1"/>
        <v/>
      </c>
      <c r="O221" s="106" t="str">
        <f t="shared" si="2"/>
        <v>#N/A</v>
      </c>
      <c r="P221" s="106" t="str">
        <f t="shared" si="3"/>
        <v>#N/A</v>
      </c>
      <c r="Q221" s="84" t="str">
        <f t="shared" si="4"/>
        <v>#N/A</v>
      </c>
      <c r="R221" s="84" t="str">
        <f t="shared" si="5"/>
        <v>#N/A</v>
      </c>
      <c r="S221" s="107">
        <f t="shared" si="6"/>
        <v>-1.1</v>
      </c>
      <c r="T221" s="108">
        <f t="shared" si="7"/>
        <v>-1</v>
      </c>
      <c r="U221" s="106" t="str">
        <f t="shared" si="8"/>
        <v>#N/A</v>
      </c>
      <c r="V221" s="84" t="str">
        <f t="shared" si="9"/>
        <v/>
      </c>
      <c r="W221" s="109" t="str">
        <f t="shared" si="10"/>
        <v/>
      </c>
      <c r="X221" s="109" t="str">
        <f t="shared" si="11"/>
        <v/>
      </c>
      <c r="Y221" s="110" t="str">
        <f t="array" ref="Y221">_xlfn.XLOOKUP(A221,'Video Database'!L:L,'Video Database'!M:M,"")</f>
        <v>Bottom of Funnel</v>
      </c>
    </row>
    <row r="222" ht="22.5" customHeight="1">
      <c r="A222" s="113">
        <f t="shared" si="12"/>
        <v>221</v>
      </c>
      <c r="B222" s="98" t="str">
        <f t="array" ref="B222">_xlfn.XLOOKUP(A222,'Video Database'!L:L,'Video Database'!D:D,"")</f>
        <v>Brittney</v>
      </c>
      <c r="C222" s="98" t="str">
        <f t="array" ref="C222">_xlfn.XLOOKUP(A222,'Video Database'!L:L,'Video Database'!E:E,"")</f>
        <v>Account 4</v>
      </c>
      <c r="D222" s="99" t="str">
        <f t="array" ref="D222">_xlfn.XLOOKUP(A222,'Video Database'!L:L,'Video Database'!G:G,"")</f>
        <v>Gruns Greens Popsicle Firecracker Gummies</v>
      </c>
      <c r="E222" s="100">
        <f t="array" ref="E222">_xlfn.XLOOKUP(A222,'Video Database'!L:L,'Video Database'!H:H,"")</f>
        <v>1.1</v>
      </c>
      <c r="F222" s="101">
        <v>0.0</v>
      </c>
      <c r="G222" s="87">
        <v>0.0</v>
      </c>
      <c r="H222" s="114">
        <f t="array" ref="H222">_xlfn.XLOOKUP(A222,'Video Database'!L:L,'Video Database'!A:A,"")</f>
        <v>46186</v>
      </c>
      <c r="I222" s="103">
        <v>46201.0</v>
      </c>
      <c r="J222" s="104">
        <v>0.0</v>
      </c>
      <c r="K222" s="105"/>
      <c r="L222" s="105" t="str">
        <f t="shared" si="1"/>
        <v/>
      </c>
      <c r="O222" s="106" t="str">
        <f t="shared" si="2"/>
        <v>#N/A</v>
      </c>
      <c r="P222" s="106" t="str">
        <f t="shared" si="3"/>
        <v>#N/A</v>
      </c>
      <c r="Q222" s="84" t="str">
        <f t="shared" si="4"/>
        <v>#N/A</v>
      </c>
      <c r="R222" s="84" t="str">
        <f t="shared" si="5"/>
        <v>#N/A</v>
      </c>
      <c r="S222" s="107">
        <f t="shared" si="6"/>
        <v>-1.1</v>
      </c>
      <c r="T222" s="108">
        <f t="shared" si="7"/>
        <v>-1</v>
      </c>
      <c r="U222" s="106" t="str">
        <f t="shared" si="8"/>
        <v>#N/A</v>
      </c>
      <c r="V222" s="84" t="str">
        <f t="shared" si="9"/>
        <v/>
      </c>
      <c r="W222" s="109" t="str">
        <f t="shared" si="10"/>
        <v/>
      </c>
      <c r="X222" s="109" t="str">
        <f t="shared" si="11"/>
        <v/>
      </c>
      <c r="Y222" s="110" t="str">
        <f t="array" ref="Y222">_xlfn.XLOOKUP(A222,'Video Database'!L:L,'Video Database'!M:M,"")</f>
        <v>Bottom of Funnel</v>
      </c>
    </row>
    <row r="223" ht="22.5" customHeight="1">
      <c r="A223" s="113">
        <f t="shared" si="12"/>
        <v>222</v>
      </c>
      <c r="B223" s="98" t="str">
        <f t="array" ref="B223">_xlfn.XLOOKUP(A223,'Video Database'!L:L,'Video Database'!D:D,"")</f>
        <v>Brittney</v>
      </c>
      <c r="C223" s="98" t="str">
        <f t="array" ref="C223">_xlfn.XLOOKUP(A223,'Video Database'!L:L,'Video Database'!E:E,"")</f>
        <v>Account 4</v>
      </c>
      <c r="D223" s="99" t="str">
        <f t="array" ref="D223">_xlfn.XLOOKUP(A223,'Video Database'!L:L,'Video Database'!G:G,"")</f>
        <v>Gruns Greens Popsicle Firecracker Gummies</v>
      </c>
      <c r="E223" s="100">
        <f t="array" ref="E223">_xlfn.XLOOKUP(A223,'Video Database'!L:L,'Video Database'!H:H,"")</f>
        <v>1.1</v>
      </c>
      <c r="F223" s="101">
        <v>17.49</v>
      </c>
      <c r="G223" s="87">
        <v>1.0</v>
      </c>
      <c r="H223" s="114">
        <f t="array" ref="H223">_xlfn.XLOOKUP(A223,'Video Database'!L:L,'Video Database'!A:A,"")</f>
        <v>46186</v>
      </c>
      <c r="I223" s="103">
        <v>46201.0</v>
      </c>
      <c r="J223" s="104">
        <v>2.62</v>
      </c>
      <c r="K223" s="87">
        <v>2.0</v>
      </c>
      <c r="L223" s="105">
        <f t="shared" si="1"/>
        <v>1200</v>
      </c>
      <c r="M223" s="87">
        <v>1200.0</v>
      </c>
      <c r="O223" s="106">
        <f t="shared" si="2"/>
        <v>0.001666666667</v>
      </c>
      <c r="P223" s="106">
        <f t="shared" si="3"/>
        <v>0.5</v>
      </c>
      <c r="Q223" s="84">
        <f t="shared" si="4"/>
        <v>2.62</v>
      </c>
      <c r="R223" s="84">
        <f t="shared" si="5"/>
        <v>17.49</v>
      </c>
      <c r="S223" s="107">
        <f t="shared" si="6"/>
        <v>1.52</v>
      </c>
      <c r="T223" s="108">
        <f t="shared" si="7"/>
        <v>1.381818182</v>
      </c>
      <c r="U223" s="106">
        <f t="shared" si="8"/>
        <v>0.5801526718</v>
      </c>
      <c r="V223" s="129">
        <f t="shared" si="9"/>
        <v>1.1</v>
      </c>
      <c r="W223" s="109">
        <f t="shared" si="10"/>
        <v>0.55</v>
      </c>
      <c r="X223" s="109">
        <f t="shared" si="11"/>
        <v>6.289308176</v>
      </c>
      <c r="Y223" s="110" t="str">
        <f t="array" ref="Y223">_xlfn.XLOOKUP(A223,'Video Database'!L:L,'Video Database'!M:M,"")</f>
        <v>Bottom of Funnel</v>
      </c>
    </row>
    <row r="224" ht="22.5" customHeight="1">
      <c r="A224" s="113">
        <f t="shared" si="12"/>
        <v>223</v>
      </c>
      <c r="B224" s="98" t="str">
        <f t="array" ref="B224">_xlfn.XLOOKUP(A224,'Video Database'!L:L,'Video Database'!D:D,"")</f>
        <v>Brittney</v>
      </c>
      <c r="C224" s="98" t="str">
        <f t="array" ref="C224">_xlfn.XLOOKUP(A224,'Video Database'!L:L,'Video Database'!E:E,"")</f>
        <v>Account 4</v>
      </c>
      <c r="D224" s="99" t="str">
        <f t="array" ref="D224">_xlfn.XLOOKUP(A224,'Video Database'!L:L,'Video Database'!G:G,"")</f>
        <v>Gruns Greens Popsicle Firecracker Gummies</v>
      </c>
      <c r="E224" s="100">
        <f t="array" ref="E224">_xlfn.XLOOKUP(A224,'Video Database'!L:L,'Video Database'!H:H,"")</f>
        <v>1.1</v>
      </c>
      <c r="F224" s="101">
        <v>0.0</v>
      </c>
      <c r="G224" s="87">
        <v>0.0</v>
      </c>
      <c r="H224" s="114">
        <f t="array" ref="H224">_xlfn.XLOOKUP(A224,'Video Database'!L:L,'Video Database'!A:A,"")</f>
        <v>46186</v>
      </c>
      <c r="I224" s="103">
        <v>46201.0</v>
      </c>
      <c r="J224" s="104">
        <v>0.0</v>
      </c>
      <c r="K224" s="105"/>
      <c r="L224" s="105" t="str">
        <f t="shared" si="1"/>
        <v/>
      </c>
      <c r="O224" s="106" t="str">
        <f t="shared" si="2"/>
        <v>#N/A</v>
      </c>
      <c r="P224" s="106" t="str">
        <f t="shared" si="3"/>
        <v>#N/A</v>
      </c>
      <c r="Q224" s="84" t="str">
        <f t="shared" si="4"/>
        <v>#N/A</v>
      </c>
      <c r="R224" s="84" t="str">
        <f t="shared" si="5"/>
        <v>#N/A</v>
      </c>
      <c r="S224" s="107">
        <f t="shared" si="6"/>
        <v>-1.1</v>
      </c>
      <c r="T224" s="108">
        <f t="shared" si="7"/>
        <v>-1</v>
      </c>
      <c r="U224" s="106" t="str">
        <f t="shared" si="8"/>
        <v>#N/A</v>
      </c>
      <c r="V224" s="84" t="str">
        <f t="shared" si="9"/>
        <v/>
      </c>
      <c r="W224" s="109" t="str">
        <f t="shared" si="10"/>
        <v/>
      </c>
      <c r="X224" s="109" t="str">
        <f t="shared" si="11"/>
        <v/>
      </c>
      <c r="Y224" s="110" t="str">
        <f t="array" ref="Y224">_xlfn.XLOOKUP(A224,'Video Database'!L:L,'Video Database'!M:M,"")</f>
        <v>Bottom of Funnel</v>
      </c>
    </row>
    <row r="225" ht="22.5" customHeight="1">
      <c r="A225" s="113">
        <f t="shared" si="12"/>
        <v>224</v>
      </c>
      <c r="B225" s="98" t="str">
        <f t="array" ref="B225">_xlfn.XLOOKUP(A225,'Video Database'!L:L,'Video Database'!D:D,"")</f>
        <v>Brittney</v>
      </c>
      <c r="C225" s="98" t="str">
        <f t="array" ref="C225">_xlfn.XLOOKUP(A225,'Video Database'!L:L,'Video Database'!E:E,"")</f>
        <v>Account 4</v>
      </c>
      <c r="D225" s="99" t="str">
        <f t="array" ref="D225">_xlfn.XLOOKUP(A225,'Video Database'!L:L,'Video Database'!G:G,"")</f>
        <v>Gruns Greens Popsicle Firecracker Gummies</v>
      </c>
      <c r="E225" s="100">
        <f t="array" ref="E225">_xlfn.XLOOKUP(A225,'Video Database'!L:L,'Video Database'!H:H,"")</f>
        <v>1.1</v>
      </c>
      <c r="F225" s="101">
        <v>0.0</v>
      </c>
      <c r="G225" s="87">
        <v>0.0</v>
      </c>
      <c r="H225" s="114">
        <f t="array" ref="H225">_xlfn.XLOOKUP(A225,'Video Database'!L:L,'Video Database'!A:A,"")</f>
        <v>46186</v>
      </c>
      <c r="I225" s="103">
        <v>46201.0</v>
      </c>
      <c r="J225" s="104">
        <v>0.0</v>
      </c>
      <c r="K225" s="105"/>
      <c r="L225" s="105" t="str">
        <f t="shared" si="1"/>
        <v/>
      </c>
      <c r="O225" s="106" t="str">
        <f t="shared" si="2"/>
        <v>#N/A</v>
      </c>
      <c r="P225" s="106" t="str">
        <f t="shared" si="3"/>
        <v>#N/A</v>
      </c>
      <c r="Q225" s="84" t="str">
        <f t="shared" si="4"/>
        <v>#N/A</v>
      </c>
      <c r="R225" s="84" t="str">
        <f t="shared" si="5"/>
        <v>#N/A</v>
      </c>
      <c r="S225" s="107">
        <f t="shared" si="6"/>
        <v>-1.1</v>
      </c>
      <c r="T225" s="108">
        <f t="shared" si="7"/>
        <v>-1</v>
      </c>
      <c r="U225" s="106" t="str">
        <f t="shared" si="8"/>
        <v>#N/A</v>
      </c>
      <c r="V225" s="84" t="str">
        <f t="shared" si="9"/>
        <v/>
      </c>
      <c r="W225" s="109" t="str">
        <f t="shared" si="10"/>
        <v/>
      </c>
      <c r="X225" s="109" t="str">
        <f t="shared" si="11"/>
        <v/>
      </c>
      <c r="Y225" s="110" t="str">
        <f t="array" ref="Y225">_xlfn.XLOOKUP(A225,'Video Database'!L:L,'Video Database'!M:M,"")</f>
        <v>Bottom of Funnel</v>
      </c>
    </row>
    <row r="226" ht="22.5" customHeight="1">
      <c r="A226" s="113">
        <f t="shared" si="12"/>
        <v>225</v>
      </c>
      <c r="B226" s="98" t="str">
        <f t="array" ref="B226">_xlfn.XLOOKUP(A226,'Video Database'!L:L,'Video Database'!D:D,"")</f>
        <v>Brittney</v>
      </c>
      <c r="C226" s="98" t="str">
        <f t="array" ref="C226">_xlfn.XLOOKUP(A226,'Video Database'!L:L,'Video Database'!E:E,"")</f>
        <v>Account 4</v>
      </c>
      <c r="D226" s="99" t="str">
        <f t="array" ref="D226">_xlfn.XLOOKUP(A226,'Video Database'!L:L,'Video Database'!G:G,"")</f>
        <v>Gruns Greens Popsicle Firecracker Gummies</v>
      </c>
      <c r="E226" s="100">
        <f t="array" ref="E226">_xlfn.XLOOKUP(A226,'Video Database'!L:L,'Video Database'!H:H,"")</f>
        <v>1.1</v>
      </c>
      <c r="F226" s="101">
        <v>0.0</v>
      </c>
      <c r="G226" s="87">
        <v>0.0</v>
      </c>
      <c r="H226" s="114">
        <f t="array" ref="H226">_xlfn.XLOOKUP(A226,'Video Database'!L:L,'Video Database'!A:A,"")</f>
        <v>46186</v>
      </c>
      <c r="I226" s="103">
        <v>46201.0</v>
      </c>
      <c r="J226" s="104">
        <v>0.0</v>
      </c>
      <c r="K226" s="105"/>
      <c r="L226" s="105" t="str">
        <f t="shared" si="1"/>
        <v/>
      </c>
      <c r="O226" s="106" t="str">
        <f t="shared" si="2"/>
        <v>#N/A</v>
      </c>
      <c r="P226" s="106" t="str">
        <f t="shared" si="3"/>
        <v>#N/A</v>
      </c>
      <c r="Q226" s="84" t="str">
        <f t="shared" si="4"/>
        <v>#N/A</v>
      </c>
      <c r="R226" s="84" t="str">
        <f t="shared" si="5"/>
        <v>#N/A</v>
      </c>
      <c r="S226" s="107">
        <f t="shared" si="6"/>
        <v>-1.1</v>
      </c>
      <c r="T226" s="108">
        <f t="shared" si="7"/>
        <v>-1</v>
      </c>
      <c r="U226" s="106" t="str">
        <f t="shared" si="8"/>
        <v>#N/A</v>
      </c>
      <c r="V226" s="84" t="str">
        <f t="shared" si="9"/>
        <v/>
      </c>
      <c r="W226" s="109" t="str">
        <f t="shared" si="10"/>
        <v/>
      </c>
      <c r="X226" s="109" t="str">
        <f t="shared" si="11"/>
        <v/>
      </c>
      <c r="Y226" s="110" t="str">
        <f t="array" ref="Y226">_xlfn.XLOOKUP(A226,'Video Database'!L:L,'Video Database'!M:M,"")</f>
        <v>Bottom of Funnel</v>
      </c>
    </row>
    <row r="227" ht="22.5" customHeight="1">
      <c r="A227" s="113">
        <f t="shared" si="12"/>
        <v>226</v>
      </c>
      <c r="B227" s="98" t="str">
        <f t="array" ref="B227">_xlfn.XLOOKUP(A227,'Video Database'!L:L,'Video Database'!D:D,"")</f>
        <v>Brittney</v>
      </c>
      <c r="C227" s="98" t="str">
        <f t="array" ref="C227">_xlfn.XLOOKUP(A227,'Video Database'!L:L,'Video Database'!E:E,"")</f>
        <v>Account 4</v>
      </c>
      <c r="D227" s="99" t="str">
        <f t="array" ref="D227">_xlfn.XLOOKUP(A227,'Video Database'!L:L,'Video Database'!G:G,"")</f>
        <v>Gruns Greens Popsicle Firecracker Gummies</v>
      </c>
      <c r="E227" s="100">
        <f t="array" ref="E227">_xlfn.XLOOKUP(A227,'Video Database'!L:L,'Video Database'!H:H,"")</f>
        <v>1.1</v>
      </c>
      <c r="F227" s="101">
        <v>0.0</v>
      </c>
      <c r="G227" s="87">
        <v>0.0</v>
      </c>
      <c r="H227" s="114">
        <f t="array" ref="H227">_xlfn.XLOOKUP(A227,'Video Database'!L:L,'Video Database'!A:A,"")</f>
        <v>46186</v>
      </c>
      <c r="I227" s="103">
        <v>46201.0</v>
      </c>
      <c r="J227" s="104">
        <v>0.0</v>
      </c>
      <c r="K227" s="105"/>
      <c r="L227" s="105" t="str">
        <f t="shared" si="1"/>
        <v/>
      </c>
      <c r="O227" s="106" t="str">
        <f t="shared" si="2"/>
        <v>#N/A</v>
      </c>
      <c r="P227" s="106" t="str">
        <f t="shared" si="3"/>
        <v>#N/A</v>
      </c>
      <c r="Q227" s="84" t="str">
        <f t="shared" si="4"/>
        <v>#N/A</v>
      </c>
      <c r="R227" s="84" t="str">
        <f t="shared" si="5"/>
        <v>#N/A</v>
      </c>
      <c r="S227" s="107">
        <f t="shared" si="6"/>
        <v>-1.1</v>
      </c>
      <c r="T227" s="108">
        <f t="shared" si="7"/>
        <v>-1</v>
      </c>
      <c r="U227" s="106" t="str">
        <f t="shared" si="8"/>
        <v>#N/A</v>
      </c>
      <c r="V227" s="84" t="str">
        <f t="shared" si="9"/>
        <v/>
      </c>
      <c r="W227" s="109" t="str">
        <f t="shared" si="10"/>
        <v/>
      </c>
      <c r="X227" s="109" t="str">
        <f t="shared" si="11"/>
        <v/>
      </c>
      <c r="Y227" s="110" t="str">
        <f t="array" ref="Y227">_xlfn.XLOOKUP(A227,'Video Database'!L:L,'Video Database'!M:M,"")</f>
        <v>Bottom of Funnel</v>
      </c>
    </row>
    <row r="228" ht="22.5" customHeight="1">
      <c r="A228" s="113">
        <f t="shared" si="12"/>
        <v>227</v>
      </c>
      <c r="B228" s="98" t="str">
        <f t="array" ref="B228">_xlfn.XLOOKUP(A228,'Video Database'!L:L,'Video Database'!D:D,"")</f>
        <v>Brittney</v>
      </c>
      <c r="C228" s="98" t="str">
        <f t="array" ref="C228">_xlfn.XLOOKUP(A228,'Video Database'!L:L,'Video Database'!E:E,"")</f>
        <v>Account 4</v>
      </c>
      <c r="D228" s="99" t="str">
        <f t="array" ref="D228">_xlfn.XLOOKUP(A228,'Video Database'!L:L,'Video Database'!G:G,"")</f>
        <v>Gruns Greens Popsicle Firecracker Gummies</v>
      </c>
      <c r="E228" s="100">
        <f t="array" ref="E228">_xlfn.XLOOKUP(A228,'Video Database'!L:L,'Video Database'!H:H,"")</f>
        <v>1.1</v>
      </c>
      <c r="F228" s="101">
        <v>0.0</v>
      </c>
      <c r="G228" s="87">
        <v>0.0</v>
      </c>
      <c r="H228" s="114">
        <f t="array" ref="H228">_xlfn.XLOOKUP(A228,'Video Database'!L:L,'Video Database'!A:A,"")</f>
        <v>46186</v>
      </c>
      <c r="I228" s="103">
        <v>46201.0</v>
      </c>
      <c r="J228" s="104">
        <v>0.0</v>
      </c>
      <c r="K228" s="105"/>
      <c r="L228" s="105" t="str">
        <f t="shared" si="1"/>
        <v/>
      </c>
      <c r="O228" s="106" t="str">
        <f t="shared" si="2"/>
        <v>#N/A</v>
      </c>
      <c r="P228" s="106" t="str">
        <f t="shared" si="3"/>
        <v>#N/A</v>
      </c>
      <c r="Q228" s="84" t="str">
        <f t="shared" si="4"/>
        <v>#N/A</v>
      </c>
      <c r="R228" s="84" t="str">
        <f t="shared" si="5"/>
        <v>#N/A</v>
      </c>
      <c r="S228" s="107">
        <f t="shared" si="6"/>
        <v>-1.1</v>
      </c>
      <c r="T228" s="108">
        <f t="shared" si="7"/>
        <v>-1</v>
      </c>
      <c r="U228" s="106" t="str">
        <f t="shared" si="8"/>
        <v>#N/A</v>
      </c>
      <c r="V228" s="84" t="str">
        <f t="shared" si="9"/>
        <v/>
      </c>
      <c r="W228" s="109" t="str">
        <f t="shared" si="10"/>
        <v/>
      </c>
      <c r="X228" s="109" t="str">
        <f t="shared" si="11"/>
        <v/>
      </c>
      <c r="Y228" s="110" t="str">
        <f t="array" ref="Y228">_xlfn.XLOOKUP(A228,'Video Database'!L:L,'Video Database'!M:M,"")</f>
        <v>Bottom of Funnel</v>
      </c>
    </row>
    <row r="229" ht="22.5" customHeight="1">
      <c r="A229" s="113">
        <f t="shared" si="12"/>
        <v>228</v>
      </c>
      <c r="B229" s="98" t="str">
        <f t="array" ref="B229">_xlfn.XLOOKUP(A229,'Video Database'!L:L,'Video Database'!D:D,"")</f>
        <v>Brittney</v>
      </c>
      <c r="C229" s="98" t="str">
        <f t="array" ref="C229">_xlfn.XLOOKUP(A229,'Video Database'!L:L,'Video Database'!E:E,"")</f>
        <v>Account 4</v>
      </c>
      <c r="D229" s="99" t="str">
        <f t="array" ref="D229">_xlfn.XLOOKUP(A229,'Video Database'!L:L,'Video Database'!G:G,"")</f>
        <v>Gruns Greens Popsicle Firecracker Gummies</v>
      </c>
      <c r="E229" s="100">
        <f t="array" ref="E229">_xlfn.XLOOKUP(A229,'Video Database'!L:L,'Video Database'!H:H,"")</f>
        <v>1.1</v>
      </c>
      <c r="F229" s="101">
        <v>0.0</v>
      </c>
      <c r="G229" s="87">
        <v>0.0</v>
      </c>
      <c r="H229" s="114">
        <f t="array" ref="H229">_xlfn.XLOOKUP(A229,'Video Database'!L:L,'Video Database'!A:A,"")</f>
        <v>46186</v>
      </c>
      <c r="I229" s="103">
        <v>46201.0</v>
      </c>
      <c r="J229" s="104">
        <v>0.0</v>
      </c>
      <c r="K229" s="105"/>
      <c r="L229" s="105" t="str">
        <f t="shared" si="1"/>
        <v/>
      </c>
      <c r="O229" s="106" t="str">
        <f t="shared" si="2"/>
        <v>#N/A</v>
      </c>
      <c r="P229" s="106" t="str">
        <f t="shared" si="3"/>
        <v>#N/A</v>
      </c>
      <c r="Q229" s="84" t="str">
        <f t="shared" si="4"/>
        <v>#N/A</v>
      </c>
      <c r="R229" s="84" t="str">
        <f t="shared" si="5"/>
        <v>#N/A</v>
      </c>
      <c r="S229" s="107">
        <f t="shared" si="6"/>
        <v>-1.1</v>
      </c>
      <c r="T229" s="108">
        <f t="shared" si="7"/>
        <v>-1</v>
      </c>
      <c r="U229" s="106" t="str">
        <f t="shared" si="8"/>
        <v>#N/A</v>
      </c>
      <c r="V229" s="84" t="str">
        <f t="shared" si="9"/>
        <v/>
      </c>
      <c r="W229" s="109" t="str">
        <f t="shared" si="10"/>
        <v/>
      </c>
      <c r="X229" s="109" t="str">
        <f t="shared" si="11"/>
        <v/>
      </c>
      <c r="Y229" s="110" t="str">
        <f t="array" ref="Y229">_xlfn.XLOOKUP(A229,'Video Database'!L:L,'Video Database'!M:M,"")</f>
        <v>Bottom of Funnel</v>
      </c>
    </row>
    <row r="230" ht="22.5" customHeight="1">
      <c r="A230" s="113">
        <f t="shared" si="12"/>
        <v>229</v>
      </c>
      <c r="B230" s="98" t="str">
        <f t="array" ref="B230">_xlfn.XLOOKUP(A230,'Video Database'!L:L,'Video Database'!D:D,"")</f>
        <v>Brittney</v>
      </c>
      <c r="C230" s="98" t="str">
        <f t="array" ref="C230">_xlfn.XLOOKUP(A230,'Video Database'!L:L,'Video Database'!E:E,"")</f>
        <v>Account 4</v>
      </c>
      <c r="D230" s="99" t="str">
        <f t="array" ref="D230">_xlfn.XLOOKUP(A230,'Video Database'!L:L,'Video Database'!G:G,"")</f>
        <v>Gruns Greens Popsicle Firecracker Gummies</v>
      </c>
      <c r="E230" s="100">
        <f t="array" ref="E230">_xlfn.XLOOKUP(A230,'Video Database'!L:L,'Video Database'!H:H,"")</f>
        <v>1.1</v>
      </c>
      <c r="F230" s="101">
        <v>0.0</v>
      </c>
      <c r="G230" s="87">
        <v>0.0</v>
      </c>
      <c r="H230" s="114">
        <f t="array" ref="H230">_xlfn.XLOOKUP(A230,'Video Database'!L:L,'Video Database'!A:A,"")</f>
        <v>46186</v>
      </c>
      <c r="I230" s="103">
        <v>46201.0</v>
      </c>
      <c r="J230" s="104">
        <v>0.0</v>
      </c>
      <c r="K230" s="105"/>
      <c r="L230" s="105" t="str">
        <f t="shared" si="1"/>
        <v/>
      </c>
      <c r="O230" s="106" t="str">
        <f t="shared" si="2"/>
        <v>#N/A</v>
      </c>
      <c r="P230" s="106" t="str">
        <f t="shared" si="3"/>
        <v>#N/A</v>
      </c>
      <c r="Q230" s="84" t="str">
        <f t="shared" si="4"/>
        <v>#N/A</v>
      </c>
      <c r="R230" s="84" t="str">
        <f t="shared" si="5"/>
        <v>#N/A</v>
      </c>
      <c r="S230" s="107">
        <f t="shared" si="6"/>
        <v>-1.1</v>
      </c>
      <c r="T230" s="108">
        <f t="shared" si="7"/>
        <v>-1</v>
      </c>
      <c r="U230" s="106" t="str">
        <f t="shared" si="8"/>
        <v>#N/A</v>
      </c>
      <c r="V230" s="84" t="str">
        <f t="shared" si="9"/>
        <v/>
      </c>
      <c r="W230" s="109" t="str">
        <f t="shared" si="10"/>
        <v/>
      </c>
      <c r="X230" s="109" t="str">
        <f t="shared" si="11"/>
        <v/>
      </c>
      <c r="Y230" s="110" t="str">
        <f t="array" ref="Y230">_xlfn.XLOOKUP(A230,'Video Database'!L:L,'Video Database'!M:M,"")</f>
        <v>Bottom of Funnel</v>
      </c>
    </row>
    <row r="231" ht="22.5" customHeight="1">
      <c r="A231" s="113">
        <f t="shared" si="12"/>
        <v>230</v>
      </c>
      <c r="B231" s="98" t="str">
        <f t="array" ref="B231">_xlfn.XLOOKUP(A231,'Video Database'!L:L,'Video Database'!D:D,"")</f>
        <v>Brittney</v>
      </c>
      <c r="C231" s="98" t="str">
        <f t="array" ref="C231">_xlfn.XLOOKUP(A231,'Video Database'!L:L,'Video Database'!E:E,"")</f>
        <v>Account 4</v>
      </c>
      <c r="D231" s="99" t="str">
        <f t="array" ref="D231">_xlfn.XLOOKUP(A231,'Video Database'!L:L,'Video Database'!G:G,"")</f>
        <v>Gruns Greens Popsicle Firecracker Gummies</v>
      </c>
      <c r="E231" s="100">
        <f t="array" ref="E231">_xlfn.XLOOKUP(A231,'Video Database'!L:L,'Video Database'!H:H,"")</f>
        <v>1.1</v>
      </c>
      <c r="F231" s="101">
        <v>0.0</v>
      </c>
      <c r="G231" s="87">
        <v>0.0</v>
      </c>
      <c r="H231" s="114">
        <f t="array" ref="H231">_xlfn.XLOOKUP(A231,'Video Database'!L:L,'Video Database'!A:A,"")</f>
        <v>46186</v>
      </c>
      <c r="I231" s="103">
        <v>46201.0</v>
      </c>
      <c r="J231" s="104">
        <v>0.0</v>
      </c>
      <c r="K231" s="105"/>
      <c r="L231" s="105" t="str">
        <f t="shared" si="1"/>
        <v/>
      </c>
      <c r="O231" s="106" t="str">
        <f t="shared" si="2"/>
        <v>#N/A</v>
      </c>
      <c r="P231" s="106" t="str">
        <f t="shared" si="3"/>
        <v>#N/A</v>
      </c>
      <c r="Q231" s="84" t="str">
        <f t="shared" si="4"/>
        <v>#N/A</v>
      </c>
      <c r="R231" s="84" t="str">
        <f t="shared" si="5"/>
        <v>#N/A</v>
      </c>
      <c r="S231" s="107">
        <f t="shared" si="6"/>
        <v>-1.1</v>
      </c>
      <c r="T231" s="108">
        <f t="shared" si="7"/>
        <v>-1</v>
      </c>
      <c r="U231" s="106" t="str">
        <f t="shared" si="8"/>
        <v>#N/A</v>
      </c>
      <c r="V231" s="84" t="str">
        <f t="shared" si="9"/>
        <v/>
      </c>
      <c r="W231" s="109" t="str">
        <f t="shared" si="10"/>
        <v/>
      </c>
      <c r="X231" s="109" t="str">
        <f t="shared" si="11"/>
        <v/>
      </c>
      <c r="Y231" s="110" t="str">
        <f t="array" ref="Y231">_xlfn.XLOOKUP(A231,'Video Database'!L:L,'Video Database'!M:M,"")</f>
        <v>Bottom of Funnel</v>
      </c>
    </row>
    <row r="232" ht="22.5" customHeight="1">
      <c r="A232" s="113">
        <f t="shared" si="12"/>
        <v>231</v>
      </c>
      <c r="B232" s="98" t="str">
        <f t="array" ref="B232">_xlfn.XLOOKUP(A232,'Video Database'!L:L,'Video Database'!D:D,"")</f>
        <v>Brittney</v>
      </c>
      <c r="C232" s="98" t="str">
        <f t="array" ref="C232">_xlfn.XLOOKUP(A232,'Video Database'!L:L,'Video Database'!E:E,"")</f>
        <v>Account 4</v>
      </c>
      <c r="D232" s="99" t="str">
        <f t="array" ref="D232">_xlfn.XLOOKUP(A232,'Video Database'!L:L,'Video Database'!G:G,"")</f>
        <v>Gruns Greens Popsicle Firecracker Gummies</v>
      </c>
      <c r="E232" s="100">
        <f t="array" ref="E232">_xlfn.XLOOKUP(A232,'Video Database'!L:L,'Video Database'!H:H,"")</f>
        <v>1.1</v>
      </c>
      <c r="F232" s="101">
        <v>0.0</v>
      </c>
      <c r="G232" s="87">
        <v>0.0</v>
      </c>
      <c r="H232" s="114">
        <f t="array" ref="H232">_xlfn.XLOOKUP(A232,'Video Database'!L:L,'Video Database'!A:A,"")</f>
        <v>46186</v>
      </c>
      <c r="I232" s="103">
        <v>46201.0</v>
      </c>
      <c r="J232" s="104">
        <v>0.0</v>
      </c>
      <c r="K232" s="105"/>
      <c r="L232" s="105" t="str">
        <f t="shared" si="1"/>
        <v/>
      </c>
      <c r="O232" s="106" t="str">
        <f t="shared" si="2"/>
        <v>#N/A</v>
      </c>
      <c r="P232" s="106" t="str">
        <f t="shared" si="3"/>
        <v>#N/A</v>
      </c>
      <c r="Q232" s="84" t="str">
        <f t="shared" si="4"/>
        <v>#N/A</v>
      </c>
      <c r="R232" s="84" t="str">
        <f t="shared" si="5"/>
        <v>#N/A</v>
      </c>
      <c r="S232" s="107">
        <f t="shared" si="6"/>
        <v>-1.1</v>
      </c>
      <c r="T232" s="108">
        <f t="shared" si="7"/>
        <v>-1</v>
      </c>
      <c r="U232" s="106" t="str">
        <f t="shared" si="8"/>
        <v>#N/A</v>
      </c>
      <c r="V232" s="84" t="str">
        <f t="shared" si="9"/>
        <v/>
      </c>
      <c r="W232" s="109" t="str">
        <f t="shared" si="10"/>
        <v/>
      </c>
      <c r="X232" s="109" t="str">
        <f t="shared" si="11"/>
        <v/>
      </c>
      <c r="Y232" s="110" t="str">
        <f t="array" ref="Y232">_xlfn.XLOOKUP(A232,'Video Database'!L:L,'Video Database'!M:M,"")</f>
        <v>Bottom of Funnel</v>
      </c>
    </row>
    <row r="233" ht="22.5" customHeight="1">
      <c r="A233" s="113">
        <f t="shared" si="12"/>
        <v>232</v>
      </c>
      <c r="B233" s="98" t="str">
        <f t="array" ref="B233">_xlfn.XLOOKUP(A233,'Video Database'!L:L,'Video Database'!D:D,"")</f>
        <v>Brittney</v>
      </c>
      <c r="C233" s="98" t="str">
        <f t="array" ref="C233">_xlfn.XLOOKUP(A233,'Video Database'!L:L,'Video Database'!E:E,"")</f>
        <v>Account 4</v>
      </c>
      <c r="D233" s="99" t="str">
        <f t="array" ref="D233">_xlfn.XLOOKUP(A233,'Video Database'!L:L,'Video Database'!G:G,"")</f>
        <v>Gruns Greens Popsicle Firecracker Gummies</v>
      </c>
      <c r="E233" s="100">
        <f t="array" ref="E233">_xlfn.XLOOKUP(A233,'Video Database'!L:L,'Video Database'!H:H,"")</f>
        <v>1.1</v>
      </c>
      <c r="F233" s="101">
        <v>0.0</v>
      </c>
      <c r="G233" s="87">
        <v>0.0</v>
      </c>
      <c r="H233" s="114">
        <f t="array" ref="H233">_xlfn.XLOOKUP(A233,'Video Database'!L:L,'Video Database'!A:A,"")</f>
        <v>46186</v>
      </c>
      <c r="I233" s="103">
        <v>46201.0</v>
      </c>
      <c r="J233" s="104">
        <v>0.0</v>
      </c>
      <c r="K233" s="105"/>
      <c r="L233" s="105" t="str">
        <f t="shared" si="1"/>
        <v/>
      </c>
      <c r="O233" s="106" t="str">
        <f t="shared" si="2"/>
        <v>#N/A</v>
      </c>
      <c r="P233" s="106" t="str">
        <f t="shared" si="3"/>
        <v>#N/A</v>
      </c>
      <c r="Q233" s="84" t="str">
        <f t="shared" si="4"/>
        <v>#N/A</v>
      </c>
      <c r="R233" s="84" t="str">
        <f t="shared" si="5"/>
        <v>#N/A</v>
      </c>
      <c r="S233" s="107">
        <f t="shared" si="6"/>
        <v>-1.1</v>
      </c>
      <c r="T233" s="108">
        <f t="shared" si="7"/>
        <v>-1</v>
      </c>
      <c r="U233" s="106" t="str">
        <f t="shared" si="8"/>
        <v>#N/A</v>
      </c>
      <c r="V233" s="84" t="str">
        <f t="shared" si="9"/>
        <v/>
      </c>
      <c r="W233" s="109" t="str">
        <f t="shared" si="10"/>
        <v/>
      </c>
      <c r="X233" s="109" t="str">
        <f t="shared" si="11"/>
        <v/>
      </c>
      <c r="Y233" s="110" t="str">
        <f t="array" ref="Y233">_xlfn.XLOOKUP(A233,'Video Database'!L:L,'Video Database'!M:M,"")</f>
        <v>Bottom of Funnel</v>
      </c>
    </row>
    <row r="234" ht="22.5" customHeight="1">
      <c r="A234" s="113">
        <f t="shared" si="12"/>
        <v>233</v>
      </c>
      <c r="B234" s="98" t="str">
        <f t="array" ref="B234">_xlfn.XLOOKUP(A234,'Video Database'!L:L,'Video Database'!D:D,"")</f>
        <v>Brittney</v>
      </c>
      <c r="C234" s="98" t="str">
        <f t="array" ref="C234">_xlfn.XLOOKUP(A234,'Video Database'!L:L,'Video Database'!E:E,"")</f>
        <v>Account 4</v>
      </c>
      <c r="D234" s="99" t="str">
        <f t="array" ref="D234">_xlfn.XLOOKUP(A234,'Video Database'!L:L,'Video Database'!G:G,"")</f>
        <v>Gruns Greens Popsicle Firecracker Gummies</v>
      </c>
      <c r="E234" s="100">
        <f t="array" ref="E234">_xlfn.XLOOKUP(A234,'Video Database'!L:L,'Video Database'!H:H,"")</f>
        <v>1.1</v>
      </c>
      <c r="F234" s="101">
        <v>0.0</v>
      </c>
      <c r="G234" s="87">
        <v>0.0</v>
      </c>
      <c r="H234" s="114">
        <f t="array" ref="H234">_xlfn.XLOOKUP(A234,'Video Database'!L:L,'Video Database'!A:A,"")</f>
        <v>46186</v>
      </c>
      <c r="I234" s="103">
        <v>46201.0</v>
      </c>
      <c r="J234" s="104">
        <v>0.0</v>
      </c>
      <c r="K234" s="105"/>
      <c r="L234" s="105" t="str">
        <f t="shared" si="1"/>
        <v/>
      </c>
      <c r="O234" s="106" t="str">
        <f t="shared" si="2"/>
        <v>#N/A</v>
      </c>
      <c r="P234" s="106" t="str">
        <f t="shared" si="3"/>
        <v>#N/A</v>
      </c>
      <c r="Q234" s="84" t="str">
        <f t="shared" si="4"/>
        <v>#N/A</v>
      </c>
      <c r="R234" s="84" t="str">
        <f t="shared" si="5"/>
        <v>#N/A</v>
      </c>
      <c r="S234" s="107">
        <f t="shared" si="6"/>
        <v>-1.1</v>
      </c>
      <c r="T234" s="108">
        <f t="shared" si="7"/>
        <v>-1</v>
      </c>
      <c r="U234" s="106" t="str">
        <f t="shared" si="8"/>
        <v>#N/A</v>
      </c>
      <c r="V234" s="84" t="str">
        <f t="shared" si="9"/>
        <v/>
      </c>
      <c r="W234" s="109" t="str">
        <f t="shared" si="10"/>
        <v/>
      </c>
      <c r="X234" s="109" t="str">
        <f t="shared" si="11"/>
        <v/>
      </c>
      <c r="Y234" s="110" t="str">
        <f t="array" ref="Y234">_xlfn.XLOOKUP(A234,'Video Database'!L:L,'Video Database'!M:M,"")</f>
        <v>Bottom of Funnel</v>
      </c>
    </row>
    <row r="235" ht="22.5" customHeight="1">
      <c r="A235" s="113">
        <f t="shared" si="12"/>
        <v>234</v>
      </c>
      <c r="B235" s="98" t="str">
        <f t="array" ref="B235">_xlfn.XLOOKUP(A235,'Video Database'!L:L,'Video Database'!D:D,"")</f>
        <v>Brittney</v>
      </c>
      <c r="C235" s="98" t="str">
        <f t="array" ref="C235">_xlfn.XLOOKUP(A235,'Video Database'!L:L,'Video Database'!E:E,"")</f>
        <v>Account 4</v>
      </c>
      <c r="D235" s="99" t="str">
        <f t="array" ref="D235">_xlfn.XLOOKUP(A235,'Video Database'!L:L,'Video Database'!G:G,"")</f>
        <v>Gruns Greens Popsicle Firecracker Gummies</v>
      </c>
      <c r="E235" s="100">
        <f t="array" ref="E235">_xlfn.XLOOKUP(A235,'Video Database'!L:L,'Video Database'!H:H,"")</f>
        <v>1.1</v>
      </c>
      <c r="F235" s="101">
        <v>0.0</v>
      </c>
      <c r="G235" s="87">
        <v>0.0</v>
      </c>
      <c r="H235" s="114">
        <f t="array" ref="H235">_xlfn.XLOOKUP(A235,'Video Database'!L:L,'Video Database'!A:A,"")</f>
        <v>46186</v>
      </c>
      <c r="I235" s="103">
        <v>46201.0</v>
      </c>
      <c r="J235" s="104">
        <v>0.0</v>
      </c>
      <c r="K235" s="105"/>
      <c r="L235" s="105" t="str">
        <f t="shared" si="1"/>
        <v/>
      </c>
      <c r="O235" s="106" t="str">
        <f t="shared" si="2"/>
        <v>#N/A</v>
      </c>
      <c r="P235" s="106" t="str">
        <f t="shared" si="3"/>
        <v>#N/A</v>
      </c>
      <c r="Q235" s="84" t="str">
        <f t="shared" si="4"/>
        <v>#N/A</v>
      </c>
      <c r="R235" s="84" t="str">
        <f t="shared" si="5"/>
        <v>#N/A</v>
      </c>
      <c r="S235" s="107">
        <f t="shared" si="6"/>
        <v>-1.1</v>
      </c>
      <c r="T235" s="108">
        <f t="shared" si="7"/>
        <v>-1</v>
      </c>
      <c r="U235" s="106" t="str">
        <f t="shared" si="8"/>
        <v>#N/A</v>
      </c>
      <c r="V235" s="84" t="str">
        <f t="shared" si="9"/>
        <v/>
      </c>
      <c r="W235" s="109" t="str">
        <f t="shared" si="10"/>
        <v/>
      </c>
      <c r="X235" s="109" t="str">
        <f t="shared" si="11"/>
        <v/>
      </c>
      <c r="Y235" s="110" t="str">
        <f t="array" ref="Y235">_xlfn.XLOOKUP(A235,'Video Database'!L:L,'Video Database'!M:M,"")</f>
        <v>Bottom of Funnel</v>
      </c>
    </row>
    <row r="236" ht="22.5" customHeight="1">
      <c r="A236" s="113">
        <f t="shared" si="12"/>
        <v>235</v>
      </c>
      <c r="B236" s="98" t="str">
        <f t="array" ref="B236">_xlfn.XLOOKUP(A236,'Video Database'!L:L,'Video Database'!D:D,"")</f>
        <v>Blakely</v>
      </c>
      <c r="C236" s="98" t="str">
        <f t="array" ref="C236">_xlfn.XLOOKUP(A236,'Video Database'!L:L,'Video Database'!E:E,"")</f>
        <v>Account 3</v>
      </c>
      <c r="D236" s="99" t="str">
        <f t="array" ref="D236">_xlfn.XLOOKUP(A236,'Video Database'!L:L,'Video Database'!G:G,"")</f>
        <v>Nutricost Creatine Monohydrate</v>
      </c>
      <c r="E236" s="100">
        <f t="array" ref="E236">_xlfn.XLOOKUP(A236,'Video Database'!L:L,'Video Database'!H:H,"")</f>
        <v>0.11</v>
      </c>
      <c r="F236" s="101">
        <v>0.0</v>
      </c>
      <c r="G236" s="87">
        <v>0.0</v>
      </c>
      <c r="H236" s="114">
        <f t="array" ref="H236">_xlfn.XLOOKUP(A236,'Video Database'!L:L,'Video Database'!A:A,"")</f>
        <v>46187</v>
      </c>
      <c r="I236" s="103">
        <v>46201.0</v>
      </c>
      <c r="J236" s="104">
        <v>0.0</v>
      </c>
      <c r="K236" s="105"/>
      <c r="L236" s="105" t="str">
        <f t="shared" si="1"/>
        <v/>
      </c>
      <c r="O236" s="106" t="str">
        <f t="shared" si="2"/>
        <v>#N/A</v>
      </c>
      <c r="P236" s="106" t="str">
        <f t="shared" si="3"/>
        <v>#N/A</v>
      </c>
      <c r="Q236" s="84" t="str">
        <f t="shared" si="4"/>
        <v>#N/A</v>
      </c>
      <c r="R236" s="84" t="str">
        <f t="shared" si="5"/>
        <v>#N/A</v>
      </c>
      <c r="S236" s="107">
        <f t="shared" si="6"/>
        <v>-0.11</v>
      </c>
      <c r="T236" s="108">
        <f t="shared" si="7"/>
        <v>-1</v>
      </c>
      <c r="U236" s="106" t="str">
        <f t="shared" si="8"/>
        <v>#N/A</v>
      </c>
      <c r="V236" s="84" t="str">
        <f t="shared" si="9"/>
        <v/>
      </c>
      <c r="W236" s="109" t="str">
        <f t="shared" si="10"/>
        <v/>
      </c>
      <c r="X236" s="109" t="str">
        <f t="shared" si="11"/>
        <v/>
      </c>
      <c r="Y236" s="110" t="str">
        <f t="array" ref="Y236">_xlfn.XLOOKUP(A236,'Video Database'!L:L,'Video Database'!M:M,"")</f>
        <v>Product Overlay</v>
      </c>
    </row>
    <row r="237" ht="22.5" customHeight="1">
      <c r="A237" s="113">
        <f t="shared" si="12"/>
        <v>236</v>
      </c>
      <c r="B237" s="98" t="str">
        <f t="array" ref="B237">_xlfn.XLOOKUP(A237,'Video Database'!L:L,'Video Database'!D:D,"")</f>
        <v>Blakely</v>
      </c>
      <c r="C237" s="98" t="str">
        <f t="array" ref="C237">_xlfn.XLOOKUP(A237,'Video Database'!L:L,'Video Database'!E:E,"")</f>
        <v>Account 3</v>
      </c>
      <c r="D237" s="99" t="str">
        <f t="array" ref="D237">_xlfn.XLOOKUP(A237,'Video Database'!L:L,'Video Database'!G:G,"")</f>
        <v>Mushroom Coffee</v>
      </c>
      <c r="E237" s="100">
        <f t="array" ref="E237">_xlfn.XLOOKUP(A237,'Video Database'!L:L,'Video Database'!H:H,"")</f>
        <v>0.11</v>
      </c>
      <c r="F237" s="101">
        <v>0.0</v>
      </c>
      <c r="G237" s="87">
        <v>0.0</v>
      </c>
      <c r="H237" s="114">
        <f t="array" ref="H237">_xlfn.XLOOKUP(A237,'Video Database'!L:L,'Video Database'!A:A,"")</f>
        <v>46187</v>
      </c>
      <c r="I237" s="103">
        <v>46201.0</v>
      </c>
      <c r="J237" s="104">
        <v>0.0</v>
      </c>
      <c r="K237" s="105"/>
      <c r="L237" s="105" t="str">
        <f t="shared" si="1"/>
        <v/>
      </c>
      <c r="O237" s="106" t="str">
        <f t="shared" si="2"/>
        <v>#N/A</v>
      </c>
      <c r="P237" s="106" t="str">
        <f t="shared" si="3"/>
        <v>#N/A</v>
      </c>
      <c r="Q237" s="84" t="str">
        <f t="shared" si="4"/>
        <v>#N/A</v>
      </c>
      <c r="R237" s="84" t="str">
        <f t="shared" si="5"/>
        <v>#N/A</v>
      </c>
      <c r="S237" s="107">
        <f t="shared" si="6"/>
        <v>-0.11</v>
      </c>
      <c r="T237" s="108">
        <f t="shared" si="7"/>
        <v>-1</v>
      </c>
      <c r="U237" s="106" t="str">
        <f t="shared" si="8"/>
        <v>#N/A</v>
      </c>
      <c r="V237" s="84" t="str">
        <f t="shared" si="9"/>
        <v/>
      </c>
      <c r="W237" s="109" t="str">
        <f t="shared" si="10"/>
        <v/>
      </c>
      <c r="X237" s="109" t="str">
        <f t="shared" si="11"/>
        <v/>
      </c>
      <c r="Y237" s="110" t="str">
        <f t="array" ref="Y237">_xlfn.XLOOKUP(A237,'Video Database'!L:L,'Video Database'!M:M,"")</f>
        <v>Product Overlay</v>
      </c>
    </row>
    <row r="238" ht="22.5" customHeight="1">
      <c r="A238" s="113">
        <f t="shared" si="12"/>
        <v>237</v>
      </c>
      <c r="B238" s="98" t="str">
        <f t="array" ref="B238">_xlfn.XLOOKUP(A238,'Video Database'!L:L,'Video Database'!D:D,"")</f>
        <v>Blakely</v>
      </c>
      <c r="C238" s="98" t="str">
        <f t="array" ref="C238">_xlfn.XLOOKUP(A238,'Video Database'!L:L,'Video Database'!E:E,"")</f>
        <v>Account 3</v>
      </c>
      <c r="D238" s="99" t="str">
        <f t="array" ref="D238">_xlfn.XLOOKUP(A238,'Video Database'!L:L,'Video Database'!G:G,"")</f>
        <v>Beast Bites Creatine Gummies</v>
      </c>
      <c r="E238" s="100">
        <f t="array" ref="E238">_xlfn.XLOOKUP(A238,'Video Database'!L:L,'Video Database'!H:H,"")</f>
        <v>0.11</v>
      </c>
      <c r="F238" s="101">
        <v>0.0</v>
      </c>
      <c r="G238" s="87">
        <v>0.0</v>
      </c>
      <c r="H238" s="114">
        <f t="array" ref="H238">_xlfn.XLOOKUP(A238,'Video Database'!L:L,'Video Database'!A:A,"")</f>
        <v>46187</v>
      </c>
      <c r="I238" s="103">
        <v>46201.0</v>
      </c>
      <c r="J238" s="104">
        <v>0.0</v>
      </c>
      <c r="K238" s="105"/>
      <c r="L238" s="105" t="str">
        <f t="shared" si="1"/>
        <v/>
      </c>
      <c r="O238" s="106" t="str">
        <f t="shared" si="2"/>
        <v>#N/A</v>
      </c>
      <c r="P238" s="106" t="str">
        <f t="shared" si="3"/>
        <v>#N/A</v>
      </c>
      <c r="Q238" s="84" t="str">
        <f t="shared" si="4"/>
        <v>#N/A</v>
      </c>
      <c r="R238" s="84" t="str">
        <f t="shared" si="5"/>
        <v>#N/A</v>
      </c>
      <c r="S238" s="107">
        <f t="shared" si="6"/>
        <v>-0.11</v>
      </c>
      <c r="T238" s="108">
        <f t="shared" si="7"/>
        <v>-1</v>
      </c>
      <c r="U238" s="106" t="str">
        <f t="shared" si="8"/>
        <v>#N/A</v>
      </c>
      <c r="V238" s="84" t="str">
        <f t="shared" si="9"/>
        <v/>
      </c>
      <c r="W238" s="109" t="str">
        <f t="shared" si="10"/>
        <v/>
      </c>
      <c r="X238" s="109" t="str">
        <f t="shared" si="11"/>
        <v/>
      </c>
      <c r="Y238" s="110" t="str">
        <f t="array" ref="Y238">_xlfn.XLOOKUP(A238,'Video Database'!L:L,'Video Database'!M:M,"")</f>
        <v>Product Overlay</v>
      </c>
    </row>
    <row r="239" ht="22.5" customHeight="1">
      <c r="A239" s="113">
        <f t="shared" si="12"/>
        <v>238</v>
      </c>
      <c r="B239" s="98" t="str">
        <f t="array" ref="B239">_xlfn.XLOOKUP(A239,'Video Database'!L:L,'Video Database'!D:D,"")</f>
        <v>Blakely</v>
      </c>
      <c r="C239" s="98" t="str">
        <f t="array" ref="C239">_xlfn.XLOOKUP(A239,'Video Database'!L:L,'Video Database'!E:E,"")</f>
        <v>Account 3</v>
      </c>
      <c r="D239" s="99" t="str">
        <f t="array" ref="D239">_xlfn.XLOOKUP(A239,'Video Database'!L:L,'Video Database'!G:G,"")</f>
        <v>Neurogum Watermelon</v>
      </c>
      <c r="E239" s="100">
        <f t="array" ref="E239">_xlfn.XLOOKUP(A239,'Video Database'!L:L,'Video Database'!H:H,"")</f>
        <v>0.11</v>
      </c>
      <c r="F239" s="101">
        <v>0.0</v>
      </c>
      <c r="G239" s="87">
        <v>0.0</v>
      </c>
      <c r="H239" s="114">
        <f t="array" ref="H239">_xlfn.XLOOKUP(A239,'Video Database'!L:L,'Video Database'!A:A,"")</f>
        <v>46187</v>
      </c>
      <c r="I239" s="103">
        <v>46201.0</v>
      </c>
      <c r="J239" s="104">
        <v>0.0</v>
      </c>
      <c r="K239" s="105"/>
      <c r="L239" s="105" t="str">
        <f t="shared" si="1"/>
        <v/>
      </c>
      <c r="O239" s="106" t="str">
        <f t="shared" si="2"/>
        <v>#N/A</v>
      </c>
      <c r="P239" s="106" t="str">
        <f t="shared" si="3"/>
        <v>#N/A</v>
      </c>
      <c r="Q239" s="84" t="str">
        <f t="shared" si="4"/>
        <v>#N/A</v>
      </c>
      <c r="R239" s="84" t="str">
        <f t="shared" si="5"/>
        <v>#N/A</v>
      </c>
      <c r="S239" s="107">
        <f t="shared" si="6"/>
        <v>-0.11</v>
      </c>
      <c r="T239" s="108">
        <f t="shared" si="7"/>
        <v>-1</v>
      </c>
      <c r="U239" s="106" t="str">
        <f t="shared" si="8"/>
        <v>#N/A</v>
      </c>
      <c r="V239" s="84" t="str">
        <f t="shared" si="9"/>
        <v/>
      </c>
      <c r="W239" s="109" t="str">
        <f t="shared" si="10"/>
        <v/>
      </c>
      <c r="X239" s="109" t="str">
        <f t="shared" si="11"/>
        <v/>
      </c>
      <c r="Y239" s="110" t="str">
        <f t="array" ref="Y239">_xlfn.XLOOKUP(A239,'Video Database'!L:L,'Video Database'!M:M,"")</f>
        <v>Product Overlay</v>
      </c>
    </row>
    <row r="240" ht="22.5" customHeight="1">
      <c r="A240" s="113">
        <f t="shared" si="12"/>
        <v>239</v>
      </c>
      <c r="B240" s="98" t="str">
        <f t="array" ref="B240">_xlfn.XLOOKUP(A240,'Video Database'!L:L,'Video Database'!D:D,"")</f>
        <v>Blakely</v>
      </c>
      <c r="C240" s="98" t="str">
        <f t="array" ref="C240">_xlfn.XLOOKUP(A240,'Video Database'!L:L,'Video Database'!E:E,"")</f>
        <v>Account 3</v>
      </c>
      <c r="D240" s="99" t="str">
        <f t="array" ref="D240">_xlfn.XLOOKUP(A240,'Video Database'!L:L,'Video Database'!G:G,"")</f>
        <v>Physician's Choice Probiotic Gummies</v>
      </c>
      <c r="E240" s="100">
        <f t="array" ref="E240">_xlfn.XLOOKUP(A240,'Video Database'!L:L,'Video Database'!H:H,"")</f>
        <v>0.11</v>
      </c>
      <c r="F240" s="101">
        <v>0.0</v>
      </c>
      <c r="G240" s="87">
        <v>0.0</v>
      </c>
      <c r="H240" s="114">
        <f t="array" ref="H240">_xlfn.XLOOKUP(A240,'Video Database'!L:L,'Video Database'!A:A,"")</f>
        <v>46187</v>
      </c>
      <c r="I240" s="103">
        <v>46201.0</v>
      </c>
      <c r="J240" s="104">
        <v>0.0</v>
      </c>
      <c r="K240" s="105"/>
      <c r="L240" s="105" t="str">
        <f t="shared" si="1"/>
        <v/>
      </c>
      <c r="O240" s="106" t="str">
        <f t="shared" si="2"/>
        <v>#N/A</v>
      </c>
      <c r="P240" s="106" t="str">
        <f t="shared" si="3"/>
        <v>#N/A</v>
      </c>
      <c r="Q240" s="84" t="str">
        <f t="shared" si="4"/>
        <v>#N/A</v>
      </c>
      <c r="R240" s="84" t="str">
        <f t="shared" si="5"/>
        <v>#N/A</v>
      </c>
      <c r="S240" s="107">
        <f t="shared" si="6"/>
        <v>-0.11</v>
      </c>
      <c r="T240" s="108">
        <f t="shared" si="7"/>
        <v>-1</v>
      </c>
      <c r="U240" s="106" t="str">
        <f t="shared" si="8"/>
        <v>#N/A</v>
      </c>
      <c r="V240" s="84" t="str">
        <f t="shared" si="9"/>
        <v/>
      </c>
      <c r="W240" s="109" t="str">
        <f t="shared" si="10"/>
        <v/>
      </c>
      <c r="X240" s="109" t="str">
        <f t="shared" si="11"/>
        <v/>
      </c>
      <c r="Y240" s="110" t="str">
        <f t="array" ref="Y240">_xlfn.XLOOKUP(A240,'Video Database'!L:L,'Video Database'!M:M,"")</f>
        <v>Product Overlay</v>
      </c>
    </row>
    <row r="241" ht="22.5" customHeight="1">
      <c r="A241" s="113">
        <f t="shared" si="12"/>
        <v>240</v>
      </c>
      <c r="B241" s="98" t="str">
        <f t="array" ref="B241">_xlfn.XLOOKUP(A241,'Video Database'!L:L,'Video Database'!D:D,"")</f>
        <v>Blakely</v>
      </c>
      <c r="C241" s="98" t="str">
        <f t="array" ref="C241">_xlfn.XLOOKUP(A241,'Video Database'!L:L,'Video Database'!E:E,"")</f>
        <v>Account 3</v>
      </c>
      <c r="D241" s="99" t="str">
        <f t="array" ref="D241">_xlfn.XLOOKUP(A241,'Video Database'!L:L,'Video Database'!G:G,"")</f>
        <v>Goli Women's Complete Multi Gummy</v>
      </c>
      <c r="E241" s="100">
        <f t="array" ref="E241">_xlfn.XLOOKUP(A241,'Video Database'!L:L,'Video Database'!H:H,"")</f>
        <v>0.11</v>
      </c>
      <c r="F241" s="101">
        <v>0.0</v>
      </c>
      <c r="G241" s="87">
        <v>0.0</v>
      </c>
      <c r="H241" s="114">
        <f t="array" ref="H241">_xlfn.XLOOKUP(A241,'Video Database'!L:L,'Video Database'!A:A,"")</f>
        <v>46187</v>
      </c>
      <c r="I241" s="103">
        <v>46201.0</v>
      </c>
      <c r="J241" s="104">
        <v>0.0</v>
      </c>
      <c r="K241" s="105"/>
      <c r="L241" s="105" t="str">
        <f t="shared" si="1"/>
        <v/>
      </c>
      <c r="O241" s="106" t="str">
        <f t="shared" si="2"/>
        <v>#N/A</v>
      </c>
      <c r="P241" s="106" t="str">
        <f t="shared" si="3"/>
        <v>#N/A</v>
      </c>
      <c r="Q241" s="84" t="str">
        <f t="shared" si="4"/>
        <v>#N/A</v>
      </c>
      <c r="R241" s="84" t="str">
        <f t="shared" si="5"/>
        <v>#N/A</v>
      </c>
      <c r="S241" s="107">
        <f t="shared" si="6"/>
        <v>-0.11</v>
      </c>
      <c r="T241" s="108">
        <f t="shared" si="7"/>
        <v>-1</v>
      </c>
      <c r="U241" s="106" t="str">
        <f t="shared" si="8"/>
        <v>#N/A</v>
      </c>
      <c r="V241" s="84" t="str">
        <f t="shared" si="9"/>
        <v/>
      </c>
      <c r="W241" s="109" t="str">
        <f t="shared" si="10"/>
        <v/>
      </c>
      <c r="X241" s="109" t="str">
        <f t="shared" si="11"/>
        <v/>
      </c>
      <c r="Y241" s="110" t="str">
        <f t="array" ref="Y241">_xlfn.XLOOKUP(A241,'Video Database'!L:L,'Video Database'!M:M,"")</f>
        <v>Product Overlay</v>
      </c>
    </row>
    <row r="242" ht="22.5" customHeight="1">
      <c r="A242" s="113">
        <f t="shared" si="12"/>
        <v>241</v>
      </c>
      <c r="B242" s="98" t="str">
        <f t="array" ref="B242">_xlfn.XLOOKUP(A242,'Video Database'!L:L,'Video Database'!D:D,"")</f>
        <v>Blakely</v>
      </c>
      <c r="C242" s="98" t="str">
        <f t="array" ref="C242">_xlfn.XLOOKUP(A242,'Video Database'!L:L,'Video Database'!E:E,"")</f>
        <v>Account 3</v>
      </c>
      <c r="D242" s="99" t="str">
        <f t="array" ref="D242">_xlfn.XLOOKUP(A242,'Video Database'!L:L,'Video Database'!G:G,"")</f>
        <v>Nello Supercalm Drink Mix</v>
      </c>
      <c r="E242" s="100">
        <f t="array" ref="E242">_xlfn.XLOOKUP(A242,'Video Database'!L:L,'Video Database'!H:H,"")</f>
        <v>0.11</v>
      </c>
      <c r="F242" s="101">
        <v>0.0</v>
      </c>
      <c r="G242" s="87">
        <v>0.0</v>
      </c>
      <c r="H242" s="114">
        <f t="array" ref="H242">_xlfn.XLOOKUP(A242,'Video Database'!L:L,'Video Database'!A:A,"")</f>
        <v>46187</v>
      </c>
      <c r="I242" s="103">
        <v>46201.0</v>
      </c>
      <c r="J242" s="104">
        <v>0.0</v>
      </c>
      <c r="K242" s="105"/>
      <c r="L242" s="105" t="str">
        <f t="shared" si="1"/>
        <v/>
      </c>
      <c r="O242" s="106" t="str">
        <f t="shared" si="2"/>
        <v>#N/A</v>
      </c>
      <c r="P242" s="106" t="str">
        <f t="shared" si="3"/>
        <v>#N/A</v>
      </c>
      <c r="Q242" s="84" t="str">
        <f t="shared" si="4"/>
        <v>#N/A</v>
      </c>
      <c r="R242" s="84" t="str">
        <f t="shared" si="5"/>
        <v>#N/A</v>
      </c>
      <c r="S242" s="107">
        <f t="shared" si="6"/>
        <v>-0.11</v>
      </c>
      <c r="T242" s="108">
        <f t="shared" si="7"/>
        <v>-1</v>
      </c>
      <c r="U242" s="106" t="str">
        <f t="shared" si="8"/>
        <v>#N/A</v>
      </c>
      <c r="V242" s="84" t="str">
        <f t="shared" si="9"/>
        <v/>
      </c>
      <c r="W242" s="109" t="str">
        <f t="shared" si="10"/>
        <v/>
      </c>
      <c r="X242" s="109" t="str">
        <f t="shared" si="11"/>
        <v/>
      </c>
      <c r="Y242" s="110" t="str">
        <f t="array" ref="Y242">_xlfn.XLOOKUP(A242,'Video Database'!L:L,'Video Database'!M:M,"")</f>
        <v>Product Overlay</v>
      </c>
    </row>
    <row r="243" ht="22.5" customHeight="1">
      <c r="A243" s="113">
        <f t="shared" si="12"/>
        <v>242</v>
      </c>
      <c r="B243" s="98" t="str">
        <f t="array" ref="B243">_xlfn.XLOOKUP(A243,'Video Database'!L:L,'Video Database'!D:D,"")</f>
        <v>Blakely</v>
      </c>
      <c r="C243" s="98" t="str">
        <f t="array" ref="C243">_xlfn.XLOOKUP(A243,'Video Database'!L:L,'Video Database'!E:E,"")</f>
        <v>Account 3</v>
      </c>
      <c r="D243" s="99" t="str">
        <f t="array" ref="D243">_xlfn.XLOOKUP(A243,'Video Database'!L:L,'Video Database'!G:G,"")</f>
        <v>BetterAlt Shilajit Honey Sticks</v>
      </c>
      <c r="E243" s="100">
        <f t="array" ref="E243">_xlfn.XLOOKUP(A243,'Video Database'!L:L,'Video Database'!H:H,"")</f>
        <v>0.11</v>
      </c>
      <c r="F243" s="101">
        <v>0.0</v>
      </c>
      <c r="G243" s="87">
        <v>0.0</v>
      </c>
      <c r="H243" s="114">
        <f t="array" ref="H243">_xlfn.XLOOKUP(A243,'Video Database'!L:L,'Video Database'!A:A,"")</f>
        <v>46187</v>
      </c>
      <c r="I243" s="103">
        <v>46201.0</v>
      </c>
      <c r="J243" s="104">
        <v>0.0</v>
      </c>
      <c r="K243" s="105"/>
      <c r="L243" s="105" t="str">
        <f t="shared" si="1"/>
        <v/>
      </c>
      <c r="O243" s="106" t="str">
        <f t="shared" si="2"/>
        <v>#N/A</v>
      </c>
      <c r="P243" s="106" t="str">
        <f t="shared" si="3"/>
        <v>#N/A</v>
      </c>
      <c r="Q243" s="84" t="str">
        <f t="shared" si="4"/>
        <v>#N/A</v>
      </c>
      <c r="R243" s="84" t="str">
        <f t="shared" si="5"/>
        <v>#N/A</v>
      </c>
      <c r="S243" s="107">
        <f t="shared" si="6"/>
        <v>-0.11</v>
      </c>
      <c r="T243" s="108">
        <f t="shared" si="7"/>
        <v>-1</v>
      </c>
      <c r="U243" s="106" t="str">
        <f t="shared" si="8"/>
        <v>#N/A</v>
      </c>
      <c r="V243" s="84" t="str">
        <f t="shared" si="9"/>
        <v/>
      </c>
      <c r="W243" s="109" t="str">
        <f t="shared" si="10"/>
        <v/>
      </c>
      <c r="X243" s="109" t="str">
        <f t="shared" si="11"/>
        <v/>
      </c>
      <c r="Y243" s="110" t="str">
        <f t="array" ref="Y243">_xlfn.XLOOKUP(A243,'Video Database'!L:L,'Video Database'!M:M,"")</f>
        <v>Product Overlay</v>
      </c>
    </row>
    <row r="244" ht="22.5" customHeight="1">
      <c r="A244" s="113">
        <f t="shared" si="12"/>
        <v>243</v>
      </c>
      <c r="B244" s="98" t="str">
        <f t="array" ref="B244">_xlfn.XLOOKUP(A244,'Video Database'!L:L,'Video Database'!D:D,"")</f>
        <v>Blakely</v>
      </c>
      <c r="C244" s="98" t="str">
        <f t="array" ref="C244">_xlfn.XLOOKUP(A244,'Video Database'!L:L,'Video Database'!E:E,"")</f>
        <v>Account 3</v>
      </c>
      <c r="D244" s="99" t="str">
        <f t="array" ref="D244">_xlfn.XLOOKUP(A244,'Video Database'!L:L,'Video Database'!G:G,"")</f>
        <v>Squish Energy Preworkout Jello Shots</v>
      </c>
      <c r="E244" s="100">
        <f t="array" ref="E244">_xlfn.XLOOKUP(A244,'Video Database'!L:L,'Video Database'!H:H,"")</f>
        <v>0.11</v>
      </c>
      <c r="F244" s="101">
        <v>0.0</v>
      </c>
      <c r="G244" s="87">
        <v>0.0</v>
      </c>
      <c r="H244" s="114">
        <f t="array" ref="H244">_xlfn.XLOOKUP(A244,'Video Database'!L:L,'Video Database'!A:A,"")</f>
        <v>46187</v>
      </c>
      <c r="I244" s="103">
        <v>46201.0</v>
      </c>
      <c r="J244" s="104">
        <v>0.0</v>
      </c>
      <c r="K244" s="105"/>
      <c r="L244" s="105" t="str">
        <f t="shared" si="1"/>
        <v/>
      </c>
      <c r="O244" s="106" t="str">
        <f t="shared" si="2"/>
        <v>#N/A</v>
      </c>
      <c r="P244" s="106" t="str">
        <f t="shared" si="3"/>
        <v>#N/A</v>
      </c>
      <c r="Q244" s="84" t="str">
        <f t="shared" si="4"/>
        <v>#N/A</v>
      </c>
      <c r="R244" s="84" t="str">
        <f t="shared" si="5"/>
        <v>#N/A</v>
      </c>
      <c r="S244" s="107">
        <f t="shared" si="6"/>
        <v>-0.11</v>
      </c>
      <c r="T244" s="108">
        <f t="shared" si="7"/>
        <v>-1</v>
      </c>
      <c r="U244" s="106" t="str">
        <f t="shared" si="8"/>
        <v>#N/A</v>
      </c>
      <c r="V244" s="84" t="str">
        <f t="shared" si="9"/>
        <v/>
      </c>
      <c r="W244" s="109" t="str">
        <f t="shared" si="10"/>
        <v/>
      </c>
      <c r="X244" s="109" t="str">
        <f t="shared" si="11"/>
        <v/>
      </c>
      <c r="Y244" s="110" t="str">
        <f t="array" ref="Y244">_xlfn.XLOOKUP(A244,'Video Database'!L:L,'Video Database'!M:M,"")</f>
        <v>Product Overlay</v>
      </c>
    </row>
    <row r="245" ht="22.5" customHeight="1">
      <c r="A245" s="113">
        <f t="shared" si="12"/>
        <v>244</v>
      </c>
      <c r="B245" s="98" t="str">
        <f t="array" ref="B245">_xlfn.XLOOKUP(A245,'Video Database'!L:L,'Video Database'!D:D,"")</f>
        <v>Erin</v>
      </c>
      <c r="C245" s="98" t="str">
        <f t="array" ref="C245">_xlfn.XLOOKUP(A245,'Video Database'!L:L,'Video Database'!E:E,"")</f>
        <v>Account 3</v>
      </c>
      <c r="D245" s="99" t="str">
        <f t="array" ref="D245">_xlfn.XLOOKUP(A245,'Video Database'!L:L,'Video Database'!G:G,"")</f>
        <v>Peta Jane Self-Tan Starter Kit Medium</v>
      </c>
      <c r="E245" s="100">
        <f t="array" ref="E245">_xlfn.XLOOKUP(A245,'Video Database'!L:L,'Video Database'!H:H,"")</f>
        <v>1.1</v>
      </c>
      <c r="F245" s="101">
        <v>0.0</v>
      </c>
      <c r="G245" s="87">
        <v>0.0</v>
      </c>
      <c r="H245" s="114">
        <f t="array" ref="H245">_xlfn.XLOOKUP(A245,'Video Database'!L:L,'Video Database'!A:A,"")</f>
        <v>46187</v>
      </c>
      <c r="I245" s="103">
        <v>46201.0</v>
      </c>
      <c r="J245" s="104">
        <v>0.0</v>
      </c>
      <c r="K245" s="105"/>
      <c r="L245" s="105" t="str">
        <f t="shared" si="1"/>
        <v/>
      </c>
      <c r="O245" s="106" t="str">
        <f t="shared" si="2"/>
        <v>#N/A</v>
      </c>
      <c r="P245" s="106" t="str">
        <f t="shared" si="3"/>
        <v>#N/A</v>
      </c>
      <c r="Q245" s="84" t="str">
        <f t="shared" si="4"/>
        <v>#N/A</v>
      </c>
      <c r="R245" s="84" t="str">
        <f t="shared" si="5"/>
        <v>#N/A</v>
      </c>
      <c r="S245" s="107">
        <f t="shared" si="6"/>
        <v>-1.1</v>
      </c>
      <c r="T245" s="108">
        <f t="shared" si="7"/>
        <v>-1</v>
      </c>
      <c r="U245" s="106" t="str">
        <f t="shared" si="8"/>
        <v>#N/A</v>
      </c>
      <c r="V245" s="84" t="str">
        <f t="shared" si="9"/>
        <v/>
      </c>
      <c r="W245" s="109" t="str">
        <f t="shared" si="10"/>
        <v/>
      </c>
      <c r="X245" s="109" t="str">
        <f t="shared" si="11"/>
        <v/>
      </c>
      <c r="Y245" s="110" t="str">
        <f t="array" ref="Y245">_xlfn.XLOOKUP(A245,'Video Database'!L:L,'Video Database'!M:M,"")</f>
        <v>Bottom of Funnel</v>
      </c>
    </row>
    <row r="246" ht="22.5" customHeight="1">
      <c r="A246" s="113">
        <f t="shared" si="12"/>
        <v>245</v>
      </c>
      <c r="B246" s="98" t="str">
        <f t="array" ref="B246">_xlfn.XLOOKUP(A246,'Video Database'!L:L,'Video Database'!D:D,"")</f>
        <v>Erin</v>
      </c>
      <c r="C246" s="98" t="str">
        <f t="array" ref="C246">_xlfn.XLOOKUP(A246,'Video Database'!L:L,'Video Database'!E:E,"")</f>
        <v>Account 2</v>
      </c>
      <c r="D246" s="99" t="str">
        <f t="array" ref="D246">_xlfn.XLOOKUP(A246,'Video Database'!L:L,'Video Database'!G:G,"")</f>
        <v>Peta Jane Self-Tan Starter Kit Medium</v>
      </c>
      <c r="E246" s="100">
        <f t="array" ref="E246">_xlfn.XLOOKUP(A246,'Video Database'!L:L,'Video Database'!H:H,"")</f>
        <v>1.1</v>
      </c>
      <c r="F246" s="101">
        <v>0.0</v>
      </c>
      <c r="G246" s="87">
        <v>0.0</v>
      </c>
      <c r="H246" s="114">
        <f t="array" ref="H246">_xlfn.XLOOKUP(A246,'Video Database'!L:L,'Video Database'!A:A,"")</f>
        <v>46187</v>
      </c>
      <c r="I246" s="103">
        <v>46201.0</v>
      </c>
      <c r="J246" s="104">
        <v>0.0</v>
      </c>
      <c r="K246" s="105"/>
      <c r="L246" s="105" t="str">
        <f t="shared" si="1"/>
        <v/>
      </c>
      <c r="O246" s="106" t="str">
        <f t="shared" si="2"/>
        <v>#N/A</v>
      </c>
      <c r="P246" s="106" t="str">
        <f t="shared" si="3"/>
        <v>#N/A</v>
      </c>
      <c r="Q246" s="84" t="str">
        <f t="shared" si="4"/>
        <v>#N/A</v>
      </c>
      <c r="R246" s="84" t="str">
        <f t="shared" si="5"/>
        <v>#N/A</v>
      </c>
      <c r="S246" s="107">
        <f t="shared" si="6"/>
        <v>-1.1</v>
      </c>
      <c r="T246" s="108">
        <f t="shared" si="7"/>
        <v>-1</v>
      </c>
      <c r="U246" s="106" t="str">
        <f t="shared" si="8"/>
        <v>#N/A</v>
      </c>
      <c r="V246" s="84" t="str">
        <f t="shared" si="9"/>
        <v/>
      </c>
      <c r="W246" s="109" t="str">
        <f t="shared" si="10"/>
        <v/>
      </c>
      <c r="X246" s="109" t="str">
        <f t="shared" si="11"/>
        <v/>
      </c>
      <c r="Y246" s="110" t="str">
        <f t="array" ref="Y246">_xlfn.XLOOKUP(A246,'Video Database'!L:L,'Video Database'!M:M,"")</f>
        <v>Bottom of Funnel</v>
      </c>
    </row>
    <row r="247" ht="22.5" customHeight="1">
      <c r="A247" s="113">
        <f t="shared" si="12"/>
        <v>246</v>
      </c>
      <c r="B247" s="98" t="str">
        <f t="array" ref="B247">_xlfn.XLOOKUP(A247,'Video Database'!L:L,'Video Database'!D:D,"")</f>
        <v>Blakely</v>
      </c>
      <c r="C247" s="98" t="str">
        <f t="array" ref="C247">_xlfn.XLOOKUP(A247,'Video Database'!L:L,'Video Database'!E:E,"")</f>
        <v>Account 4</v>
      </c>
      <c r="D247" s="99" t="str">
        <f t="array" ref="D247">_xlfn.XLOOKUP(A247,'Video Database'!L:L,'Video Database'!G:G,"")</f>
        <v>Nutricost Creatine Monohydrate</v>
      </c>
      <c r="E247" s="100">
        <f t="array" ref="E247">_xlfn.XLOOKUP(A247,'Video Database'!L:L,'Video Database'!H:H,"")</f>
        <v>0.11</v>
      </c>
      <c r="F247" s="101">
        <v>0.0</v>
      </c>
      <c r="G247" s="87">
        <v>0.0</v>
      </c>
      <c r="H247" s="114">
        <f t="array" ref="H247">_xlfn.XLOOKUP(A247,'Video Database'!L:L,'Video Database'!A:A,"")</f>
        <v>46187</v>
      </c>
      <c r="I247" s="103">
        <v>46201.0</v>
      </c>
      <c r="J247" s="104">
        <v>0.0</v>
      </c>
      <c r="K247" s="105"/>
      <c r="L247" s="105" t="str">
        <f t="shared" si="1"/>
        <v/>
      </c>
      <c r="O247" s="106" t="str">
        <f t="shared" si="2"/>
        <v>#N/A</v>
      </c>
      <c r="P247" s="106" t="str">
        <f t="shared" si="3"/>
        <v>#N/A</v>
      </c>
      <c r="Q247" s="84" t="str">
        <f t="shared" si="4"/>
        <v>#N/A</v>
      </c>
      <c r="R247" s="84" t="str">
        <f t="shared" si="5"/>
        <v>#N/A</v>
      </c>
      <c r="S247" s="107">
        <f t="shared" si="6"/>
        <v>-0.11</v>
      </c>
      <c r="T247" s="108">
        <f t="shared" si="7"/>
        <v>-1</v>
      </c>
      <c r="U247" s="106" t="str">
        <f t="shared" si="8"/>
        <v>#N/A</v>
      </c>
      <c r="V247" s="84" t="str">
        <f t="shared" si="9"/>
        <v/>
      </c>
      <c r="W247" s="109" t="str">
        <f t="shared" si="10"/>
        <v/>
      </c>
      <c r="X247" s="109" t="str">
        <f t="shared" si="11"/>
        <v/>
      </c>
      <c r="Y247" s="110" t="str">
        <f t="array" ref="Y247">_xlfn.XLOOKUP(A247,'Video Database'!L:L,'Video Database'!M:M,"")</f>
        <v>Product Overlay</v>
      </c>
    </row>
    <row r="248" ht="22.5" customHeight="1">
      <c r="A248" s="113">
        <f t="shared" si="12"/>
        <v>247</v>
      </c>
      <c r="B248" s="98" t="str">
        <f t="array" ref="B248">_xlfn.XLOOKUP(A248,'Video Database'!L:L,'Video Database'!D:D,"")</f>
        <v>Blakely</v>
      </c>
      <c r="C248" s="98" t="str">
        <f t="array" ref="C248">_xlfn.XLOOKUP(A248,'Video Database'!L:L,'Video Database'!E:E,"")</f>
        <v>Account 4</v>
      </c>
      <c r="D248" s="99" t="str">
        <f t="array" ref="D248">_xlfn.XLOOKUP(A248,'Video Database'!L:L,'Video Database'!G:G,"")</f>
        <v>Beast Bites Creatine Gummies</v>
      </c>
      <c r="E248" s="100">
        <f t="array" ref="E248">_xlfn.XLOOKUP(A248,'Video Database'!L:L,'Video Database'!H:H,"")</f>
        <v>0.11</v>
      </c>
      <c r="F248" s="101">
        <v>0.0</v>
      </c>
      <c r="G248" s="87">
        <v>0.0</v>
      </c>
      <c r="H248" s="114">
        <f t="array" ref="H248">_xlfn.XLOOKUP(A248,'Video Database'!L:L,'Video Database'!A:A,"")</f>
        <v>46187</v>
      </c>
      <c r="I248" s="103">
        <v>46201.0</v>
      </c>
      <c r="J248" s="104">
        <v>0.0</v>
      </c>
      <c r="K248" s="105"/>
      <c r="L248" s="105" t="str">
        <f t="shared" si="1"/>
        <v/>
      </c>
      <c r="O248" s="106" t="str">
        <f t="shared" si="2"/>
        <v>#N/A</v>
      </c>
      <c r="P248" s="106" t="str">
        <f t="shared" si="3"/>
        <v>#N/A</v>
      </c>
      <c r="Q248" s="84" t="str">
        <f t="shared" si="4"/>
        <v>#N/A</v>
      </c>
      <c r="R248" s="84" t="str">
        <f t="shared" si="5"/>
        <v>#N/A</v>
      </c>
      <c r="S248" s="107">
        <f t="shared" si="6"/>
        <v>-0.11</v>
      </c>
      <c r="T248" s="108">
        <f t="shared" si="7"/>
        <v>-1</v>
      </c>
      <c r="U248" s="106" t="str">
        <f t="shared" si="8"/>
        <v>#N/A</v>
      </c>
      <c r="V248" s="84" t="str">
        <f t="shared" si="9"/>
        <v/>
      </c>
      <c r="W248" s="109" t="str">
        <f t="shared" si="10"/>
        <v/>
      </c>
      <c r="X248" s="109" t="str">
        <f t="shared" si="11"/>
        <v/>
      </c>
      <c r="Y248" s="110" t="str">
        <f t="array" ref="Y248">_xlfn.XLOOKUP(A248,'Video Database'!L:L,'Video Database'!M:M,"")</f>
        <v>Product Overlay</v>
      </c>
    </row>
    <row r="249" ht="22.5" customHeight="1">
      <c r="A249" s="113">
        <f t="shared" si="12"/>
        <v>248</v>
      </c>
      <c r="B249" s="98" t="str">
        <f t="array" ref="B249">_xlfn.XLOOKUP(A249,'Video Database'!L:L,'Video Database'!D:D,"")</f>
        <v>Blakely</v>
      </c>
      <c r="C249" s="98" t="str">
        <f t="array" ref="C249">_xlfn.XLOOKUP(A249,'Video Database'!L:L,'Video Database'!E:E,"")</f>
        <v>Account 4</v>
      </c>
      <c r="D249" s="99" t="str">
        <f t="array" ref="D249">_xlfn.XLOOKUP(A249,'Video Database'!L:L,'Video Database'!G:G,"")</f>
        <v>Neurogum Watermelon</v>
      </c>
      <c r="E249" s="100">
        <f t="array" ref="E249">_xlfn.XLOOKUP(A249,'Video Database'!L:L,'Video Database'!H:H,"")</f>
        <v>0.11</v>
      </c>
      <c r="F249" s="101">
        <v>0.0</v>
      </c>
      <c r="G249" s="87">
        <v>0.0</v>
      </c>
      <c r="H249" s="114">
        <f t="array" ref="H249">_xlfn.XLOOKUP(A249,'Video Database'!L:L,'Video Database'!A:A,"")</f>
        <v>46187</v>
      </c>
      <c r="I249" s="103">
        <v>46201.0</v>
      </c>
      <c r="J249" s="104">
        <v>0.0</v>
      </c>
      <c r="K249" s="105"/>
      <c r="L249" s="105" t="str">
        <f t="shared" si="1"/>
        <v/>
      </c>
      <c r="O249" s="106" t="str">
        <f t="shared" si="2"/>
        <v>#N/A</v>
      </c>
      <c r="P249" s="106" t="str">
        <f t="shared" si="3"/>
        <v>#N/A</v>
      </c>
      <c r="Q249" s="84" t="str">
        <f t="shared" si="4"/>
        <v>#N/A</v>
      </c>
      <c r="R249" s="84" t="str">
        <f t="shared" si="5"/>
        <v>#N/A</v>
      </c>
      <c r="S249" s="107">
        <f t="shared" si="6"/>
        <v>-0.11</v>
      </c>
      <c r="T249" s="108">
        <f t="shared" si="7"/>
        <v>-1</v>
      </c>
      <c r="U249" s="106" t="str">
        <f t="shared" si="8"/>
        <v>#N/A</v>
      </c>
      <c r="V249" s="84" t="str">
        <f t="shared" si="9"/>
        <v/>
      </c>
      <c r="W249" s="109" t="str">
        <f t="shared" si="10"/>
        <v/>
      </c>
      <c r="X249" s="109" t="str">
        <f t="shared" si="11"/>
        <v/>
      </c>
      <c r="Y249" s="110" t="str">
        <f t="array" ref="Y249">_xlfn.XLOOKUP(A249,'Video Database'!L:L,'Video Database'!M:M,"")</f>
        <v>Product Overlay</v>
      </c>
    </row>
    <row r="250" ht="22.5" customHeight="1">
      <c r="A250" s="113">
        <f t="shared" si="12"/>
        <v>249</v>
      </c>
      <c r="B250" s="98" t="str">
        <f t="array" ref="B250">_xlfn.XLOOKUP(A250,'Video Database'!L:L,'Video Database'!D:D,"")</f>
        <v>Blakely</v>
      </c>
      <c r="C250" s="98" t="str">
        <f t="array" ref="C250">_xlfn.XLOOKUP(A250,'Video Database'!L:L,'Video Database'!E:E,"")</f>
        <v>Account 4</v>
      </c>
      <c r="D250" s="99" t="str">
        <f t="array" ref="D250">_xlfn.XLOOKUP(A250,'Video Database'!L:L,'Video Database'!G:G,"")</f>
        <v>Mushroom Coffee</v>
      </c>
      <c r="E250" s="100">
        <f t="array" ref="E250">_xlfn.XLOOKUP(A250,'Video Database'!L:L,'Video Database'!H:H,"")</f>
        <v>0.11</v>
      </c>
      <c r="F250" s="101">
        <v>0.0</v>
      </c>
      <c r="G250" s="87">
        <v>0.0</v>
      </c>
      <c r="H250" s="114">
        <f t="array" ref="H250">_xlfn.XLOOKUP(A250,'Video Database'!L:L,'Video Database'!A:A,"")</f>
        <v>46187</v>
      </c>
      <c r="I250" s="103">
        <v>46201.0</v>
      </c>
      <c r="J250" s="104">
        <v>0.0</v>
      </c>
      <c r="K250" s="105"/>
      <c r="L250" s="105" t="str">
        <f t="shared" si="1"/>
        <v/>
      </c>
      <c r="O250" s="106" t="str">
        <f t="shared" si="2"/>
        <v>#N/A</v>
      </c>
      <c r="P250" s="106" t="str">
        <f t="shared" si="3"/>
        <v>#N/A</v>
      </c>
      <c r="Q250" s="84" t="str">
        <f t="shared" si="4"/>
        <v>#N/A</v>
      </c>
      <c r="R250" s="84" t="str">
        <f t="shared" si="5"/>
        <v>#N/A</v>
      </c>
      <c r="S250" s="107">
        <f t="shared" si="6"/>
        <v>-0.11</v>
      </c>
      <c r="T250" s="108">
        <f t="shared" si="7"/>
        <v>-1</v>
      </c>
      <c r="U250" s="106" t="str">
        <f t="shared" si="8"/>
        <v>#N/A</v>
      </c>
      <c r="V250" s="84" t="str">
        <f t="shared" si="9"/>
        <v/>
      </c>
      <c r="W250" s="109" t="str">
        <f t="shared" si="10"/>
        <v/>
      </c>
      <c r="X250" s="109" t="str">
        <f t="shared" si="11"/>
        <v/>
      </c>
      <c r="Y250" s="110" t="str">
        <f t="array" ref="Y250">_xlfn.XLOOKUP(A250,'Video Database'!L:L,'Video Database'!M:M,"")</f>
        <v>Product Overlay</v>
      </c>
    </row>
    <row r="251" ht="22.5" customHeight="1">
      <c r="A251" s="113">
        <f t="shared" si="12"/>
        <v>250</v>
      </c>
      <c r="B251" s="98" t="str">
        <f t="array" ref="B251">_xlfn.XLOOKUP(A251,'Video Database'!L:L,'Video Database'!D:D,"")</f>
        <v>Blakely</v>
      </c>
      <c r="C251" s="98" t="str">
        <f t="array" ref="C251">_xlfn.XLOOKUP(A251,'Video Database'!L:L,'Video Database'!E:E,"")</f>
        <v>Account 4</v>
      </c>
      <c r="D251" s="99" t="str">
        <f t="array" ref="D251">_xlfn.XLOOKUP(A251,'Video Database'!L:L,'Video Database'!G:G,"")</f>
        <v>Physician's Choice Probiotic Gummies</v>
      </c>
      <c r="E251" s="100">
        <f t="array" ref="E251">_xlfn.XLOOKUP(A251,'Video Database'!L:L,'Video Database'!H:H,"")</f>
        <v>0.11</v>
      </c>
      <c r="F251" s="101">
        <v>0.0</v>
      </c>
      <c r="G251" s="87">
        <v>0.0</v>
      </c>
      <c r="H251" s="114">
        <f t="array" ref="H251">_xlfn.XLOOKUP(A251,'Video Database'!L:L,'Video Database'!A:A,"")</f>
        <v>46187</v>
      </c>
      <c r="I251" s="103">
        <v>46201.0</v>
      </c>
      <c r="J251" s="104">
        <v>0.0</v>
      </c>
      <c r="K251" s="105"/>
      <c r="L251" s="105" t="str">
        <f t="shared" si="1"/>
        <v/>
      </c>
      <c r="O251" s="106" t="str">
        <f t="shared" si="2"/>
        <v>#N/A</v>
      </c>
      <c r="P251" s="106" t="str">
        <f t="shared" si="3"/>
        <v>#N/A</v>
      </c>
      <c r="Q251" s="84" t="str">
        <f t="shared" si="4"/>
        <v>#N/A</v>
      </c>
      <c r="R251" s="84" t="str">
        <f t="shared" si="5"/>
        <v>#N/A</v>
      </c>
      <c r="S251" s="107">
        <f t="shared" si="6"/>
        <v>-0.11</v>
      </c>
      <c r="T251" s="108">
        <f t="shared" si="7"/>
        <v>-1</v>
      </c>
      <c r="U251" s="106" t="str">
        <f t="shared" si="8"/>
        <v>#N/A</v>
      </c>
      <c r="V251" s="84" t="str">
        <f t="shared" si="9"/>
        <v/>
      </c>
      <c r="W251" s="109" t="str">
        <f t="shared" si="10"/>
        <v/>
      </c>
      <c r="X251" s="109" t="str">
        <f t="shared" si="11"/>
        <v/>
      </c>
      <c r="Y251" s="110" t="str">
        <f t="array" ref="Y251">_xlfn.XLOOKUP(A251,'Video Database'!L:L,'Video Database'!M:M,"")</f>
        <v>Product Overlay</v>
      </c>
    </row>
    <row r="252" ht="22.5" customHeight="1">
      <c r="A252" s="113">
        <f t="shared" si="12"/>
        <v>251</v>
      </c>
      <c r="B252" s="98" t="str">
        <f t="array" ref="B252">_xlfn.XLOOKUP(A252,'Video Database'!L:L,'Video Database'!D:D,"")</f>
        <v>Blakely</v>
      </c>
      <c r="C252" s="98" t="str">
        <f t="array" ref="C252">_xlfn.XLOOKUP(A252,'Video Database'!L:L,'Video Database'!E:E,"")</f>
        <v>Account 4</v>
      </c>
      <c r="D252" s="99" t="str">
        <f t="array" ref="D252">_xlfn.XLOOKUP(A252,'Video Database'!L:L,'Video Database'!G:G,"")</f>
        <v>Goli Women's Complete Multi Gummy</v>
      </c>
      <c r="E252" s="100">
        <f t="array" ref="E252">_xlfn.XLOOKUP(A252,'Video Database'!L:L,'Video Database'!H:H,"")</f>
        <v>0.11</v>
      </c>
      <c r="F252" s="101">
        <v>0.0</v>
      </c>
      <c r="G252" s="87">
        <v>0.0</v>
      </c>
      <c r="H252" s="114">
        <f t="array" ref="H252">_xlfn.XLOOKUP(A252,'Video Database'!L:L,'Video Database'!A:A,"")</f>
        <v>46187</v>
      </c>
      <c r="I252" s="103">
        <v>46201.0</v>
      </c>
      <c r="J252" s="104">
        <v>0.0</v>
      </c>
      <c r="K252" s="105"/>
      <c r="L252" s="105" t="str">
        <f t="shared" si="1"/>
        <v/>
      </c>
      <c r="O252" s="106" t="str">
        <f t="shared" si="2"/>
        <v>#N/A</v>
      </c>
      <c r="P252" s="106" t="str">
        <f t="shared" si="3"/>
        <v>#N/A</v>
      </c>
      <c r="Q252" s="84" t="str">
        <f t="shared" si="4"/>
        <v>#N/A</v>
      </c>
      <c r="R252" s="84" t="str">
        <f t="shared" si="5"/>
        <v>#N/A</v>
      </c>
      <c r="S252" s="107">
        <f t="shared" si="6"/>
        <v>-0.11</v>
      </c>
      <c r="T252" s="108">
        <f t="shared" si="7"/>
        <v>-1</v>
      </c>
      <c r="U252" s="106" t="str">
        <f t="shared" si="8"/>
        <v>#N/A</v>
      </c>
      <c r="V252" s="84" t="str">
        <f t="shared" si="9"/>
        <v/>
      </c>
      <c r="W252" s="109" t="str">
        <f t="shared" si="10"/>
        <v/>
      </c>
      <c r="X252" s="109" t="str">
        <f t="shared" si="11"/>
        <v/>
      </c>
      <c r="Y252" s="110" t="str">
        <f t="array" ref="Y252">_xlfn.XLOOKUP(A252,'Video Database'!L:L,'Video Database'!M:M,"")</f>
        <v>Product Overlay</v>
      </c>
    </row>
    <row r="253" ht="22.5" customHeight="1">
      <c r="A253" s="113">
        <f t="shared" si="12"/>
        <v>252</v>
      </c>
      <c r="B253" s="98" t="str">
        <f t="array" ref="B253">_xlfn.XLOOKUP(A253,'Video Database'!L:L,'Video Database'!D:D,"")</f>
        <v>Blakely</v>
      </c>
      <c r="C253" s="98" t="str">
        <f t="array" ref="C253">_xlfn.XLOOKUP(A253,'Video Database'!L:L,'Video Database'!E:E,"")</f>
        <v>Account 4</v>
      </c>
      <c r="D253" s="99" t="str">
        <f t="array" ref="D253">_xlfn.XLOOKUP(A253,'Video Database'!L:L,'Video Database'!G:G,"")</f>
        <v>Nello Supercalm Drink Mix</v>
      </c>
      <c r="E253" s="100">
        <f t="array" ref="E253">_xlfn.XLOOKUP(A253,'Video Database'!L:L,'Video Database'!H:H,"")</f>
        <v>0.11</v>
      </c>
      <c r="F253" s="101">
        <v>0.0</v>
      </c>
      <c r="G253" s="87">
        <v>0.0</v>
      </c>
      <c r="H253" s="114">
        <f t="array" ref="H253">_xlfn.XLOOKUP(A253,'Video Database'!L:L,'Video Database'!A:A,"")</f>
        <v>46187</v>
      </c>
      <c r="I253" s="103">
        <v>46201.0</v>
      </c>
      <c r="J253" s="104">
        <v>0.0</v>
      </c>
      <c r="K253" s="105"/>
      <c r="L253" s="105" t="str">
        <f t="shared" si="1"/>
        <v/>
      </c>
      <c r="O253" s="106" t="str">
        <f t="shared" si="2"/>
        <v>#N/A</v>
      </c>
      <c r="P253" s="106" t="str">
        <f t="shared" si="3"/>
        <v>#N/A</v>
      </c>
      <c r="Q253" s="84" t="str">
        <f t="shared" si="4"/>
        <v>#N/A</v>
      </c>
      <c r="R253" s="84" t="str">
        <f t="shared" si="5"/>
        <v>#N/A</v>
      </c>
      <c r="S253" s="107">
        <f t="shared" si="6"/>
        <v>-0.11</v>
      </c>
      <c r="T253" s="108">
        <f t="shared" si="7"/>
        <v>-1</v>
      </c>
      <c r="U253" s="106" t="str">
        <f t="shared" si="8"/>
        <v>#N/A</v>
      </c>
      <c r="V253" s="84" t="str">
        <f t="shared" si="9"/>
        <v/>
      </c>
      <c r="W253" s="109" t="str">
        <f t="shared" si="10"/>
        <v/>
      </c>
      <c r="X253" s="109" t="str">
        <f t="shared" si="11"/>
        <v/>
      </c>
      <c r="Y253" s="110" t="str">
        <f t="array" ref="Y253">_xlfn.XLOOKUP(A253,'Video Database'!L:L,'Video Database'!M:M,"")</f>
        <v>Product Overlay</v>
      </c>
    </row>
    <row r="254" ht="22.5" customHeight="1">
      <c r="A254" s="113">
        <f t="shared" si="12"/>
        <v>253</v>
      </c>
      <c r="B254" s="98" t="str">
        <f t="array" ref="B254">_xlfn.XLOOKUP(A254,'Video Database'!L:L,'Video Database'!D:D,"")</f>
        <v>Blakely</v>
      </c>
      <c r="C254" s="98" t="str">
        <f t="array" ref="C254">_xlfn.XLOOKUP(A254,'Video Database'!L:L,'Video Database'!E:E,"")</f>
        <v>Account 4</v>
      </c>
      <c r="D254" s="99" t="str">
        <f t="array" ref="D254">_xlfn.XLOOKUP(A254,'Video Database'!L:L,'Video Database'!G:G,"")</f>
        <v>BetterAlt Shilajit Honey Sticks</v>
      </c>
      <c r="E254" s="100">
        <f t="array" ref="E254">_xlfn.XLOOKUP(A254,'Video Database'!L:L,'Video Database'!H:H,"")</f>
        <v>0.11</v>
      </c>
      <c r="F254" s="101">
        <v>0.0</v>
      </c>
      <c r="G254" s="87">
        <v>0.0</v>
      </c>
      <c r="H254" s="114">
        <f t="array" ref="H254">_xlfn.XLOOKUP(A254,'Video Database'!L:L,'Video Database'!A:A,"")</f>
        <v>46187</v>
      </c>
      <c r="I254" s="103">
        <v>46201.0</v>
      </c>
      <c r="J254" s="104">
        <v>0.0</v>
      </c>
      <c r="K254" s="105"/>
      <c r="L254" s="105" t="str">
        <f t="shared" si="1"/>
        <v/>
      </c>
      <c r="O254" s="106" t="str">
        <f t="shared" si="2"/>
        <v>#N/A</v>
      </c>
      <c r="P254" s="106" t="str">
        <f t="shared" si="3"/>
        <v>#N/A</v>
      </c>
      <c r="Q254" s="84" t="str">
        <f t="shared" si="4"/>
        <v>#N/A</v>
      </c>
      <c r="R254" s="84" t="str">
        <f t="shared" si="5"/>
        <v>#N/A</v>
      </c>
      <c r="S254" s="107">
        <f t="shared" si="6"/>
        <v>-0.11</v>
      </c>
      <c r="T254" s="108">
        <f t="shared" si="7"/>
        <v>-1</v>
      </c>
      <c r="U254" s="106" t="str">
        <f t="shared" si="8"/>
        <v>#N/A</v>
      </c>
      <c r="V254" s="84" t="str">
        <f t="shared" si="9"/>
        <v/>
      </c>
      <c r="W254" s="109" t="str">
        <f t="shared" si="10"/>
        <v/>
      </c>
      <c r="X254" s="109" t="str">
        <f t="shared" si="11"/>
        <v/>
      </c>
      <c r="Y254" s="110" t="str">
        <f t="array" ref="Y254">_xlfn.XLOOKUP(A254,'Video Database'!L:L,'Video Database'!M:M,"")</f>
        <v>Product Overlay</v>
      </c>
    </row>
    <row r="255" ht="22.5" customHeight="1">
      <c r="A255" s="113">
        <f t="shared" si="12"/>
        <v>254</v>
      </c>
      <c r="B255" s="98" t="str">
        <f t="array" ref="B255">_xlfn.XLOOKUP(A255,'Video Database'!L:L,'Video Database'!D:D,"")</f>
        <v>Blakely</v>
      </c>
      <c r="C255" s="98" t="str">
        <f t="array" ref="C255">_xlfn.XLOOKUP(A255,'Video Database'!L:L,'Video Database'!E:E,"")</f>
        <v>Account 4</v>
      </c>
      <c r="D255" s="99" t="str">
        <f t="array" ref="D255">_xlfn.XLOOKUP(A255,'Video Database'!L:L,'Video Database'!G:G,"")</f>
        <v>Squish Energy Preworkout Jello Shots</v>
      </c>
      <c r="E255" s="100">
        <f t="array" ref="E255">_xlfn.XLOOKUP(A255,'Video Database'!L:L,'Video Database'!H:H,"")</f>
        <v>0.11</v>
      </c>
      <c r="F255" s="101">
        <v>0.0</v>
      </c>
      <c r="G255" s="87">
        <v>0.0</v>
      </c>
      <c r="H255" s="114">
        <f t="array" ref="H255">_xlfn.XLOOKUP(A255,'Video Database'!L:L,'Video Database'!A:A,"")</f>
        <v>46187</v>
      </c>
      <c r="I255" s="103">
        <v>46201.0</v>
      </c>
      <c r="J255" s="104">
        <v>0.0</v>
      </c>
      <c r="K255" s="105"/>
      <c r="L255" s="105" t="str">
        <f t="shared" si="1"/>
        <v/>
      </c>
      <c r="O255" s="106" t="str">
        <f t="shared" si="2"/>
        <v>#N/A</v>
      </c>
      <c r="P255" s="106" t="str">
        <f t="shared" si="3"/>
        <v>#N/A</v>
      </c>
      <c r="Q255" s="84" t="str">
        <f t="shared" si="4"/>
        <v>#N/A</v>
      </c>
      <c r="R255" s="84" t="str">
        <f t="shared" si="5"/>
        <v>#N/A</v>
      </c>
      <c r="S255" s="107">
        <f t="shared" si="6"/>
        <v>-0.11</v>
      </c>
      <c r="T255" s="108">
        <f t="shared" si="7"/>
        <v>-1</v>
      </c>
      <c r="U255" s="106" t="str">
        <f t="shared" si="8"/>
        <v>#N/A</v>
      </c>
      <c r="V255" s="84" t="str">
        <f t="shared" si="9"/>
        <v/>
      </c>
      <c r="W255" s="109" t="str">
        <f t="shared" si="10"/>
        <v/>
      </c>
      <c r="X255" s="109" t="str">
        <f t="shared" si="11"/>
        <v/>
      </c>
      <c r="Y255" s="110" t="str">
        <f t="array" ref="Y255">_xlfn.XLOOKUP(A255,'Video Database'!L:L,'Video Database'!M:M,"")</f>
        <v>Product Overlay</v>
      </c>
    </row>
    <row r="256" ht="22.5" customHeight="1">
      <c r="A256" s="113">
        <f t="shared" si="12"/>
        <v>255</v>
      </c>
      <c r="B256" s="98" t="str">
        <f t="array" ref="B256">_xlfn.XLOOKUP(A256,'Video Database'!L:L,'Video Database'!D:D,"")</f>
        <v>Erin</v>
      </c>
      <c r="C256" s="98" t="str">
        <f t="array" ref="C256">_xlfn.XLOOKUP(A256,'Video Database'!L:L,'Video Database'!E:E,"")</f>
        <v>Account 4</v>
      </c>
      <c r="D256" s="99" t="str">
        <f t="array" ref="D256">_xlfn.XLOOKUP(A256,'Video Database'!L:L,'Video Database'!G:G,"")</f>
        <v>Peta Jane Self-Tan Starter Kit Medium</v>
      </c>
      <c r="E256" s="100">
        <f t="array" ref="E256">_xlfn.XLOOKUP(A256,'Video Database'!L:L,'Video Database'!H:H,"")</f>
        <v>1.1</v>
      </c>
      <c r="F256" s="101">
        <v>0.0</v>
      </c>
      <c r="G256" s="87">
        <v>0.0</v>
      </c>
      <c r="H256" s="114">
        <f t="array" ref="H256">_xlfn.XLOOKUP(A256,'Video Database'!L:L,'Video Database'!A:A,"")</f>
        <v>46187</v>
      </c>
      <c r="I256" s="103">
        <v>46201.0</v>
      </c>
      <c r="J256" s="104">
        <v>0.0</v>
      </c>
      <c r="K256" s="105"/>
      <c r="L256" s="105" t="str">
        <f t="shared" si="1"/>
        <v/>
      </c>
      <c r="O256" s="106" t="str">
        <f t="shared" si="2"/>
        <v>#N/A</v>
      </c>
      <c r="P256" s="106" t="str">
        <f t="shared" si="3"/>
        <v>#N/A</v>
      </c>
      <c r="Q256" s="84" t="str">
        <f t="shared" si="4"/>
        <v>#N/A</v>
      </c>
      <c r="R256" s="84" t="str">
        <f t="shared" si="5"/>
        <v>#N/A</v>
      </c>
      <c r="S256" s="107">
        <f t="shared" si="6"/>
        <v>-1.1</v>
      </c>
      <c r="T256" s="108">
        <f t="shared" si="7"/>
        <v>-1</v>
      </c>
      <c r="U256" s="106" t="str">
        <f t="shared" si="8"/>
        <v>#N/A</v>
      </c>
      <c r="V256" s="84" t="str">
        <f t="shared" si="9"/>
        <v/>
      </c>
      <c r="W256" s="109" t="str">
        <f t="shared" si="10"/>
        <v/>
      </c>
      <c r="X256" s="109" t="str">
        <f t="shared" si="11"/>
        <v/>
      </c>
      <c r="Y256" s="110" t="str">
        <f t="array" ref="Y256">_xlfn.XLOOKUP(A256,'Video Database'!L:L,'Video Database'!M:M,"")</f>
        <v>Bottom of Funnel</v>
      </c>
    </row>
    <row r="257" ht="22.5" customHeight="1">
      <c r="A257" s="113">
        <f t="shared" si="12"/>
        <v>256</v>
      </c>
      <c r="B257" s="98" t="str">
        <f t="array" ref="B257">_xlfn.XLOOKUP(A257,'Video Database'!L:L,'Video Database'!D:D,"")</f>
        <v>Blakely</v>
      </c>
      <c r="C257" s="98" t="str">
        <f t="array" ref="C257">_xlfn.XLOOKUP(A257,'Video Database'!L:L,'Video Database'!E:E,"")</f>
        <v>Account 1</v>
      </c>
      <c r="D257" s="99" t="str">
        <f t="array" ref="D257">_xlfn.XLOOKUP(A257,'Video Database'!L:L,'Video Database'!G:G,"")</f>
        <v>Goli Women's Complete Multi Gummy</v>
      </c>
      <c r="E257" s="100">
        <f t="array" ref="E257">_xlfn.XLOOKUP(A257,'Video Database'!L:L,'Video Database'!H:H,"")</f>
        <v>0.11</v>
      </c>
      <c r="F257" s="101">
        <v>0.0</v>
      </c>
      <c r="G257" s="87">
        <v>0.0</v>
      </c>
      <c r="H257" s="114">
        <f t="array" ref="H257">_xlfn.XLOOKUP(A257,'Video Database'!L:L,'Video Database'!A:A,"")</f>
        <v>46187</v>
      </c>
      <c r="I257" s="103">
        <v>46201.0</v>
      </c>
      <c r="J257" s="104">
        <v>0.0</v>
      </c>
      <c r="K257" s="105"/>
      <c r="L257" s="105" t="str">
        <f t="shared" si="1"/>
        <v/>
      </c>
      <c r="O257" s="106" t="str">
        <f t="shared" si="2"/>
        <v>#N/A</v>
      </c>
      <c r="P257" s="106" t="str">
        <f t="shared" si="3"/>
        <v>#N/A</v>
      </c>
      <c r="Q257" s="84" t="str">
        <f t="shared" si="4"/>
        <v>#N/A</v>
      </c>
      <c r="R257" s="84" t="str">
        <f t="shared" si="5"/>
        <v>#N/A</v>
      </c>
      <c r="S257" s="107">
        <f t="shared" si="6"/>
        <v>-0.11</v>
      </c>
      <c r="T257" s="108">
        <f t="shared" si="7"/>
        <v>-1</v>
      </c>
      <c r="U257" s="106" t="str">
        <f t="shared" si="8"/>
        <v>#N/A</v>
      </c>
      <c r="V257" s="84" t="str">
        <f t="shared" si="9"/>
        <v/>
      </c>
      <c r="W257" s="109" t="str">
        <f t="shared" si="10"/>
        <v/>
      </c>
      <c r="X257" s="109" t="str">
        <f t="shared" si="11"/>
        <v/>
      </c>
      <c r="Y257" s="110" t="str">
        <f t="array" ref="Y257">_xlfn.XLOOKUP(A257,'Video Database'!L:L,'Video Database'!M:M,"")</f>
        <v>Product Overlay</v>
      </c>
    </row>
    <row r="258" ht="22.5" customHeight="1">
      <c r="A258" s="113">
        <f t="shared" si="12"/>
        <v>257</v>
      </c>
      <c r="B258" s="98" t="str">
        <f t="array" ref="B258">_xlfn.XLOOKUP(A258,'Video Database'!L:L,'Video Database'!D:D,"")</f>
        <v>Erin</v>
      </c>
      <c r="C258" s="98" t="str">
        <f t="array" ref="C258">_xlfn.XLOOKUP(A258,'Video Database'!L:L,'Video Database'!E:E,"")</f>
        <v>Account 1</v>
      </c>
      <c r="D258" s="99" t="str">
        <f t="array" ref="D258">_xlfn.XLOOKUP(A258,'Video Database'!L:L,'Video Database'!G:G,"")</f>
        <v>Peta Jane Self-Tan Starter Kit Medium</v>
      </c>
      <c r="E258" s="100">
        <f t="array" ref="E258">_xlfn.XLOOKUP(A258,'Video Database'!L:L,'Video Database'!H:H,"")</f>
        <v>1.1</v>
      </c>
      <c r="F258" s="101">
        <v>0.0</v>
      </c>
      <c r="G258" s="87">
        <v>0.0</v>
      </c>
      <c r="H258" s="114">
        <f t="array" ref="H258">_xlfn.XLOOKUP(A258,'Video Database'!L:L,'Video Database'!A:A,"")</f>
        <v>46187</v>
      </c>
      <c r="I258" s="103">
        <v>46201.0</v>
      </c>
      <c r="J258" s="104">
        <v>0.0</v>
      </c>
      <c r="K258" s="105"/>
      <c r="L258" s="105" t="str">
        <f t="shared" si="1"/>
        <v/>
      </c>
      <c r="O258" s="106" t="str">
        <f t="shared" si="2"/>
        <v>#N/A</v>
      </c>
      <c r="P258" s="106" t="str">
        <f t="shared" si="3"/>
        <v>#N/A</v>
      </c>
      <c r="Q258" s="84" t="str">
        <f t="shared" si="4"/>
        <v>#N/A</v>
      </c>
      <c r="R258" s="84" t="str">
        <f t="shared" si="5"/>
        <v>#N/A</v>
      </c>
      <c r="S258" s="107">
        <f t="shared" si="6"/>
        <v>-1.1</v>
      </c>
      <c r="T258" s="108">
        <f t="shared" si="7"/>
        <v>-1</v>
      </c>
      <c r="U258" s="106" t="str">
        <f t="shared" si="8"/>
        <v>#N/A</v>
      </c>
      <c r="V258" s="84" t="str">
        <f t="shared" si="9"/>
        <v/>
      </c>
      <c r="W258" s="109" t="str">
        <f t="shared" si="10"/>
        <v/>
      </c>
      <c r="X258" s="109" t="str">
        <f t="shared" si="11"/>
        <v/>
      </c>
      <c r="Y258" s="110" t="str">
        <f t="array" ref="Y258">_xlfn.XLOOKUP(A258,'Video Database'!L:L,'Video Database'!M:M,"")</f>
        <v>Bottom of Funnel</v>
      </c>
    </row>
    <row r="259" ht="22.5" customHeight="1">
      <c r="A259" s="113">
        <f t="shared" si="12"/>
        <v>258</v>
      </c>
      <c r="B259" s="98" t="str">
        <f t="array" ref="B259">_xlfn.XLOOKUP(A259,'Video Database'!L:L,'Video Database'!D:D,"")</f>
        <v>Blakely</v>
      </c>
      <c r="C259" s="98" t="str">
        <f t="array" ref="C259">_xlfn.XLOOKUP(A259,'Video Database'!L:L,'Video Database'!E:E,"")</f>
        <v>Account 1</v>
      </c>
      <c r="D259" s="99" t="str">
        <f t="array" ref="D259">_xlfn.XLOOKUP(A259,'Video Database'!L:L,'Video Database'!G:G,"")</f>
        <v>Nutricost Creatine Monohydrate</v>
      </c>
      <c r="E259" s="100">
        <f t="array" ref="E259">_xlfn.XLOOKUP(A259,'Video Database'!L:L,'Video Database'!H:H,"")</f>
        <v>0.11</v>
      </c>
      <c r="F259" s="101">
        <v>0.0</v>
      </c>
      <c r="G259" s="87">
        <v>0.0</v>
      </c>
      <c r="H259" s="114">
        <f t="array" ref="H259">_xlfn.XLOOKUP(A259,'Video Database'!L:L,'Video Database'!A:A,"")</f>
        <v>46187</v>
      </c>
      <c r="I259" s="103">
        <v>46201.0</v>
      </c>
      <c r="J259" s="104">
        <v>0.0</v>
      </c>
      <c r="K259" s="105"/>
      <c r="L259" s="105" t="str">
        <f t="shared" si="1"/>
        <v/>
      </c>
      <c r="O259" s="106" t="str">
        <f t="shared" si="2"/>
        <v>#N/A</v>
      </c>
      <c r="P259" s="106" t="str">
        <f t="shared" si="3"/>
        <v>#N/A</v>
      </c>
      <c r="Q259" s="84" t="str">
        <f t="shared" si="4"/>
        <v>#N/A</v>
      </c>
      <c r="R259" s="84" t="str">
        <f t="shared" si="5"/>
        <v>#N/A</v>
      </c>
      <c r="S259" s="107">
        <f t="shared" si="6"/>
        <v>-0.11</v>
      </c>
      <c r="T259" s="108">
        <f t="shared" si="7"/>
        <v>-1</v>
      </c>
      <c r="U259" s="106" t="str">
        <f t="shared" si="8"/>
        <v>#N/A</v>
      </c>
      <c r="V259" s="84" t="str">
        <f t="shared" si="9"/>
        <v/>
      </c>
      <c r="W259" s="109" t="str">
        <f t="shared" si="10"/>
        <v/>
      </c>
      <c r="X259" s="109" t="str">
        <f t="shared" si="11"/>
        <v/>
      </c>
      <c r="Y259" s="110" t="str">
        <f t="array" ref="Y259">_xlfn.XLOOKUP(A259,'Video Database'!L:L,'Video Database'!M:M,"")</f>
        <v>Product Overlay</v>
      </c>
    </row>
    <row r="260" ht="22.5" customHeight="1">
      <c r="A260" s="113">
        <f t="shared" si="12"/>
        <v>259</v>
      </c>
      <c r="B260" s="98" t="str">
        <f t="array" ref="B260">_xlfn.XLOOKUP(A260,'Video Database'!L:L,'Video Database'!D:D,"")</f>
        <v>Blakely</v>
      </c>
      <c r="C260" s="98" t="str">
        <f t="array" ref="C260">_xlfn.XLOOKUP(A260,'Video Database'!L:L,'Video Database'!E:E,"")</f>
        <v>Account 1</v>
      </c>
      <c r="D260" s="99" t="str">
        <f t="array" ref="D260">_xlfn.XLOOKUP(A260,'Video Database'!L:L,'Video Database'!G:G,"")</f>
        <v>Mushroom Coffee</v>
      </c>
      <c r="E260" s="100">
        <f t="array" ref="E260">_xlfn.XLOOKUP(A260,'Video Database'!L:L,'Video Database'!H:H,"")</f>
        <v>0.11</v>
      </c>
      <c r="F260" s="101">
        <v>0.0</v>
      </c>
      <c r="G260" s="87">
        <v>0.0</v>
      </c>
      <c r="H260" s="114">
        <f t="array" ref="H260">_xlfn.XLOOKUP(A260,'Video Database'!L:L,'Video Database'!A:A,"")</f>
        <v>46187</v>
      </c>
      <c r="I260" s="103">
        <v>46201.0</v>
      </c>
      <c r="J260" s="104">
        <v>0.0</v>
      </c>
      <c r="K260" s="105"/>
      <c r="L260" s="105" t="str">
        <f t="shared" si="1"/>
        <v/>
      </c>
      <c r="O260" s="106" t="str">
        <f t="shared" si="2"/>
        <v>#N/A</v>
      </c>
      <c r="P260" s="106" t="str">
        <f t="shared" si="3"/>
        <v>#N/A</v>
      </c>
      <c r="Q260" s="84" t="str">
        <f t="shared" si="4"/>
        <v>#N/A</v>
      </c>
      <c r="R260" s="84" t="str">
        <f t="shared" si="5"/>
        <v>#N/A</v>
      </c>
      <c r="S260" s="107">
        <f t="shared" si="6"/>
        <v>-0.11</v>
      </c>
      <c r="T260" s="108">
        <f t="shared" si="7"/>
        <v>-1</v>
      </c>
      <c r="U260" s="106" t="str">
        <f t="shared" si="8"/>
        <v>#N/A</v>
      </c>
      <c r="V260" s="84" t="str">
        <f t="shared" si="9"/>
        <v/>
      </c>
      <c r="W260" s="109" t="str">
        <f t="shared" si="10"/>
        <v/>
      </c>
      <c r="X260" s="109" t="str">
        <f t="shared" si="11"/>
        <v/>
      </c>
      <c r="Y260" s="110" t="str">
        <f t="array" ref="Y260">_xlfn.XLOOKUP(A260,'Video Database'!L:L,'Video Database'!M:M,"")</f>
        <v>Product Overlay</v>
      </c>
    </row>
    <row r="261" ht="22.5" customHeight="1">
      <c r="A261" s="113">
        <f t="shared" si="12"/>
        <v>260</v>
      </c>
      <c r="B261" s="98" t="str">
        <f t="array" ref="B261">_xlfn.XLOOKUP(A261,'Video Database'!L:L,'Video Database'!D:D,"")</f>
        <v>Blakely</v>
      </c>
      <c r="C261" s="98" t="str">
        <f t="array" ref="C261">_xlfn.XLOOKUP(A261,'Video Database'!L:L,'Video Database'!E:E,"")</f>
        <v>Account 1</v>
      </c>
      <c r="D261" s="99" t="str">
        <f t="array" ref="D261">_xlfn.XLOOKUP(A261,'Video Database'!L:L,'Video Database'!G:G,"")</f>
        <v>Beast Bites Creatine Gummies</v>
      </c>
      <c r="E261" s="100">
        <f t="array" ref="E261">_xlfn.XLOOKUP(A261,'Video Database'!L:L,'Video Database'!H:H,"")</f>
        <v>0.11</v>
      </c>
      <c r="F261" s="101">
        <v>0.0</v>
      </c>
      <c r="G261" s="87">
        <v>0.0</v>
      </c>
      <c r="H261" s="114">
        <f t="array" ref="H261">_xlfn.XLOOKUP(A261,'Video Database'!L:L,'Video Database'!A:A,"")</f>
        <v>46187</v>
      </c>
      <c r="I261" s="103">
        <v>46201.0</v>
      </c>
      <c r="J261" s="104">
        <v>0.0</v>
      </c>
      <c r="K261" s="105"/>
      <c r="L261" s="105" t="str">
        <f t="shared" si="1"/>
        <v/>
      </c>
      <c r="O261" s="106" t="str">
        <f t="shared" si="2"/>
        <v>#N/A</v>
      </c>
      <c r="P261" s="106" t="str">
        <f t="shared" si="3"/>
        <v>#N/A</v>
      </c>
      <c r="Q261" s="84" t="str">
        <f t="shared" si="4"/>
        <v>#N/A</v>
      </c>
      <c r="R261" s="84" t="str">
        <f t="shared" si="5"/>
        <v>#N/A</v>
      </c>
      <c r="S261" s="107">
        <f t="shared" si="6"/>
        <v>-0.11</v>
      </c>
      <c r="T261" s="108">
        <f t="shared" si="7"/>
        <v>-1</v>
      </c>
      <c r="U261" s="106" t="str">
        <f t="shared" si="8"/>
        <v>#N/A</v>
      </c>
      <c r="V261" s="84" t="str">
        <f t="shared" si="9"/>
        <v/>
      </c>
      <c r="W261" s="109" t="str">
        <f t="shared" si="10"/>
        <v/>
      </c>
      <c r="X261" s="109" t="str">
        <f t="shared" si="11"/>
        <v/>
      </c>
      <c r="Y261" s="110" t="str">
        <f t="array" ref="Y261">_xlfn.XLOOKUP(A261,'Video Database'!L:L,'Video Database'!M:M,"")</f>
        <v>Product Overlay</v>
      </c>
    </row>
    <row r="262" ht="22.5" customHeight="1">
      <c r="A262" s="113">
        <f t="shared" si="12"/>
        <v>261</v>
      </c>
      <c r="B262" s="98" t="str">
        <f t="array" ref="B262">_xlfn.XLOOKUP(A262,'Video Database'!L:L,'Video Database'!D:D,"")</f>
        <v>Blakely</v>
      </c>
      <c r="C262" s="98" t="str">
        <f t="array" ref="C262">_xlfn.XLOOKUP(A262,'Video Database'!L:L,'Video Database'!E:E,"")</f>
        <v>Account 1</v>
      </c>
      <c r="D262" s="99" t="str">
        <f t="array" ref="D262">_xlfn.XLOOKUP(A262,'Video Database'!L:L,'Video Database'!G:G,"")</f>
        <v>Neurogum Watermelon</v>
      </c>
      <c r="E262" s="100">
        <f t="array" ref="E262">_xlfn.XLOOKUP(A262,'Video Database'!L:L,'Video Database'!H:H,"")</f>
        <v>0.11</v>
      </c>
      <c r="F262" s="101">
        <v>0.0</v>
      </c>
      <c r="G262" s="87">
        <v>0.0</v>
      </c>
      <c r="H262" s="114">
        <f t="array" ref="H262">_xlfn.XLOOKUP(A262,'Video Database'!L:L,'Video Database'!A:A,"")</f>
        <v>46187</v>
      </c>
      <c r="I262" s="103">
        <v>46201.0</v>
      </c>
      <c r="J262" s="104">
        <v>0.0</v>
      </c>
      <c r="K262" s="105"/>
      <c r="L262" s="105" t="str">
        <f t="shared" si="1"/>
        <v/>
      </c>
      <c r="O262" s="106" t="str">
        <f t="shared" si="2"/>
        <v>#N/A</v>
      </c>
      <c r="P262" s="106" t="str">
        <f t="shared" si="3"/>
        <v>#N/A</v>
      </c>
      <c r="Q262" s="84" t="str">
        <f t="shared" si="4"/>
        <v>#N/A</v>
      </c>
      <c r="R262" s="84" t="str">
        <f t="shared" si="5"/>
        <v>#N/A</v>
      </c>
      <c r="S262" s="107">
        <f t="shared" si="6"/>
        <v>-0.11</v>
      </c>
      <c r="T262" s="108">
        <f t="shared" si="7"/>
        <v>-1</v>
      </c>
      <c r="U262" s="106" t="str">
        <f t="shared" si="8"/>
        <v>#N/A</v>
      </c>
      <c r="V262" s="84" t="str">
        <f t="shared" si="9"/>
        <v/>
      </c>
      <c r="W262" s="109" t="str">
        <f t="shared" si="10"/>
        <v/>
      </c>
      <c r="X262" s="109" t="str">
        <f t="shared" si="11"/>
        <v/>
      </c>
      <c r="Y262" s="110" t="str">
        <f t="array" ref="Y262">_xlfn.XLOOKUP(A262,'Video Database'!L:L,'Video Database'!M:M,"")</f>
        <v>Product Overlay</v>
      </c>
    </row>
    <row r="263" ht="22.5" customHeight="1">
      <c r="A263" s="113">
        <f t="shared" si="12"/>
        <v>262</v>
      </c>
      <c r="B263" s="98" t="str">
        <f t="array" ref="B263">_xlfn.XLOOKUP(A263,'Video Database'!L:L,'Video Database'!D:D,"")</f>
        <v>Blakely</v>
      </c>
      <c r="C263" s="98" t="str">
        <f t="array" ref="C263">_xlfn.XLOOKUP(A263,'Video Database'!L:L,'Video Database'!E:E,"")</f>
        <v>Account 1</v>
      </c>
      <c r="D263" s="99" t="str">
        <f t="array" ref="D263">_xlfn.XLOOKUP(A263,'Video Database'!L:L,'Video Database'!G:G,"")</f>
        <v>Physician's Choice Probiotic Gummies</v>
      </c>
      <c r="E263" s="100">
        <f t="array" ref="E263">_xlfn.XLOOKUP(A263,'Video Database'!L:L,'Video Database'!H:H,"")</f>
        <v>0.11</v>
      </c>
      <c r="F263" s="101">
        <v>0.0</v>
      </c>
      <c r="G263" s="87">
        <v>0.0</v>
      </c>
      <c r="H263" s="114">
        <f t="array" ref="H263">_xlfn.XLOOKUP(A263,'Video Database'!L:L,'Video Database'!A:A,"")</f>
        <v>46187</v>
      </c>
      <c r="I263" s="103">
        <v>46201.0</v>
      </c>
      <c r="J263" s="104">
        <v>0.0</v>
      </c>
      <c r="K263" s="105"/>
      <c r="L263" s="105" t="str">
        <f t="shared" si="1"/>
        <v/>
      </c>
      <c r="O263" s="106" t="str">
        <f t="shared" si="2"/>
        <v>#N/A</v>
      </c>
      <c r="P263" s="106" t="str">
        <f t="shared" si="3"/>
        <v>#N/A</v>
      </c>
      <c r="Q263" s="84" t="str">
        <f t="shared" si="4"/>
        <v>#N/A</v>
      </c>
      <c r="R263" s="84" t="str">
        <f t="shared" si="5"/>
        <v>#N/A</v>
      </c>
      <c r="S263" s="107">
        <f t="shared" si="6"/>
        <v>-0.11</v>
      </c>
      <c r="T263" s="108">
        <f t="shared" si="7"/>
        <v>-1</v>
      </c>
      <c r="U263" s="106" t="str">
        <f t="shared" si="8"/>
        <v>#N/A</v>
      </c>
      <c r="V263" s="84" t="str">
        <f t="shared" si="9"/>
        <v/>
      </c>
      <c r="W263" s="109" t="str">
        <f t="shared" si="10"/>
        <v/>
      </c>
      <c r="X263" s="109" t="str">
        <f t="shared" si="11"/>
        <v/>
      </c>
      <c r="Y263" s="110" t="str">
        <f t="array" ref="Y263">_xlfn.XLOOKUP(A263,'Video Database'!L:L,'Video Database'!M:M,"")</f>
        <v>Product Overlay</v>
      </c>
    </row>
    <row r="264" ht="22.5" customHeight="1">
      <c r="A264" s="113">
        <f t="shared" si="12"/>
        <v>263</v>
      </c>
      <c r="B264" s="98" t="str">
        <f t="array" ref="B264">_xlfn.XLOOKUP(A264,'Video Database'!L:L,'Video Database'!D:D,"")</f>
        <v>Blakely</v>
      </c>
      <c r="C264" s="98" t="str">
        <f t="array" ref="C264">_xlfn.XLOOKUP(A264,'Video Database'!L:L,'Video Database'!E:E,"")</f>
        <v>Account 1</v>
      </c>
      <c r="D264" s="99" t="str">
        <f t="array" ref="D264">_xlfn.XLOOKUP(A264,'Video Database'!L:L,'Video Database'!G:G,"")</f>
        <v>Nello Supercalm Drink Mix</v>
      </c>
      <c r="E264" s="100">
        <f t="array" ref="E264">_xlfn.XLOOKUP(A264,'Video Database'!L:L,'Video Database'!H:H,"")</f>
        <v>0.11</v>
      </c>
      <c r="F264" s="101">
        <v>0.0</v>
      </c>
      <c r="G264" s="87">
        <v>0.0</v>
      </c>
      <c r="H264" s="114">
        <f t="array" ref="H264">_xlfn.XLOOKUP(A264,'Video Database'!L:L,'Video Database'!A:A,"")</f>
        <v>46187</v>
      </c>
      <c r="I264" s="103">
        <v>46201.0</v>
      </c>
      <c r="J264" s="104">
        <v>0.0</v>
      </c>
      <c r="K264" s="105"/>
      <c r="L264" s="105" t="str">
        <f t="shared" si="1"/>
        <v/>
      </c>
      <c r="O264" s="106" t="str">
        <f t="shared" si="2"/>
        <v>#N/A</v>
      </c>
      <c r="P264" s="106" t="str">
        <f t="shared" si="3"/>
        <v>#N/A</v>
      </c>
      <c r="Q264" s="84" t="str">
        <f t="shared" si="4"/>
        <v>#N/A</v>
      </c>
      <c r="R264" s="84" t="str">
        <f t="shared" si="5"/>
        <v>#N/A</v>
      </c>
      <c r="S264" s="107">
        <f t="shared" si="6"/>
        <v>-0.11</v>
      </c>
      <c r="T264" s="108">
        <f t="shared" si="7"/>
        <v>-1</v>
      </c>
      <c r="U264" s="106" t="str">
        <f t="shared" si="8"/>
        <v>#N/A</v>
      </c>
      <c r="V264" s="84" t="str">
        <f t="shared" si="9"/>
        <v/>
      </c>
      <c r="W264" s="109" t="str">
        <f t="shared" si="10"/>
        <v/>
      </c>
      <c r="X264" s="109" t="str">
        <f t="shared" si="11"/>
        <v/>
      </c>
      <c r="Y264" s="110" t="str">
        <f t="array" ref="Y264">_xlfn.XLOOKUP(A264,'Video Database'!L:L,'Video Database'!M:M,"")</f>
        <v>Product Overlay</v>
      </c>
    </row>
    <row r="265" ht="22.5" customHeight="1">
      <c r="A265" s="113">
        <f t="shared" si="12"/>
        <v>264</v>
      </c>
      <c r="B265" s="98" t="str">
        <f t="array" ref="B265">_xlfn.XLOOKUP(A265,'Video Database'!L:L,'Video Database'!D:D,"")</f>
        <v>Blakely</v>
      </c>
      <c r="C265" s="98" t="str">
        <f t="array" ref="C265">_xlfn.XLOOKUP(A265,'Video Database'!L:L,'Video Database'!E:E,"")</f>
        <v>Account 1</v>
      </c>
      <c r="D265" s="99" t="str">
        <f t="array" ref="D265">_xlfn.XLOOKUP(A265,'Video Database'!L:L,'Video Database'!G:G,"")</f>
        <v>BetterAlt Shilajit Honey Sticks</v>
      </c>
      <c r="E265" s="100">
        <f t="array" ref="E265">_xlfn.XLOOKUP(A265,'Video Database'!L:L,'Video Database'!H:H,"")</f>
        <v>0.11</v>
      </c>
      <c r="F265" s="101">
        <v>0.0</v>
      </c>
      <c r="G265" s="87">
        <v>0.0</v>
      </c>
      <c r="H265" s="114">
        <f t="array" ref="H265">_xlfn.XLOOKUP(A265,'Video Database'!L:L,'Video Database'!A:A,"")</f>
        <v>46187</v>
      </c>
      <c r="I265" s="103">
        <v>46201.0</v>
      </c>
      <c r="J265" s="104">
        <v>0.0</v>
      </c>
      <c r="K265" s="105"/>
      <c r="L265" s="105" t="str">
        <f t="shared" si="1"/>
        <v/>
      </c>
      <c r="O265" s="106" t="str">
        <f t="shared" si="2"/>
        <v>#N/A</v>
      </c>
      <c r="P265" s="106" t="str">
        <f t="shared" si="3"/>
        <v>#N/A</v>
      </c>
      <c r="Q265" s="84" t="str">
        <f t="shared" si="4"/>
        <v>#N/A</v>
      </c>
      <c r="R265" s="84" t="str">
        <f t="shared" si="5"/>
        <v>#N/A</v>
      </c>
      <c r="S265" s="107">
        <f t="shared" si="6"/>
        <v>-0.11</v>
      </c>
      <c r="T265" s="108">
        <f t="shared" si="7"/>
        <v>-1</v>
      </c>
      <c r="U265" s="106" t="str">
        <f t="shared" si="8"/>
        <v>#N/A</v>
      </c>
      <c r="V265" s="84" t="str">
        <f t="shared" si="9"/>
        <v/>
      </c>
      <c r="W265" s="109" t="str">
        <f t="shared" si="10"/>
        <v/>
      </c>
      <c r="X265" s="109" t="str">
        <f t="shared" si="11"/>
        <v/>
      </c>
      <c r="Y265" s="110" t="str">
        <f t="array" ref="Y265">_xlfn.XLOOKUP(A265,'Video Database'!L:L,'Video Database'!M:M,"")</f>
        <v>Product Overlay</v>
      </c>
    </row>
    <row r="266" ht="22.5" customHeight="1">
      <c r="A266" s="113">
        <f t="shared" si="12"/>
        <v>265</v>
      </c>
      <c r="B266" s="98" t="str">
        <f t="array" ref="B266">_xlfn.XLOOKUP(A266,'Video Database'!L:L,'Video Database'!D:D,"")</f>
        <v>Blakely</v>
      </c>
      <c r="C266" s="98" t="str">
        <f t="array" ref="C266">_xlfn.XLOOKUP(A266,'Video Database'!L:L,'Video Database'!E:E,"")</f>
        <v>Account 1</v>
      </c>
      <c r="D266" s="99" t="str">
        <f t="array" ref="D266">_xlfn.XLOOKUP(A266,'Video Database'!L:L,'Video Database'!G:G,"")</f>
        <v>Squish Energy Preworkout Jello Shots</v>
      </c>
      <c r="E266" s="100">
        <f t="array" ref="E266">_xlfn.XLOOKUP(A266,'Video Database'!L:L,'Video Database'!H:H,"")</f>
        <v>0.11</v>
      </c>
      <c r="F266" s="101">
        <v>0.0</v>
      </c>
      <c r="G266" s="87">
        <v>0.0</v>
      </c>
      <c r="H266" s="114">
        <f t="array" ref="H266">_xlfn.XLOOKUP(A266,'Video Database'!L:L,'Video Database'!A:A,"")</f>
        <v>46187</v>
      </c>
      <c r="I266" s="103">
        <v>46201.0</v>
      </c>
      <c r="J266" s="104">
        <v>0.0</v>
      </c>
      <c r="K266" s="105"/>
      <c r="L266" s="105" t="str">
        <f t="shared" si="1"/>
        <v/>
      </c>
      <c r="O266" s="106" t="str">
        <f t="shared" si="2"/>
        <v>#N/A</v>
      </c>
      <c r="P266" s="106" t="str">
        <f t="shared" si="3"/>
        <v>#N/A</v>
      </c>
      <c r="Q266" s="84" t="str">
        <f t="shared" si="4"/>
        <v>#N/A</v>
      </c>
      <c r="R266" s="84" t="str">
        <f t="shared" si="5"/>
        <v>#N/A</v>
      </c>
      <c r="S266" s="107">
        <f t="shared" si="6"/>
        <v>-0.11</v>
      </c>
      <c r="T266" s="108">
        <f t="shared" si="7"/>
        <v>-1</v>
      </c>
      <c r="U266" s="106" t="str">
        <f t="shared" si="8"/>
        <v>#N/A</v>
      </c>
      <c r="V266" s="84" t="str">
        <f t="shared" si="9"/>
        <v/>
      </c>
      <c r="W266" s="109" t="str">
        <f t="shared" si="10"/>
        <v/>
      </c>
      <c r="X266" s="109" t="str">
        <f t="shared" si="11"/>
        <v/>
      </c>
      <c r="Y266" s="110" t="str">
        <f t="array" ref="Y266">_xlfn.XLOOKUP(A266,'Video Database'!L:L,'Video Database'!M:M,"")</f>
        <v>Product Overlay</v>
      </c>
    </row>
    <row r="267" ht="22.5" customHeight="1">
      <c r="A267" s="113">
        <f t="shared" si="12"/>
        <v>266</v>
      </c>
      <c r="B267" s="98" t="str">
        <f t="array" ref="B267">_xlfn.XLOOKUP(A267,'Video Database'!L:L,'Video Database'!D:D,"")</f>
        <v>Blakely</v>
      </c>
      <c r="C267" s="98" t="str">
        <f t="array" ref="C267">_xlfn.XLOOKUP(A267,'Video Database'!L:L,'Video Database'!E:E,"")</f>
        <v>Account 1</v>
      </c>
      <c r="D267" s="99" t="str">
        <f t="array" ref="D267">_xlfn.XLOOKUP(A267,'Video Database'!L:L,'Video Database'!G:G,"")</f>
        <v>Squish Energy Preworkout Jello Shots</v>
      </c>
      <c r="E267" s="100">
        <f t="array" ref="E267">_xlfn.XLOOKUP(A267,'Video Database'!L:L,'Video Database'!H:H,"")</f>
        <v>0.11</v>
      </c>
      <c r="F267" s="101">
        <v>0.0</v>
      </c>
      <c r="G267" s="87">
        <v>0.0</v>
      </c>
      <c r="H267" s="114">
        <f t="array" ref="H267">_xlfn.XLOOKUP(A267,'Video Database'!L:L,'Video Database'!A:A,"")</f>
        <v>46187</v>
      </c>
      <c r="I267" s="103">
        <v>46201.0</v>
      </c>
      <c r="J267" s="104">
        <v>0.0</v>
      </c>
      <c r="K267" s="105"/>
      <c r="L267" s="105" t="str">
        <f t="shared" si="1"/>
        <v/>
      </c>
      <c r="O267" s="106" t="str">
        <f t="shared" si="2"/>
        <v>#N/A</v>
      </c>
      <c r="P267" s="106" t="str">
        <f t="shared" si="3"/>
        <v>#N/A</v>
      </c>
      <c r="Q267" s="84" t="str">
        <f t="shared" si="4"/>
        <v>#N/A</v>
      </c>
      <c r="R267" s="84" t="str">
        <f t="shared" si="5"/>
        <v>#N/A</v>
      </c>
      <c r="S267" s="107">
        <f t="shared" si="6"/>
        <v>-0.11</v>
      </c>
      <c r="T267" s="108">
        <f t="shared" si="7"/>
        <v>-1</v>
      </c>
      <c r="U267" s="106" t="str">
        <f t="shared" si="8"/>
        <v>#N/A</v>
      </c>
      <c r="V267" s="84" t="str">
        <f t="shared" si="9"/>
        <v/>
      </c>
      <c r="W267" s="109" t="str">
        <f t="shared" si="10"/>
        <v/>
      </c>
      <c r="X267" s="109" t="str">
        <f t="shared" si="11"/>
        <v/>
      </c>
      <c r="Y267" s="110" t="str">
        <f t="array" ref="Y267">_xlfn.XLOOKUP(A267,'Video Database'!L:L,'Video Database'!M:M,"")</f>
        <v>Bottom of Funnel</v>
      </c>
    </row>
    <row r="268" ht="22.5" customHeight="1">
      <c r="A268" s="113">
        <f t="shared" si="12"/>
        <v>267</v>
      </c>
      <c r="B268" s="98" t="str">
        <f t="array" ref="B268">_xlfn.XLOOKUP(A268,'Video Database'!L:L,'Video Database'!D:D,"")</f>
        <v>Blakely</v>
      </c>
      <c r="C268" s="98" t="str">
        <f t="array" ref="C268">_xlfn.XLOOKUP(A268,'Video Database'!L:L,'Video Database'!E:E,"")</f>
        <v>Account 1</v>
      </c>
      <c r="D268" s="99" t="str">
        <f t="array" ref="D268">_xlfn.XLOOKUP(A268,'Video Database'!L:L,'Video Database'!G:G,"")</f>
        <v>Nello Supercalm Drink Mix</v>
      </c>
      <c r="E268" s="100">
        <f t="array" ref="E268">_xlfn.XLOOKUP(A268,'Video Database'!L:L,'Video Database'!H:H,"")</f>
        <v>0.11</v>
      </c>
      <c r="F268" s="101">
        <v>0.0</v>
      </c>
      <c r="G268" s="87">
        <v>0.0</v>
      </c>
      <c r="H268" s="114">
        <f t="array" ref="H268">_xlfn.XLOOKUP(A268,'Video Database'!L:L,'Video Database'!A:A,"")</f>
        <v>46187</v>
      </c>
      <c r="I268" s="103">
        <v>46201.0</v>
      </c>
      <c r="J268" s="104">
        <v>0.0</v>
      </c>
      <c r="K268" s="105"/>
      <c r="L268" s="105" t="str">
        <f t="shared" si="1"/>
        <v/>
      </c>
      <c r="O268" s="106" t="str">
        <f t="shared" si="2"/>
        <v>#N/A</v>
      </c>
      <c r="P268" s="106" t="str">
        <f t="shared" si="3"/>
        <v>#N/A</v>
      </c>
      <c r="Q268" s="84" t="str">
        <f t="shared" si="4"/>
        <v>#N/A</v>
      </c>
      <c r="R268" s="84" t="str">
        <f t="shared" si="5"/>
        <v>#N/A</v>
      </c>
      <c r="S268" s="107">
        <f t="shared" si="6"/>
        <v>-0.11</v>
      </c>
      <c r="T268" s="108">
        <f t="shared" si="7"/>
        <v>-1</v>
      </c>
      <c r="U268" s="106" t="str">
        <f t="shared" si="8"/>
        <v>#N/A</v>
      </c>
      <c r="V268" s="84" t="str">
        <f t="shared" si="9"/>
        <v/>
      </c>
      <c r="W268" s="109" t="str">
        <f t="shared" si="10"/>
        <v/>
      </c>
      <c r="X268" s="109" t="str">
        <f t="shared" si="11"/>
        <v/>
      </c>
      <c r="Y268" s="110" t="str">
        <f t="array" ref="Y268">_xlfn.XLOOKUP(A268,'Video Database'!L:L,'Video Database'!M:M,"")</f>
        <v>Bottom of Funnel</v>
      </c>
    </row>
    <row r="269" ht="22.5" customHeight="1">
      <c r="A269" s="113">
        <f t="shared" si="12"/>
        <v>268</v>
      </c>
      <c r="B269" s="98" t="str">
        <f t="array" ref="B269">_xlfn.XLOOKUP(A269,'Video Database'!L:L,'Video Database'!D:D,"")</f>
        <v>Blakely</v>
      </c>
      <c r="C269" s="98" t="str">
        <f t="array" ref="C269">_xlfn.XLOOKUP(A269,'Video Database'!L:L,'Video Database'!E:E,"")</f>
        <v>Account 1</v>
      </c>
      <c r="D269" s="99" t="str">
        <f t="array" ref="D269">_xlfn.XLOOKUP(A269,'Video Database'!L:L,'Video Database'!G:G,"")</f>
        <v>Beast Bites Creatine Gummies</v>
      </c>
      <c r="E269" s="100">
        <f t="array" ref="E269">_xlfn.XLOOKUP(A269,'Video Database'!L:L,'Video Database'!H:H,"")</f>
        <v>0.11</v>
      </c>
      <c r="F269" s="101">
        <v>0.0</v>
      </c>
      <c r="G269" s="87">
        <v>0.0</v>
      </c>
      <c r="H269" s="114">
        <f t="array" ref="H269">_xlfn.XLOOKUP(A269,'Video Database'!L:L,'Video Database'!A:A,"")</f>
        <v>46187</v>
      </c>
      <c r="I269" s="103">
        <v>46201.0</v>
      </c>
      <c r="J269" s="104">
        <v>0.0</v>
      </c>
      <c r="K269" s="105"/>
      <c r="L269" s="105" t="str">
        <f t="shared" si="1"/>
        <v/>
      </c>
      <c r="O269" s="106" t="str">
        <f t="shared" si="2"/>
        <v>#N/A</v>
      </c>
      <c r="P269" s="106" t="str">
        <f t="shared" si="3"/>
        <v>#N/A</v>
      </c>
      <c r="Q269" s="84" t="str">
        <f t="shared" si="4"/>
        <v>#N/A</v>
      </c>
      <c r="R269" s="84" t="str">
        <f t="shared" si="5"/>
        <v>#N/A</v>
      </c>
      <c r="S269" s="107">
        <f t="shared" si="6"/>
        <v>-0.11</v>
      </c>
      <c r="T269" s="108">
        <f t="shared" si="7"/>
        <v>-1</v>
      </c>
      <c r="U269" s="106" t="str">
        <f t="shared" si="8"/>
        <v>#N/A</v>
      </c>
      <c r="V269" s="84" t="str">
        <f t="shared" si="9"/>
        <v/>
      </c>
      <c r="W269" s="109" t="str">
        <f t="shared" si="10"/>
        <v/>
      </c>
      <c r="X269" s="109" t="str">
        <f t="shared" si="11"/>
        <v/>
      </c>
      <c r="Y269" s="110" t="str">
        <f t="array" ref="Y269">_xlfn.XLOOKUP(A269,'Video Database'!L:L,'Video Database'!M:M,"")</f>
        <v>Bottom of Funnel</v>
      </c>
    </row>
    <row r="270" ht="22.5" customHeight="1">
      <c r="A270" s="113">
        <f t="shared" si="12"/>
        <v>269</v>
      </c>
      <c r="B270" s="98" t="str">
        <f t="array" ref="B270">_xlfn.XLOOKUP(A270,'Video Database'!L:L,'Video Database'!D:D,"")</f>
        <v>Blakely</v>
      </c>
      <c r="C270" s="98" t="str">
        <f t="array" ref="C270">_xlfn.XLOOKUP(A270,'Video Database'!L:L,'Video Database'!E:E,"")</f>
        <v>Account 1</v>
      </c>
      <c r="D270" s="99" t="str">
        <f t="array" ref="D270">_xlfn.XLOOKUP(A270,'Video Database'!L:L,'Video Database'!G:G,"")</f>
        <v>Mushroom Coffee</v>
      </c>
      <c r="E270" s="100">
        <f t="array" ref="E270">_xlfn.XLOOKUP(A270,'Video Database'!L:L,'Video Database'!H:H,"")</f>
        <v>0.11</v>
      </c>
      <c r="F270" s="101">
        <v>0.0</v>
      </c>
      <c r="G270" s="87">
        <v>0.0</v>
      </c>
      <c r="H270" s="114">
        <f t="array" ref="H270">_xlfn.XLOOKUP(A270,'Video Database'!L:L,'Video Database'!A:A,"")</f>
        <v>46187</v>
      </c>
      <c r="I270" s="103">
        <v>46201.0</v>
      </c>
      <c r="J270" s="104">
        <v>0.0</v>
      </c>
      <c r="K270" s="105"/>
      <c r="L270" s="105" t="str">
        <f t="shared" si="1"/>
        <v/>
      </c>
      <c r="O270" s="106" t="str">
        <f t="shared" si="2"/>
        <v>#N/A</v>
      </c>
      <c r="P270" s="106" t="str">
        <f t="shared" si="3"/>
        <v>#N/A</v>
      </c>
      <c r="Q270" s="84" t="str">
        <f t="shared" si="4"/>
        <v>#N/A</v>
      </c>
      <c r="R270" s="84" t="str">
        <f t="shared" si="5"/>
        <v>#N/A</v>
      </c>
      <c r="S270" s="107">
        <f t="shared" si="6"/>
        <v>-0.11</v>
      </c>
      <c r="T270" s="108">
        <f t="shared" si="7"/>
        <v>-1</v>
      </c>
      <c r="U270" s="106" t="str">
        <f t="shared" si="8"/>
        <v>#N/A</v>
      </c>
      <c r="V270" s="84" t="str">
        <f t="shared" si="9"/>
        <v/>
      </c>
      <c r="W270" s="109" t="str">
        <f t="shared" si="10"/>
        <v/>
      </c>
      <c r="X270" s="109" t="str">
        <f t="shared" si="11"/>
        <v/>
      </c>
      <c r="Y270" s="110" t="str">
        <f t="array" ref="Y270">_xlfn.XLOOKUP(A270,'Video Database'!L:L,'Video Database'!M:M,"")</f>
        <v>Bottom of Funnel</v>
      </c>
    </row>
    <row r="271" ht="22.5" customHeight="1">
      <c r="A271" s="113">
        <f t="shared" si="12"/>
        <v>270</v>
      </c>
      <c r="B271" s="98" t="str">
        <f t="array" ref="B271">_xlfn.XLOOKUP(A271,'Video Database'!L:L,'Video Database'!D:D,"")</f>
        <v>Blakely</v>
      </c>
      <c r="C271" s="98" t="str">
        <f t="array" ref="C271">_xlfn.XLOOKUP(A271,'Video Database'!L:L,'Video Database'!E:E,"")</f>
        <v>Account 1</v>
      </c>
      <c r="D271" s="99" t="str">
        <f t="array" ref="D271">_xlfn.XLOOKUP(A271,'Video Database'!L:L,'Video Database'!G:G,"")</f>
        <v>BioEmblem Magnesium</v>
      </c>
      <c r="E271" s="100">
        <f t="array" ref="E271">_xlfn.XLOOKUP(A271,'Video Database'!L:L,'Video Database'!H:H,"")</f>
        <v>0.11</v>
      </c>
      <c r="F271" s="101">
        <v>0.0</v>
      </c>
      <c r="G271" s="87">
        <v>0.0</v>
      </c>
      <c r="H271" s="114">
        <f t="array" ref="H271">_xlfn.XLOOKUP(A271,'Video Database'!L:L,'Video Database'!A:A,"")</f>
        <v>46187</v>
      </c>
      <c r="I271" s="103">
        <v>46201.0</v>
      </c>
      <c r="J271" s="104">
        <v>0.0</v>
      </c>
      <c r="K271" s="105"/>
      <c r="L271" s="105" t="str">
        <f t="shared" si="1"/>
        <v/>
      </c>
      <c r="O271" s="106" t="str">
        <f t="shared" si="2"/>
        <v>#N/A</v>
      </c>
      <c r="P271" s="106" t="str">
        <f t="shared" si="3"/>
        <v>#N/A</v>
      </c>
      <c r="Q271" s="84" t="str">
        <f t="shared" si="4"/>
        <v>#N/A</v>
      </c>
      <c r="R271" s="84" t="str">
        <f t="shared" si="5"/>
        <v>#N/A</v>
      </c>
      <c r="S271" s="107">
        <f t="shared" si="6"/>
        <v>-0.11</v>
      </c>
      <c r="T271" s="108">
        <f t="shared" si="7"/>
        <v>-1</v>
      </c>
      <c r="U271" s="106" t="str">
        <f t="shared" si="8"/>
        <v>#N/A</v>
      </c>
      <c r="V271" s="84" t="str">
        <f t="shared" si="9"/>
        <v/>
      </c>
      <c r="W271" s="109" t="str">
        <f t="shared" si="10"/>
        <v/>
      </c>
      <c r="X271" s="109" t="str">
        <f t="shared" si="11"/>
        <v/>
      </c>
      <c r="Y271" s="110" t="str">
        <f t="array" ref="Y271">_xlfn.XLOOKUP(A271,'Video Database'!L:L,'Video Database'!M:M,"")</f>
        <v>Bottom of Funnel</v>
      </c>
    </row>
    <row r="272" ht="22.5" customHeight="1">
      <c r="A272" s="113">
        <f t="shared" si="12"/>
        <v>271</v>
      </c>
      <c r="B272" s="98" t="str">
        <f t="array" ref="B272">_xlfn.XLOOKUP(A272,'Video Database'!L:L,'Video Database'!D:D,"")</f>
        <v>Blakely</v>
      </c>
      <c r="C272" s="98" t="str">
        <f t="array" ref="C272">_xlfn.XLOOKUP(A272,'Video Database'!L:L,'Video Database'!E:E,"")</f>
        <v>Account 1</v>
      </c>
      <c r="D272" s="99" t="str">
        <f t="array" ref="D272">_xlfn.XLOOKUP(A272,'Video Database'!L:L,'Video Database'!G:G,"")</f>
        <v>Nutricost Creatine Monohydrate</v>
      </c>
      <c r="E272" s="100">
        <f t="array" ref="E272">_xlfn.XLOOKUP(A272,'Video Database'!L:L,'Video Database'!H:H,"")</f>
        <v>0.11</v>
      </c>
      <c r="F272" s="101">
        <v>0.0</v>
      </c>
      <c r="G272" s="87">
        <v>0.0</v>
      </c>
      <c r="H272" s="114">
        <f t="array" ref="H272">_xlfn.XLOOKUP(A272,'Video Database'!L:L,'Video Database'!A:A,"")</f>
        <v>46187</v>
      </c>
      <c r="I272" s="103">
        <v>46201.0</v>
      </c>
      <c r="J272" s="104">
        <v>0.0</v>
      </c>
      <c r="K272" s="105"/>
      <c r="L272" s="105" t="str">
        <f t="shared" si="1"/>
        <v/>
      </c>
      <c r="O272" s="106" t="str">
        <f t="shared" si="2"/>
        <v>#N/A</v>
      </c>
      <c r="P272" s="106" t="str">
        <f t="shared" si="3"/>
        <v>#N/A</v>
      </c>
      <c r="Q272" s="84" t="str">
        <f t="shared" si="4"/>
        <v>#N/A</v>
      </c>
      <c r="R272" s="84" t="str">
        <f t="shared" si="5"/>
        <v>#N/A</v>
      </c>
      <c r="S272" s="107">
        <f t="shared" si="6"/>
        <v>-0.11</v>
      </c>
      <c r="T272" s="108">
        <f t="shared" si="7"/>
        <v>-1</v>
      </c>
      <c r="U272" s="106" t="str">
        <f t="shared" si="8"/>
        <v>#N/A</v>
      </c>
      <c r="V272" s="84" t="str">
        <f t="shared" si="9"/>
        <v/>
      </c>
      <c r="W272" s="109" t="str">
        <f t="shared" si="10"/>
        <v/>
      </c>
      <c r="X272" s="109" t="str">
        <f t="shared" si="11"/>
        <v/>
      </c>
      <c r="Y272" s="110" t="str">
        <f t="array" ref="Y272">_xlfn.XLOOKUP(A272,'Video Database'!L:L,'Video Database'!M:M,"")</f>
        <v>Bottom of Funnel</v>
      </c>
    </row>
    <row r="273" ht="22.5" customHeight="1">
      <c r="A273" s="113">
        <f t="shared" si="12"/>
        <v>272</v>
      </c>
      <c r="B273" s="98" t="str">
        <f t="array" ref="B273">_xlfn.XLOOKUP(A273,'Video Database'!L:L,'Video Database'!D:D,"")</f>
        <v>Blakely</v>
      </c>
      <c r="C273" s="98" t="str">
        <f t="array" ref="C273">_xlfn.XLOOKUP(A273,'Video Database'!L:L,'Video Database'!E:E,"")</f>
        <v>Account 1</v>
      </c>
      <c r="D273" s="99" t="str">
        <f t="array" ref="D273">_xlfn.XLOOKUP(A273,'Video Database'!L:L,'Video Database'!G:G,"")</f>
        <v>Goli Women's Complete Multi Gummy</v>
      </c>
      <c r="E273" s="100">
        <f t="array" ref="E273">_xlfn.XLOOKUP(A273,'Video Database'!L:L,'Video Database'!H:H,"")</f>
        <v>0.11</v>
      </c>
      <c r="F273" s="101">
        <v>0.0</v>
      </c>
      <c r="G273" s="87">
        <v>0.0</v>
      </c>
      <c r="H273" s="114">
        <f t="array" ref="H273">_xlfn.XLOOKUP(A273,'Video Database'!L:L,'Video Database'!A:A,"")</f>
        <v>46188</v>
      </c>
      <c r="I273" s="103">
        <v>46201.0</v>
      </c>
      <c r="J273" s="104">
        <v>0.0</v>
      </c>
      <c r="K273" s="105"/>
      <c r="L273" s="105" t="str">
        <f t="shared" si="1"/>
        <v/>
      </c>
      <c r="O273" s="106" t="str">
        <f t="shared" si="2"/>
        <v>#N/A</v>
      </c>
      <c r="P273" s="106" t="str">
        <f t="shared" si="3"/>
        <v>#N/A</v>
      </c>
      <c r="Q273" s="84" t="str">
        <f t="shared" si="4"/>
        <v>#N/A</v>
      </c>
      <c r="R273" s="84" t="str">
        <f t="shared" si="5"/>
        <v>#N/A</v>
      </c>
      <c r="S273" s="107">
        <f t="shared" si="6"/>
        <v>-0.11</v>
      </c>
      <c r="T273" s="108">
        <f t="shared" si="7"/>
        <v>-1</v>
      </c>
      <c r="U273" s="106" t="str">
        <f t="shared" si="8"/>
        <v>#N/A</v>
      </c>
      <c r="V273" s="84" t="str">
        <f t="shared" si="9"/>
        <v/>
      </c>
      <c r="W273" s="109" t="str">
        <f t="shared" si="10"/>
        <v/>
      </c>
      <c r="X273" s="109" t="str">
        <f t="shared" si="11"/>
        <v/>
      </c>
      <c r="Y273" s="110" t="str">
        <f t="array" ref="Y273">_xlfn.XLOOKUP(A273,'Video Database'!L:L,'Video Database'!M:M,"")</f>
        <v>Bottom of Funnel</v>
      </c>
    </row>
    <row r="274" ht="22.5" customHeight="1">
      <c r="A274" s="113">
        <f t="shared" si="12"/>
        <v>273</v>
      </c>
      <c r="B274" s="98" t="str">
        <f t="array" ref="B274">_xlfn.XLOOKUP(A274,'Video Database'!L:L,'Video Database'!D:D,"")</f>
        <v>Blakely</v>
      </c>
      <c r="C274" s="98" t="str">
        <f t="array" ref="C274">_xlfn.XLOOKUP(A274,'Video Database'!L:L,'Video Database'!E:E,"")</f>
        <v>Account 1</v>
      </c>
      <c r="D274" s="99" t="str">
        <f t="array" ref="D274">_xlfn.XLOOKUP(A274,'Video Database'!L:L,'Video Database'!G:G,"")</f>
        <v>Physician's Choice Probiotic Gummies</v>
      </c>
      <c r="E274" s="100">
        <f t="array" ref="E274">_xlfn.XLOOKUP(A274,'Video Database'!L:L,'Video Database'!H:H,"")</f>
        <v>0.11</v>
      </c>
      <c r="F274" s="101">
        <v>0.0</v>
      </c>
      <c r="G274" s="87">
        <v>0.0</v>
      </c>
      <c r="H274" s="114">
        <f t="array" ref="H274">_xlfn.XLOOKUP(A274,'Video Database'!L:L,'Video Database'!A:A,"")</f>
        <v>46188</v>
      </c>
      <c r="I274" s="103">
        <v>46201.0</v>
      </c>
      <c r="J274" s="104">
        <v>0.0</v>
      </c>
      <c r="K274" s="105"/>
      <c r="L274" s="105" t="str">
        <f t="shared" si="1"/>
        <v/>
      </c>
      <c r="O274" s="106" t="str">
        <f t="shared" si="2"/>
        <v>#N/A</v>
      </c>
      <c r="P274" s="106" t="str">
        <f t="shared" si="3"/>
        <v>#N/A</v>
      </c>
      <c r="Q274" s="84" t="str">
        <f t="shared" si="4"/>
        <v>#N/A</v>
      </c>
      <c r="R274" s="84" t="str">
        <f t="shared" si="5"/>
        <v>#N/A</v>
      </c>
      <c r="S274" s="107">
        <f t="shared" si="6"/>
        <v>-0.11</v>
      </c>
      <c r="T274" s="108">
        <f t="shared" si="7"/>
        <v>-1</v>
      </c>
      <c r="U274" s="106" t="str">
        <f t="shared" si="8"/>
        <v>#N/A</v>
      </c>
      <c r="V274" s="84" t="str">
        <f t="shared" si="9"/>
        <v/>
      </c>
      <c r="W274" s="109" t="str">
        <f t="shared" si="10"/>
        <v/>
      </c>
      <c r="X274" s="109" t="str">
        <f t="shared" si="11"/>
        <v/>
      </c>
      <c r="Y274" s="110" t="str">
        <f t="array" ref="Y274">_xlfn.XLOOKUP(A274,'Video Database'!L:L,'Video Database'!M:M,"")</f>
        <v>Bottom of Funnel</v>
      </c>
    </row>
    <row r="275" ht="22.5" customHeight="1">
      <c r="A275" s="113">
        <f t="shared" si="12"/>
        <v>274</v>
      </c>
      <c r="B275" s="98" t="str">
        <f t="array" ref="B275">_xlfn.XLOOKUP(A275,'Video Database'!L:L,'Video Database'!D:D,"")</f>
        <v>Blakely</v>
      </c>
      <c r="C275" s="98" t="str">
        <f t="array" ref="C275">_xlfn.XLOOKUP(A275,'Video Database'!L:L,'Video Database'!E:E,"")</f>
        <v>Account 1</v>
      </c>
      <c r="D275" s="99" t="str">
        <f t="array" ref="D275">_xlfn.XLOOKUP(A275,'Video Database'!L:L,'Video Database'!G:G,"")</f>
        <v>BetterAlt Shilajit Honey Sticks</v>
      </c>
      <c r="E275" s="100">
        <f t="array" ref="E275">_xlfn.XLOOKUP(A275,'Video Database'!L:L,'Video Database'!H:H,"")</f>
        <v>0.11</v>
      </c>
      <c r="F275" s="101">
        <v>0.0</v>
      </c>
      <c r="G275" s="87">
        <v>0.0</v>
      </c>
      <c r="H275" s="114">
        <f t="array" ref="H275">_xlfn.XLOOKUP(A275,'Video Database'!L:L,'Video Database'!A:A,"")</f>
        <v>46188</v>
      </c>
      <c r="I275" s="103">
        <v>46201.0</v>
      </c>
      <c r="J275" s="104">
        <v>0.0</v>
      </c>
      <c r="K275" s="105"/>
      <c r="L275" s="105" t="str">
        <f t="shared" si="1"/>
        <v/>
      </c>
      <c r="O275" s="106" t="str">
        <f t="shared" si="2"/>
        <v>#N/A</v>
      </c>
      <c r="P275" s="106" t="str">
        <f t="shared" si="3"/>
        <v>#N/A</v>
      </c>
      <c r="Q275" s="84" t="str">
        <f t="shared" si="4"/>
        <v>#N/A</v>
      </c>
      <c r="R275" s="84" t="str">
        <f t="shared" si="5"/>
        <v>#N/A</v>
      </c>
      <c r="S275" s="107">
        <f t="shared" si="6"/>
        <v>-0.11</v>
      </c>
      <c r="T275" s="108">
        <f t="shared" si="7"/>
        <v>-1</v>
      </c>
      <c r="U275" s="106" t="str">
        <f t="shared" si="8"/>
        <v>#N/A</v>
      </c>
      <c r="V275" s="84" t="str">
        <f t="shared" si="9"/>
        <v/>
      </c>
      <c r="W275" s="109" t="str">
        <f t="shared" si="10"/>
        <v/>
      </c>
      <c r="X275" s="109" t="str">
        <f t="shared" si="11"/>
        <v/>
      </c>
      <c r="Y275" s="110" t="str">
        <f t="array" ref="Y275">_xlfn.XLOOKUP(A275,'Video Database'!L:L,'Video Database'!M:M,"")</f>
        <v>Bottom of Funnel</v>
      </c>
    </row>
    <row r="276" ht="22.5" customHeight="1">
      <c r="A276" s="113">
        <f t="shared" si="12"/>
        <v>275</v>
      </c>
      <c r="B276" s="98" t="str">
        <f t="array" ref="B276">_xlfn.XLOOKUP(A276,'Video Database'!L:L,'Video Database'!D:D,"")</f>
        <v>Blakely</v>
      </c>
      <c r="C276" s="98" t="str">
        <f t="array" ref="C276">_xlfn.XLOOKUP(A276,'Video Database'!L:L,'Video Database'!E:E,"")</f>
        <v>Account 1</v>
      </c>
      <c r="D276" s="99" t="str">
        <f t="array" ref="D276">_xlfn.XLOOKUP(A276,'Video Database'!L:L,'Video Database'!G:G,"")</f>
        <v>Olov Electric Shaver</v>
      </c>
      <c r="E276" s="100">
        <f t="array" ref="E276">_xlfn.XLOOKUP(A276,'Video Database'!L:L,'Video Database'!H:H,"")</f>
        <v>0.11</v>
      </c>
      <c r="F276" s="101">
        <v>0.0</v>
      </c>
      <c r="G276" s="87">
        <v>0.0</v>
      </c>
      <c r="H276" s="114">
        <f t="array" ref="H276">_xlfn.XLOOKUP(A276,'Video Database'!L:L,'Video Database'!A:A,"")</f>
        <v>46188</v>
      </c>
      <c r="I276" s="103">
        <v>46201.0</v>
      </c>
      <c r="J276" s="104">
        <v>0.0</v>
      </c>
      <c r="K276" s="105"/>
      <c r="L276" s="105" t="str">
        <f t="shared" si="1"/>
        <v/>
      </c>
      <c r="O276" s="106" t="str">
        <f t="shared" si="2"/>
        <v>#N/A</v>
      </c>
      <c r="P276" s="106" t="str">
        <f t="shared" si="3"/>
        <v>#N/A</v>
      </c>
      <c r="Q276" s="84" t="str">
        <f t="shared" si="4"/>
        <v>#N/A</v>
      </c>
      <c r="R276" s="84" t="str">
        <f t="shared" si="5"/>
        <v>#N/A</v>
      </c>
      <c r="S276" s="107">
        <f t="shared" si="6"/>
        <v>-0.11</v>
      </c>
      <c r="T276" s="108">
        <f t="shared" si="7"/>
        <v>-1</v>
      </c>
      <c r="U276" s="106" t="str">
        <f t="shared" si="8"/>
        <v>#N/A</v>
      </c>
      <c r="V276" s="84" t="str">
        <f t="shared" si="9"/>
        <v/>
      </c>
      <c r="W276" s="109" t="str">
        <f t="shared" si="10"/>
        <v/>
      </c>
      <c r="X276" s="109" t="str">
        <f t="shared" si="11"/>
        <v/>
      </c>
      <c r="Y276" s="110" t="str">
        <f t="array" ref="Y276">_xlfn.XLOOKUP(A276,'Video Database'!L:L,'Video Database'!M:M,"")</f>
        <v>Bottom of Funnel</v>
      </c>
    </row>
    <row r="277" ht="22.5" customHeight="1">
      <c r="A277" s="113">
        <f t="shared" si="12"/>
        <v>276</v>
      </c>
      <c r="B277" s="98" t="str">
        <f t="array" ref="B277">_xlfn.XLOOKUP(A277,'Video Database'!L:L,'Video Database'!D:D,"")</f>
        <v>Blakely</v>
      </c>
      <c r="C277" s="98" t="str">
        <f t="array" ref="C277">_xlfn.XLOOKUP(A277,'Video Database'!L:L,'Video Database'!E:E,"")</f>
        <v>Account 1</v>
      </c>
      <c r="D277" s="99" t="str">
        <f t="array" ref="D277">_xlfn.XLOOKUP(A277,'Video Database'!L:L,'Video Database'!G:G,"")</f>
        <v>Neurogum Watermelon</v>
      </c>
      <c r="E277" s="100">
        <f t="array" ref="E277">_xlfn.XLOOKUP(A277,'Video Database'!L:L,'Video Database'!H:H,"")</f>
        <v>0.11</v>
      </c>
      <c r="F277" s="101">
        <v>0.0</v>
      </c>
      <c r="G277" s="87">
        <v>0.0</v>
      </c>
      <c r="H277" s="114">
        <f t="array" ref="H277">_xlfn.XLOOKUP(A277,'Video Database'!L:L,'Video Database'!A:A,"")</f>
        <v>46188</v>
      </c>
      <c r="I277" s="103">
        <v>46201.0</v>
      </c>
      <c r="J277" s="104">
        <v>0.0</v>
      </c>
      <c r="K277" s="105"/>
      <c r="L277" s="105" t="str">
        <f t="shared" si="1"/>
        <v/>
      </c>
      <c r="O277" s="106" t="str">
        <f t="shared" si="2"/>
        <v>#N/A</v>
      </c>
      <c r="P277" s="106" t="str">
        <f t="shared" si="3"/>
        <v>#N/A</v>
      </c>
      <c r="Q277" s="84" t="str">
        <f t="shared" si="4"/>
        <v>#N/A</v>
      </c>
      <c r="R277" s="84" t="str">
        <f t="shared" si="5"/>
        <v>#N/A</v>
      </c>
      <c r="S277" s="107">
        <f t="shared" si="6"/>
        <v>-0.11</v>
      </c>
      <c r="T277" s="108">
        <f t="shared" si="7"/>
        <v>-1</v>
      </c>
      <c r="U277" s="106" t="str">
        <f t="shared" si="8"/>
        <v>#N/A</v>
      </c>
      <c r="V277" s="84" t="str">
        <f t="shared" si="9"/>
        <v/>
      </c>
      <c r="W277" s="109" t="str">
        <f t="shared" si="10"/>
        <v/>
      </c>
      <c r="X277" s="109" t="str">
        <f t="shared" si="11"/>
        <v/>
      </c>
      <c r="Y277" s="110" t="str">
        <f t="array" ref="Y277">_xlfn.XLOOKUP(A277,'Video Database'!L:L,'Video Database'!M:M,"")</f>
        <v>Bottom of Funnel</v>
      </c>
    </row>
    <row r="278" ht="22.5" customHeight="1">
      <c r="A278" s="113">
        <f t="shared" si="12"/>
        <v>277</v>
      </c>
      <c r="B278" s="98" t="str">
        <f t="array" ref="B278">_xlfn.XLOOKUP(A278,'Video Database'!L:L,'Video Database'!D:D,"")</f>
        <v>Blakely</v>
      </c>
      <c r="C278" s="98" t="str">
        <f t="array" ref="C278">_xlfn.XLOOKUP(A278,'Video Database'!L:L,'Video Database'!E:E,"")</f>
        <v>Account 1</v>
      </c>
      <c r="D278" s="99" t="str">
        <f t="array" ref="D278">_xlfn.XLOOKUP(A278,'Video Database'!L:L,'Video Database'!G:G,"")</f>
        <v>Squish Energy Preworkout Jello Shots</v>
      </c>
      <c r="E278" s="100">
        <f t="array" ref="E278">_xlfn.XLOOKUP(A278,'Video Database'!L:L,'Video Database'!H:H,"")</f>
        <v>0.11</v>
      </c>
      <c r="F278" s="101">
        <v>0.0</v>
      </c>
      <c r="G278" s="87">
        <v>0.0</v>
      </c>
      <c r="H278" s="114">
        <f t="array" ref="H278">_xlfn.XLOOKUP(A278,'Video Database'!L:L,'Video Database'!A:A,"")</f>
        <v>46188</v>
      </c>
      <c r="I278" s="103">
        <v>46201.0</v>
      </c>
      <c r="J278" s="104">
        <v>0.0</v>
      </c>
      <c r="K278" s="105"/>
      <c r="L278" s="105" t="str">
        <f t="shared" si="1"/>
        <v/>
      </c>
      <c r="O278" s="106" t="str">
        <f t="shared" si="2"/>
        <v>#N/A</v>
      </c>
      <c r="P278" s="106" t="str">
        <f t="shared" si="3"/>
        <v>#N/A</v>
      </c>
      <c r="Q278" s="84" t="str">
        <f t="shared" si="4"/>
        <v>#N/A</v>
      </c>
      <c r="R278" s="84" t="str">
        <f t="shared" si="5"/>
        <v>#N/A</v>
      </c>
      <c r="S278" s="107">
        <f t="shared" si="6"/>
        <v>-0.11</v>
      </c>
      <c r="T278" s="108">
        <f t="shared" si="7"/>
        <v>-1</v>
      </c>
      <c r="U278" s="106" t="str">
        <f t="shared" si="8"/>
        <v>#N/A</v>
      </c>
      <c r="V278" s="84" t="str">
        <f t="shared" si="9"/>
        <v/>
      </c>
      <c r="W278" s="109" t="str">
        <f t="shared" si="10"/>
        <v/>
      </c>
      <c r="X278" s="109" t="str">
        <f t="shared" si="11"/>
        <v/>
      </c>
      <c r="Y278" s="110" t="str">
        <f t="array" ref="Y278">_xlfn.XLOOKUP(A278,'Video Database'!L:L,'Video Database'!M:M,"")</f>
        <v>Bottom of Funnel</v>
      </c>
    </row>
    <row r="279" ht="22.5" customHeight="1">
      <c r="A279" s="113">
        <f t="shared" si="12"/>
        <v>278</v>
      </c>
      <c r="B279" s="98" t="str">
        <f t="array" ref="B279">_xlfn.XLOOKUP(A279,'Video Database'!L:L,'Video Database'!D:D,"")</f>
        <v>Blakely</v>
      </c>
      <c r="C279" s="98" t="str">
        <f t="array" ref="C279">_xlfn.XLOOKUP(A279,'Video Database'!L:L,'Video Database'!E:E,"")</f>
        <v>Account 1</v>
      </c>
      <c r="D279" s="99" t="str">
        <f t="array" ref="D279">_xlfn.XLOOKUP(A279,'Video Database'!L:L,'Video Database'!G:G,"")</f>
        <v>Neurogum Watermelon</v>
      </c>
      <c r="E279" s="100">
        <f t="array" ref="E279">_xlfn.XLOOKUP(A279,'Video Database'!L:L,'Video Database'!H:H,"")</f>
        <v>0.11</v>
      </c>
      <c r="F279" s="101">
        <v>0.0</v>
      </c>
      <c r="G279" s="87">
        <v>0.0</v>
      </c>
      <c r="H279" s="114">
        <f t="array" ref="H279">_xlfn.XLOOKUP(A279,'Video Database'!L:L,'Video Database'!A:A,"")</f>
        <v>46188</v>
      </c>
      <c r="I279" s="103">
        <v>46201.0</v>
      </c>
      <c r="J279" s="104">
        <v>0.0</v>
      </c>
      <c r="K279" s="105"/>
      <c r="L279" s="105" t="str">
        <f t="shared" si="1"/>
        <v/>
      </c>
      <c r="O279" s="106" t="str">
        <f t="shared" si="2"/>
        <v>#N/A</v>
      </c>
      <c r="P279" s="106" t="str">
        <f t="shared" si="3"/>
        <v>#N/A</v>
      </c>
      <c r="Q279" s="84" t="str">
        <f t="shared" si="4"/>
        <v>#N/A</v>
      </c>
      <c r="R279" s="84" t="str">
        <f t="shared" si="5"/>
        <v>#N/A</v>
      </c>
      <c r="S279" s="107">
        <f t="shared" si="6"/>
        <v>-0.11</v>
      </c>
      <c r="T279" s="108">
        <f t="shared" si="7"/>
        <v>-1</v>
      </c>
      <c r="U279" s="106" t="str">
        <f t="shared" si="8"/>
        <v>#N/A</v>
      </c>
      <c r="V279" s="84" t="str">
        <f t="shared" si="9"/>
        <v/>
      </c>
      <c r="W279" s="109" t="str">
        <f t="shared" si="10"/>
        <v/>
      </c>
      <c r="X279" s="109" t="str">
        <f t="shared" si="11"/>
        <v/>
      </c>
      <c r="Y279" s="110" t="str">
        <f t="array" ref="Y279">_xlfn.XLOOKUP(A279,'Video Database'!L:L,'Video Database'!M:M,"")</f>
        <v>Bottom of Funnel</v>
      </c>
    </row>
    <row r="280" ht="22.5" customHeight="1">
      <c r="A280" s="113">
        <f t="shared" si="12"/>
        <v>279</v>
      </c>
      <c r="B280" s="98" t="str">
        <f t="array" ref="B280">_xlfn.XLOOKUP(A280,'Video Database'!L:L,'Video Database'!D:D,"")</f>
        <v>Blakely</v>
      </c>
      <c r="C280" s="98" t="str">
        <f t="array" ref="C280">_xlfn.XLOOKUP(A280,'Video Database'!L:L,'Video Database'!E:E,"")</f>
        <v>Account 1</v>
      </c>
      <c r="D280" s="99" t="str">
        <f t="array" ref="D280">_xlfn.XLOOKUP(A280,'Video Database'!L:L,'Video Database'!G:G,"")</f>
        <v>BetterAlt Shilajit Honey Sticks</v>
      </c>
      <c r="E280" s="100">
        <f t="array" ref="E280">_xlfn.XLOOKUP(A280,'Video Database'!L:L,'Video Database'!H:H,"")</f>
        <v>0.11</v>
      </c>
      <c r="F280" s="101">
        <v>0.0</v>
      </c>
      <c r="G280" s="87">
        <v>0.0</v>
      </c>
      <c r="H280" s="114">
        <f t="array" ref="H280">_xlfn.XLOOKUP(A280,'Video Database'!L:L,'Video Database'!A:A,"")</f>
        <v>46188</v>
      </c>
      <c r="I280" s="103">
        <v>46201.0</v>
      </c>
      <c r="J280" s="104">
        <v>0.0</v>
      </c>
      <c r="K280" s="105"/>
      <c r="L280" s="105" t="str">
        <f t="shared" si="1"/>
        <v/>
      </c>
      <c r="O280" s="106" t="str">
        <f t="shared" si="2"/>
        <v>#N/A</v>
      </c>
      <c r="P280" s="106" t="str">
        <f t="shared" si="3"/>
        <v>#N/A</v>
      </c>
      <c r="Q280" s="84" t="str">
        <f t="shared" si="4"/>
        <v>#N/A</v>
      </c>
      <c r="R280" s="84" t="str">
        <f t="shared" si="5"/>
        <v>#N/A</v>
      </c>
      <c r="S280" s="107">
        <f t="shared" si="6"/>
        <v>-0.11</v>
      </c>
      <c r="T280" s="108">
        <f t="shared" si="7"/>
        <v>-1</v>
      </c>
      <c r="U280" s="106" t="str">
        <f t="shared" si="8"/>
        <v>#N/A</v>
      </c>
      <c r="V280" s="84" t="str">
        <f t="shared" si="9"/>
        <v/>
      </c>
      <c r="W280" s="109" t="str">
        <f t="shared" si="10"/>
        <v/>
      </c>
      <c r="X280" s="109" t="str">
        <f t="shared" si="11"/>
        <v/>
      </c>
      <c r="Y280" s="110" t="str">
        <f t="array" ref="Y280">_xlfn.XLOOKUP(A280,'Video Database'!L:L,'Video Database'!M:M,"")</f>
        <v>Bottom of Funnel</v>
      </c>
    </row>
    <row r="281" ht="22.5" customHeight="1">
      <c r="A281" s="113">
        <f t="shared" si="12"/>
        <v>280</v>
      </c>
      <c r="B281" s="98" t="str">
        <f t="array" ref="B281">_xlfn.XLOOKUP(A281,'Video Database'!L:L,'Video Database'!D:D,"")</f>
        <v>Blakely</v>
      </c>
      <c r="C281" s="98" t="str">
        <f t="array" ref="C281">_xlfn.XLOOKUP(A281,'Video Database'!L:L,'Video Database'!E:E,"")</f>
        <v>Account 1</v>
      </c>
      <c r="D281" s="99" t="str">
        <f t="array" ref="D281">_xlfn.XLOOKUP(A281,'Video Database'!L:L,'Video Database'!G:G,"")</f>
        <v>BioEmblem Magnesium</v>
      </c>
      <c r="E281" s="100">
        <f t="array" ref="E281">_xlfn.XLOOKUP(A281,'Video Database'!L:L,'Video Database'!H:H,"")</f>
        <v>0.11</v>
      </c>
      <c r="F281" s="101">
        <v>0.0</v>
      </c>
      <c r="G281" s="87">
        <v>0.0</v>
      </c>
      <c r="H281" s="114">
        <f t="array" ref="H281">_xlfn.XLOOKUP(A281,'Video Database'!L:L,'Video Database'!A:A,"")</f>
        <v>46188</v>
      </c>
      <c r="I281" s="103">
        <v>46201.0</v>
      </c>
      <c r="J281" s="104">
        <v>0.0</v>
      </c>
      <c r="K281" s="105"/>
      <c r="L281" s="105" t="str">
        <f t="shared" si="1"/>
        <v/>
      </c>
      <c r="O281" s="106" t="str">
        <f t="shared" si="2"/>
        <v>#N/A</v>
      </c>
      <c r="P281" s="106" t="str">
        <f t="shared" si="3"/>
        <v>#N/A</v>
      </c>
      <c r="Q281" s="84" t="str">
        <f t="shared" si="4"/>
        <v>#N/A</v>
      </c>
      <c r="R281" s="84" t="str">
        <f t="shared" si="5"/>
        <v>#N/A</v>
      </c>
      <c r="S281" s="107">
        <f t="shared" si="6"/>
        <v>-0.11</v>
      </c>
      <c r="T281" s="108">
        <f t="shared" si="7"/>
        <v>-1</v>
      </c>
      <c r="U281" s="106" t="str">
        <f t="shared" si="8"/>
        <v>#N/A</v>
      </c>
      <c r="V281" s="84" t="str">
        <f t="shared" si="9"/>
        <v/>
      </c>
      <c r="W281" s="109" t="str">
        <f t="shared" si="10"/>
        <v/>
      </c>
      <c r="X281" s="109" t="str">
        <f t="shared" si="11"/>
        <v/>
      </c>
      <c r="Y281" s="110" t="str">
        <f t="array" ref="Y281">_xlfn.XLOOKUP(A281,'Video Database'!L:L,'Video Database'!M:M,"")</f>
        <v>Bottom of Funnel</v>
      </c>
    </row>
    <row r="282" ht="22.5" customHeight="1">
      <c r="A282" s="113">
        <f t="shared" si="12"/>
        <v>281</v>
      </c>
      <c r="B282" s="98" t="str">
        <f t="array" ref="B282">_xlfn.XLOOKUP(A282,'Video Database'!L:L,'Video Database'!D:D,"")</f>
        <v>Blakely</v>
      </c>
      <c r="C282" s="98" t="str">
        <f t="array" ref="C282">_xlfn.XLOOKUP(A282,'Video Database'!L:L,'Video Database'!E:E,"")</f>
        <v>Account 1</v>
      </c>
      <c r="D282" s="99" t="str">
        <f t="array" ref="D282">_xlfn.XLOOKUP(A282,'Video Database'!L:L,'Video Database'!G:G,"")</f>
        <v>Nutricost Creatine Monohydrate</v>
      </c>
      <c r="E282" s="100">
        <f t="array" ref="E282">_xlfn.XLOOKUP(A282,'Video Database'!L:L,'Video Database'!H:H,"")</f>
        <v>0.11</v>
      </c>
      <c r="F282" s="101">
        <v>0.0</v>
      </c>
      <c r="G282" s="87">
        <v>0.0</v>
      </c>
      <c r="H282" s="114">
        <f t="array" ref="H282">_xlfn.XLOOKUP(A282,'Video Database'!L:L,'Video Database'!A:A,"")</f>
        <v>46188</v>
      </c>
      <c r="I282" s="103">
        <v>46201.0</v>
      </c>
      <c r="J282" s="104">
        <v>0.0</v>
      </c>
      <c r="K282" s="105"/>
      <c r="L282" s="105" t="str">
        <f t="shared" si="1"/>
        <v/>
      </c>
      <c r="O282" s="106" t="str">
        <f t="shared" si="2"/>
        <v>#N/A</v>
      </c>
      <c r="P282" s="106" t="str">
        <f t="shared" si="3"/>
        <v>#N/A</v>
      </c>
      <c r="Q282" s="84" t="str">
        <f t="shared" si="4"/>
        <v>#N/A</v>
      </c>
      <c r="R282" s="84" t="str">
        <f t="shared" si="5"/>
        <v>#N/A</v>
      </c>
      <c r="S282" s="107">
        <f t="shared" si="6"/>
        <v>-0.11</v>
      </c>
      <c r="T282" s="108">
        <f t="shared" si="7"/>
        <v>-1</v>
      </c>
      <c r="U282" s="106" t="str">
        <f t="shared" si="8"/>
        <v>#N/A</v>
      </c>
      <c r="V282" s="84" t="str">
        <f t="shared" si="9"/>
        <v/>
      </c>
      <c r="W282" s="109" t="str">
        <f t="shared" si="10"/>
        <v/>
      </c>
      <c r="X282" s="109" t="str">
        <f t="shared" si="11"/>
        <v/>
      </c>
      <c r="Y282" s="110" t="str">
        <f t="array" ref="Y282">_xlfn.XLOOKUP(A282,'Video Database'!L:L,'Video Database'!M:M,"")</f>
        <v>Bottom of Funnel</v>
      </c>
    </row>
    <row r="283" ht="22.5" customHeight="1">
      <c r="A283" s="113">
        <f t="shared" si="12"/>
        <v>282</v>
      </c>
      <c r="B283" s="98" t="str">
        <f t="array" ref="B283">_xlfn.XLOOKUP(A283,'Video Database'!L:L,'Video Database'!D:D,"")</f>
        <v>Blakely</v>
      </c>
      <c r="C283" s="98" t="str">
        <f t="array" ref="C283">_xlfn.XLOOKUP(A283,'Video Database'!L:L,'Video Database'!E:E,"")</f>
        <v>Account 1</v>
      </c>
      <c r="D283" s="99" t="str">
        <f t="array" ref="D283">_xlfn.XLOOKUP(A283,'Video Database'!L:L,'Video Database'!G:G,"")</f>
        <v>Beast Bites Creatine Gummies</v>
      </c>
      <c r="E283" s="100">
        <f t="array" ref="E283">_xlfn.XLOOKUP(A283,'Video Database'!L:L,'Video Database'!H:H,"")</f>
        <v>0.11</v>
      </c>
      <c r="F283" s="101">
        <v>0.0</v>
      </c>
      <c r="G283" s="87">
        <v>0.0</v>
      </c>
      <c r="H283" s="114">
        <f t="array" ref="H283">_xlfn.XLOOKUP(A283,'Video Database'!L:L,'Video Database'!A:A,"")</f>
        <v>46188</v>
      </c>
      <c r="I283" s="103">
        <v>46201.0</v>
      </c>
      <c r="J283" s="104">
        <v>0.0</v>
      </c>
      <c r="K283" s="105"/>
      <c r="L283" s="105" t="str">
        <f t="shared" si="1"/>
        <v/>
      </c>
      <c r="O283" s="106" t="str">
        <f t="shared" si="2"/>
        <v>#N/A</v>
      </c>
      <c r="P283" s="106" t="str">
        <f t="shared" si="3"/>
        <v>#N/A</v>
      </c>
      <c r="Q283" s="84" t="str">
        <f t="shared" si="4"/>
        <v>#N/A</v>
      </c>
      <c r="R283" s="84" t="str">
        <f t="shared" si="5"/>
        <v>#N/A</v>
      </c>
      <c r="S283" s="107">
        <f t="shared" si="6"/>
        <v>-0.11</v>
      </c>
      <c r="T283" s="108">
        <f t="shared" si="7"/>
        <v>-1</v>
      </c>
      <c r="U283" s="106" t="str">
        <f t="shared" si="8"/>
        <v>#N/A</v>
      </c>
      <c r="V283" s="84" t="str">
        <f t="shared" si="9"/>
        <v/>
      </c>
      <c r="W283" s="109" t="str">
        <f t="shared" si="10"/>
        <v/>
      </c>
      <c r="X283" s="109" t="str">
        <f t="shared" si="11"/>
        <v/>
      </c>
      <c r="Y283" s="110" t="str">
        <f t="array" ref="Y283">_xlfn.XLOOKUP(A283,'Video Database'!L:L,'Video Database'!M:M,"")</f>
        <v>Bottom of Funnel</v>
      </c>
    </row>
    <row r="284" ht="22.5" customHeight="1">
      <c r="A284" s="113">
        <f t="shared" si="12"/>
        <v>283</v>
      </c>
      <c r="B284" s="98" t="str">
        <f t="array" ref="B284">_xlfn.XLOOKUP(A284,'Video Database'!L:L,'Video Database'!D:D,"")</f>
        <v>Blakely</v>
      </c>
      <c r="C284" s="98" t="str">
        <f t="array" ref="C284">_xlfn.XLOOKUP(A284,'Video Database'!L:L,'Video Database'!E:E,"")</f>
        <v>Account 1</v>
      </c>
      <c r="D284" s="99" t="str">
        <f t="array" ref="D284">_xlfn.XLOOKUP(A284,'Video Database'!L:L,'Video Database'!G:G,"")</f>
        <v>Nello Supercalm Drink Mix</v>
      </c>
      <c r="E284" s="100">
        <f t="array" ref="E284">_xlfn.XLOOKUP(A284,'Video Database'!L:L,'Video Database'!H:H,"")</f>
        <v>0.11</v>
      </c>
      <c r="F284" s="101">
        <v>0.0</v>
      </c>
      <c r="G284" s="87">
        <v>0.0</v>
      </c>
      <c r="H284" s="114">
        <f t="array" ref="H284">_xlfn.XLOOKUP(A284,'Video Database'!L:L,'Video Database'!A:A,"")</f>
        <v>46188</v>
      </c>
      <c r="I284" s="103">
        <v>46201.0</v>
      </c>
      <c r="J284" s="104">
        <v>0.0</v>
      </c>
      <c r="K284" s="105"/>
      <c r="L284" s="105" t="str">
        <f t="shared" si="1"/>
        <v/>
      </c>
      <c r="O284" s="106" t="str">
        <f t="shared" si="2"/>
        <v>#N/A</v>
      </c>
      <c r="P284" s="106" t="str">
        <f t="shared" si="3"/>
        <v>#N/A</v>
      </c>
      <c r="Q284" s="84" t="str">
        <f t="shared" si="4"/>
        <v>#N/A</v>
      </c>
      <c r="R284" s="84" t="str">
        <f t="shared" si="5"/>
        <v>#N/A</v>
      </c>
      <c r="S284" s="107">
        <f t="shared" si="6"/>
        <v>-0.11</v>
      </c>
      <c r="T284" s="108">
        <f t="shared" si="7"/>
        <v>-1</v>
      </c>
      <c r="U284" s="106" t="str">
        <f t="shared" si="8"/>
        <v>#N/A</v>
      </c>
      <c r="V284" s="84" t="str">
        <f t="shared" si="9"/>
        <v/>
      </c>
      <c r="W284" s="109" t="str">
        <f t="shared" si="10"/>
        <v/>
      </c>
      <c r="X284" s="109" t="str">
        <f t="shared" si="11"/>
        <v/>
      </c>
      <c r="Y284" s="110" t="str">
        <f t="array" ref="Y284">_xlfn.XLOOKUP(A284,'Video Database'!L:L,'Video Database'!M:M,"")</f>
        <v>Bottom of Funnel</v>
      </c>
    </row>
    <row r="285" ht="22.5" customHeight="1">
      <c r="A285" s="113">
        <f t="shared" si="12"/>
        <v>284</v>
      </c>
      <c r="B285" s="98" t="str">
        <f t="array" ref="B285">_xlfn.XLOOKUP(A285,'Video Database'!L:L,'Video Database'!D:D,"")</f>
        <v>Blakely</v>
      </c>
      <c r="C285" s="98" t="str">
        <f t="array" ref="C285">_xlfn.XLOOKUP(A285,'Video Database'!L:L,'Video Database'!E:E,"")</f>
        <v>Account 1</v>
      </c>
      <c r="D285" s="99" t="str">
        <f t="array" ref="D285">_xlfn.XLOOKUP(A285,'Video Database'!L:L,'Video Database'!G:G,"")</f>
        <v>Goli Women's Complete Multi Gummy</v>
      </c>
      <c r="E285" s="100">
        <f t="array" ref="E285">_xlfn.XLOOKUP(A285,'Video Database'!L:L,'Video Database'!H:H,"")</f>
        <v>0.11</v>
      </c>
      <c r="F285" s="101">
        <v>0.0</v>
      </c>
      <c r="G285" s="87">
        <v>0.0</v>
      </c>
      <c r="H285" s="114">
        <f t="array" ref="H285">_xlfn.XLOOKUP(A285,'Video Database'!L:L,'Video Database'!A:A,"")</f>
        <v>46188</v>
      </c>
      <c r="I285" s="103">
        <v>46201.0</v>
      </c>
      <c r="J285" s="104">
        <v>0.0</v>
      </c>
      <c r="K285" s="105"/>
      <c r="L285" s="105" t="str">
        <f t="shared" si="1"/>
        <v/>
      </c>
      <c r="O285" s="106" t="str">
        <f t="shared" si="2"/>
        <v>#N/A</v>
      </c>
      <c r="P285" s="106" t="str">
        <f t="shared" si="3"/>
        <v>#N/A</v>
      </c>
      <c r="Q285" s="84" t="str">
        <f t="shared" si="4"/>
        <v>#N/A</v>
      </c>
      <c r="R285" s="84" t="str">
        <f t="shared" si="5"/>
        <v>#N/A</v>
      </c>
      <c r="S285" s="107">
        <f t="shared" si="6"/>
        <v>-0.11</v>
      </c>
      <c r="T285" s="108">
        <f t="shared" si="7"/>
        <v>-1</v>
      </c>
      <c r="U285" s="106" t="str">
        <f t="shared" si="8"/>
        <v>#N/A</v>
      </c>
      <c r="V285" s="84" t="str">
        <f t="shared" si="9"/>
        <v/>
      </c>
      <c r="W285" s="109" t="str">
        <f t="shared" si="10"/>
        <v/>
      </c>
      <c r="X285" s="109" t="str">
        <f t="shared" si="11"/>
        <v/>
      </c>
      <c r="Y285" s="110" t="str">
        <f t="array" ref="Y285">_xlfn.XLOOKUP(A285,'Video Database'!L:L,'Video Database'!M:M,"")</f>
        <v>Bottom of Funnel</v>
      </c>
    </row>
    <row r="286" ht="22.5" customHeight="1">
      <c r="A286" s="113">
        <f t="shared" si="12"/>
        <v>285</v>
      </c>
      <c r="B286" s="98" t="str">
        <f t="array" ref="B286">_xlfn.XLOOKUP(A286,'Video Database'!L:L,'Video Database'!D:D,"")</f>
        <v>Blakely</v>
      </c>
      <c r="C286" s="98" t="str">
        <f t="array" ref="C286">_xlfn.XLOOKUP(A286,'Video Database'!L:L,'Video Database'!E:E,"")</f>
        <v>Account 1</v>
      </c>
      <c r="D286" s="99" t="str">
        <f t="array" ref="D286">_xlfn.XLOOKUP(A286,'Video Database'!L:L,'Video Database'!G:G,"")</f>
        <v>Physician's Choice Probiotic Gummies</v>
      </c>
      <c r="E286" s="100">
        <f t="array" ref="E286">_xlfn.XLOOKUP(A286,'Video Database'!L:L,'Video Database'!H:H,"")</f>
        <v>0.11</v>
      </c>
      <c r="F286" s="101">
        <v>0.0</v>
      </c>
      <c r="G286" s="87">
        <v>0.0</v>
      </c>
      <c r="H286" s="114">
        <f t="array" ref="H286">_xlfn.XLOOKUP(A286,'Video Database'!L:L,'Video Database'!A:A,"")</f>
        <v>46188</v>
      </c>
      <c r="I286" s="103">
        <v>46201.0</v>
      </c>
      <c r="J286" s="104">
        <v>0.0</v>
      </c>
      <c r="K286" s="105"/>
      <c r="L286" s="105" t="str">
        <f t="shared" si="1"/>
        <v/>
      </c>
      <c r="O286" s="106" t="str">
        <f t="shared" si="2"/>
        <v>#N/A</v>
      </c>
      <c r="P286" s="106" t="str">
        <f t="shared" si="3"/>
        <v>#N/A</v>
      </c>
      <c r="Q286" s="84" t="str">
        <f t="shared" si="4"/>
        <v>#N/A</v>
      </c>
      <c r="R286" s="84" t="str">
        <f t="shared" si="5"/>
        <v>#N/A</v>
      </c>
      <c r="S286" s="107">
        <f t="shared" si="6"/>
        <v>-0.11</v>
      </c>
      <c r="T286" s="108">
        <f t="shared" si="7"/>
        <v>-1</v>
      </c>
      <c r="U286" s="106" t="str">
        <f t="shared" si="8"/>
        <v>#N/A</v>
      </c>
      <c r="V286" s="84" t="str">
        <f t="shared" si="9"/>
        <v/>
      </c>
      <c r="W286" s="109" t="str">
        <f t="shared" si="10"/>
        <v/>
      </c>
      <c r="X286" s="109" t="str">
        <f t="shared" si="11"/>
        <v/>
      </c>
      <c r="Y286" s="110" t="str">
        <f t="array" ref="Y286">_xlfn.XLOOKUP(A286,'Video Database'!L:L,'Video Database'!M:M,"")</f>
        <v>Bottom of Funnel</v>
      </c>
    </row>
    <row r="287" ht="22.5" customHeight="1">
      <c r="A287" s="113">
        <f t="shared" si="12"/>
        <v>286</v>
      </c>
      <c r="B287" s="98" t="str">
        <f t="array" ref="B287">_xlfn.XLOOKUP(A287,'Video Database'!L:L,'Video Database'!D:D,"")</f>
        <v>Blakely</v>
      </c>
      <c r="C287" s="98" t="str">
        <f t="array" ref="C287">_xlfn.XLOOKUP(A287,'Video Database'!L:L,'Video Database'!E:E,"")</f>
        <v>Account 1</v>
      </c>
      <c r="D287" s="99" t="str">
        <f t="array" ref="D287">_xlfn.XLOOKUP(A287,'Video Database'!L:L,'Video Database'!G:G,"")</f>
        <v>Mushroom Coffee</v>
      </c>
      <c r="E287" s="100">
        <f t="array" ref="E287">_xlfn.XLOOKUP(A287,'Video Database'!L:L,'Video Database'!H:H,"")</f>
        <v>0.11</v>
      </c>
      <c r="F287" s="101">
        <v>0.0</v>
      </c>
      <c r="G287" s="87">
        <v>0.0</v>
      </c>
      <c r="H287" s="114">
        <f t="array" ref="H287">_xlfn.XLOOKUP(A287,'Video Database'!L:L,'Video Database'!A:A,"")</f>
        <v>46188</v>
      </c>
      <c r="I287" s="103">
        <v>46201.0</v>
      </c>
      <c r="J287" s="104">
        <v>0.0</v>
      </c>
      <c r="K287" s="105"/>
      <c r="L287" s="105" t="str">
        <f t="shared" si="1"/>
        <v/>
      </c>
      <c r="O287" s="106" t="str">
        <f t="shared" si="2"/>
        <v>#N/A</v>
      </c>
      <c r="P287" s="106" t="str">
        <f t="shared" si="3"/>
        <v>#N/A</v>
      </c>
      <c r="Q287" s="84" t="str">
        <f t="shared" si="4"/>
        <v>#N/A</v>
      </c>
      <c r="R287" s="84" t="str">
        <f t="shared" si="5"/>
        <v>#N/A</v>
      </c>
      <c r="S287" s="107">
        <f t="shared" si="6"/>
        <v>-0.11</v>
      </c>
      <c r="T287" s="108">
        <f t="shared" si="7"/>
        <v>-1</v>
      </c>
      <c r="U287" s="106" t="str">
        <f t="shared" si="8"/>
        <v>#N/A</v>
      </c>
      <c r="V287" s="84" t="str">
        <f t="shared" si="9"/>
        <v/>
      </c>
      <c r="W287" s="109" t="str">
        <f t="shared" si="10"/>
        <v/>
      </c>
      <c r="X287" s="109" t="str">
        <f t="shared" si="11"/>
        <v/>
      </c>
      <c r="Y287" s="110" t="str">
        <f t="array" ref="Y287">_xlfn.XLOOKUP(A287,'Video Database'!L:L,'Video Database'!M:M,"")</f>
        <v>Bottom of Funnel</v>
      </c>
    </row>
    <row r="288" ht="22.5" customHeight="1">
      <c r="A288" s="113">
        <f t="shared" si="12"/>
        <v>287</v>
      </c>
      <c r="B288" s="98" t="str">
        <f t="array" ref="B288">_xlfn.XLOOKUP(A288,'Video Database'!L:L,'Video Database'!D:D,"")</f>
        <v>Erin</v>
      </c>
      <c r="C288" s="98" t="str">
        <f t="array" ref="C288">_xlfn.XLOOKUP(A288,'Video Database'!L:L,'Video Database'!E:E,"")</f>
        <v>Account 1</v>
      </c>
      <c r="D288" s="99" t="str">
        <f t="array" ref="D288">_xlfn.XLOOKUP(A288,'Video Database'!L:L,'Video Database'!G:G,"")</f>
        <v>Peta Jane Self-Tan Starter Kit Medium</v>
      </c>
      <c r="E288" s="100">
        <f t="array" ref="E288">_xlfn.XLOOKUP(A288,'Video Database'!L:L,'Video Database'!H:H,"")</f>
        <v>1.1</v>
      </c>
      <c r="F288" s="101">
        <v>0.0</v>
      </c>
      <c r="G288" s="87">
        <v>0.0</v>
      </c>
      <c r="H288" s="114">
        <f t="array" ref="H288">_xlfn.XLOOKUP(A288,'Video Database'!L:L,'Video Database'!A:A,"")</f>
        <v>46188</v>
      </c>
      <c r="I288" s="103">
        <v>46201.0</v>
      </c>
      <c r="J288" s="104">
        <v>0.0</v>
      </c>
      <c r="K288" s="105"/>
      <c r="L288" s="105" t="str">
        <f t="shared" si="1"/>
        <v/>
      </c>
      <c r="O288" s="106" t="str">
        <f t="shared" si="2"/>
        <v>#N/A</v>
      </c>
      <c r="P288" s="106" t="str">
        <f t="shared" si="3"/>
        <v>#N/A</v>
      </c>
      <c r="Q288" s="84" t="str">
        <f t="shared" si="4"/>
        <v>#N/A</v>
      </c>
      <c r="R288" s="84" t="str">
        <f t="shared" si="5"/>
        <v>#N/A</v>
      </c>
      <c r="S288" s="107">
        <f t="shared" si="6"/>
        <v>-1.1</v>
      </c>
      <c r="T288" s="108">
        <f t="shared" si="7"/>
        <v>-1</v>
      </c>
      <c r="U288" s="106" t="str">
        <f t="shared" si="8"/>
        <v>#N/A</v>
      </c>
      <c r="V288" s="84" t="str">
        <f t="shared" si="9"/>
        <v/>
      </c>
      <c r="W288" s="109" t="str">
        <f t="shared" si="10"/>
        <v/>
      </c>
      <c r="X288" s="109" t="str">
        <f t="shared" si="11"/>
        <v/>
      </c>
      <c r="Y288" s="110" t="str">
        <f t="array" ref="Y288">_xlfn.XLOOKUP(A288,'Video Database'!L:L,'Video Database'!M:M,"")</f>
        <v>Bottom of Funnel</v>
      </c>
    </row>
    <row r="289" ht="22.5" customHeight="1">
      <c r="A289" s="113">
        <f t="shared" si="12"/>
        <v>288</v>
      </c>
      <c r="B289" s="98" t="str">
        <f t="array" ref="B289">_xlfn.XLOOKUP(A289,'Video Database'!L:L,'Video Database'!D:D,"")</f>
        <v>Blakely</v>
      </c>
      <c r="C289" s="98" t="str">
        <f t="array" ref="C289">_xlfn.XLOOKUP(A289,'Video Database'!L:L,'Video Database'!E:E,"")</f>
        <v>Account 1</v>
      </c>
      <c r="D289" s="99" t="str">
        <f t="array" ref="D289">_xlfn.XLOOKUP(A289,'Video Database'!L:L,'Video Database'!G:G,"")</f>
        <v>Nutricost Creatine Monohydrate</v>
      </c>
      <c r="E289" s="100">
        <f t="array" ref="E289">_xlfn.XLOOKUP(A289,'Video Database'!L:L,'Video Database'!H:H,"")</f>
        <v>0.11</v>
      </c>
      <c r="F289" s="101">
        <v>0.0</v>
      </c>
      <c r="G289" s="87">
        <v>0.0</v>
      </c>
      <c r="H289" s="114">
        <f t="array" ref="H289">_xlfn.XLOOKUP(A289,'Video Database'!L:L,'Video Database'!A:A,"")</f>
        <v>46188</v>
      </c>
      <c r="I289" s="103">
        <v>46201.0</v>
      </c>
      <c r="J289" s="104">
        <v>0.0</v>
      </c>
      <c r="K289" s="105"/>
      <c r="L289" s="105" t="str">
        <f t="shared" si="1"/>
        <v/>
      </c>
      <c r="O289" s="106" t="str">
        <f t="shared" si="2"/>
        <v>#N/A</v>
      </c>
      <c r="P289" s="106" t="str">
        <f t="shared" si="3"/>
        <v>#N/A</v>
      </c>
      <c r="Q289" s="84" t="str">
        <f t="shared" si="4"/>
        <v>#N/A</v>
      </c>
      <c r="R289" s="84" t="str">
        <f t="shared" si="5"/>
        <v>#N/A</v>
      </c>
      <c r="S289" s="107">
        <f t="shared" si="6"/>
        <v>-0.11</v>
      </c>
      <c r="T289" s="108">
        <f t="shared" si="7"/>
        <v>-1</v>
      </c>
      <c r="U289" s="106" t="str">
        <f t="shared" si="8"/>
        <v>#N/A</v>
      </c>
      <c r="V289" s="84" t="str">
        <f t="shared" si="9"/>
        <v/>
      </c>
      <c r="W289" s="109" t="str">
        <f t="shared" si="10"/>
        <v/>
      </c>
      <c r="X289" s="109" t="str">
        <f t="shared" si="11"/>
        <v/>
      </c>
      <c r="Y289" s="110" t="str">
        <f t="array" ref="Y289">_xlfn.XLOOKUP(A289,'Video Database'!L:L,'Video Database'!M:M,"")</f>
        <v>Product Overlay</v>
      </c>
    </row>
    <row r="290" ht="22.5" customHeight="1">
      <c r="A290" s="113">
        <f t="shared" si="12"/>
        <v>289</v>
      </c>
      <c r="B290" s="98" t="str">
        <f t="array" ref="B290">_xlfn.XLOOKUP(A290,'Video Database'!L:L,'Video Database'!D:D,"")</f>
        <v>Blakely</v>
      </c>
      <c r="C290" s="98" t="str">
        <f t="array" ref="C290">_xlfn.XLOOKUP(A290,'Video Database'!L:L,'Video Database'!E:E,"")</f>
        <v>Account 1</v>
      </c>
      <c r="D290" s="99" t="str">
        <f t="array" ref="D290">_xlfn.XLOOKUP(A290,'Video Database'!L:L,'Video Database'!G:G,"")</f>
        <v>Squish Energy Preworkout Jello Shots</v>
      </c>
      <c r="E290" s="100">
        <f t="array" ref="E290">_xlfn.XLOOKUP(A290,'Video Database'!L:L,'Video Database'!H:H,"")</f>
        <v>0.11</v>
      </c>
      <c r="F290" s="101">
        <v>0.0</v>
      </c>
      <c r="G290" s="87">
        <v>0.0</v>
      </c>
      <c r="H290" s="114">
        <f t="array" ref="H290">_xlfn.XLOOKUP(A290,'Video Database'!L:L,'Video Database'!A:A,"")</f>
        <v>46188</v>
      </c>
      <c r="I290" s="103">
        <v>46201.0</v>
      </c>
      <c r="J290" s="104">
        <v>0.0</v>
      </c>
      <c r="K290" s="105"/>
      <c r="L290" s="105" t="str">
        <f t="shared" si="1"/>
        <v/>
      </c>
      <c r="O290" s="106" t="str">
        <f t="shared" si="2"/>
        <v>#N/A</v>
      </c>
      <c r="P290" s="106" t="str">
        <f t="shared" si="3"/>
        <v>#N/A</v>
      </c>
      <c r="Q290" s="84" t="str">
        <f t="shared" si="4"/>
        <v>#N/A</v>
      </c>
      <c r="R290" s="84" t="str">
        <f t="shared" si="5"/>
        <v>#N/A</v>
      </c>
      <c r="S290" s="107">
        <f t="shared" si="6"/>
        <v>-0.11</v>
      </c>
      <c r="T290" s="108">
        <f t="shared" si="7"/>
        <v>-1</v>
      </c>
      <c r="U290" s="106" t="str">
        <f t="shared" si="8"/>
        <v>#N/A</v>
      </c>
      <c r="V290" s="84" t="str">
        <f t="shared" si="9"/>
        <v/>
      </c>
      <c r="W290" s="109" t="str">
        <f t="shared" si="10"/>
        <v/>
      </c>
      <c r="X290" s="109" t="str">
        <f t="shared" si="11"/>
        <v/>
      </c>
      <c r="Y290" s="110" t="str">
        <f t="array" ref="Y290">_xlfn.XLOOKUP(A290,'Video Database'!L:L,'Video Database'!M:M,"")</f>
        <v>Product Overlay</v>
      </c>
    </row>
    <row r="291" ht="22.5" customHeight="1">
      <c r="A291" s="113">
        <f t="shared" si="12"/>
        <v>290</v>
      </c>
      <c r="B291" s="98" t="str">
        <f t="array" ref="B291">_xlfn.XLOOKUP(A291,'Video Database'!L:L,'Video Database'!D:D,"")</f>
        <v>Blakely</v>
      </c>
      <c r="C291" s="98" t="str">
        <f t="array" ref="C291">_xlfn.XLOOKUP(A291,'Video Database'!L:L,'Video Database'!E:E,"")</f>
        <v>Account 1</v>
      </c>
      <c r="D291" s="99" t="str">
        <f t="array" ref="D291">_xlfn.XLOOKUP(A291,'Video Database'!L:L,'Video Database'!G:G,"")</f>
        <v>BetterAlt Shilajit Honey Sticks</v>
      </c>
      <c r="E291" s="100">
        <f t="array" ref="E291">_xlfn.XLOOKUP(A291,'Video Database'!L:L,'Video Database'!H:H,"")</f>
        <v>0.11</v>
      </c>
      <c r="F291" s="101">
        <v>0.0</v>
      </c>
      <c r="G291" s="87">
        <v>0.0</v>
      </c>
      <c r="H291" s="114">
        <f t="array" ref="H291">_xlfn.XLOOKUP(A291,'Video Database'!L:L,'Video Database'!A:A,"")</f>
        <v>46188</v>
      </c>
      <c r="I291" s="103">
        <v>46201.0</v>
      </c>
      <c r="J291" s="104">
        <v>0.0</v>
      </c>
      <c r="K291" s="105"/>
      <c r="L291" s="105" t="str">
        <f t="shared" si="1"/>
        <v/>
      </c>
      <c r="O291" s="106" t="str">
        <f t="shared" si="2"/>
        <v>#N/A</v>
      </c>
      <c r="P291" s="106" t="str">
        <f t="shared" si="3"/>
        <v>#N/A</v>
      </c>
      <c r="Q291" s="84" t="str">
        <f t="shared" si="4"/>
        <v>#N/A</v>
      </c>
      <c r="R291" s="84" t="str">
        <f t="shared" si="5"/>
        <v>#N/A</v>
      </c>
      <c r="S291" s="107">
        <f t="shared" si="6"/>
        <v>-0.11</v>
      </c>
      <c r="T291" s="108">
        <f t="shared" si="7"/>
        <v>-1</v>
      </c>
      <c r="U291" s="106" t="str">
        <f t="shared" si="8"/>
        <v>#N/A</v>
      </c>
      <c r="V291" s="84" t="str">
        <f t="shared" si="9"/>
        <v/>
      </c>
      <c r="W291" s="109" t="str">
        <f t="shared" si="10"/>
        <v/>
      </c>
      <c r="X291" s="109" t="str">
        <f t="shared" si="11"/>
        <v/>
      </c>
      <c r="Y291" s="110" t="str">
        <f t="array" ref="Y291">_xlfn.XLOOKUP(A291,'Video Database'!L:L,'Video Database'!M:M,"")</f>
        <v>Product Overlay</v>
      </c>
    </row>
    <row r="292" ht="22.5" customHeight="1">
      <c r="A292" s="113">
        <f t="shared" si="12"/>
        <v>291</v>
      </c>
      <c r="B292" s="98" t="str">
        <f t="array" ref="B292">_xlfn.XLOOKUP(A292,'Video Database'!L:L,'Video Database'!D:D,"")</f>
        <v>Blakely</v>
      </c>
      <c r="C292" s="98" t="str">
        <f t="array" ref="C292">_xlfn.XLOOKUP(A292,'Video Database'!L:L,'Video Database'!E:E,"")</f>
        <v>Account 1</v>
      </c>
      <c r="D292" s="99" t="str">
        <f t="array" ref="D292">_xlfn.XLOOKUP(A292,'Video Database'!L:L,'Video Database'!G:G,"")</f>
        <v>Nello Supercalm Drink Mix</v>
      </c>
      <c r="E292" s="100">
        <f t="array" ref="E292">_xlfn.XLOOKUP(A292,'Video Database'!L:L,'Video Database'!H:H,"")</f>
        <v>0.11</v>
      </c>
      <c r="F292" s="101">
        <v>0.0</v>
      </c>
      <c r="G292" s="87">
        <v>0.0</v>
      </c>
      <c r="H292" s="114">
        <f t="array" ref="H292">_xlfn.XLOOKUP(A292,'Video Database'!L:L,'Video Database'!A:A,"")</f>
        <v>46188</v>
      </c>
      <c r="I292" s="103">
        <v>46201.0</v>
      </c>
      <c r="J292" s="104">
        <v>0.0</v>
      </c>
      <c r="K292" s="105"/>
      <c r="L292" s="105" t="str">
        <f t="shared" si="1"/>
        <v/>
      </c>
      <c r="O292" s="106" t="str">
        <f t="shared" si="2"/>
        <v>#N/A</v>
      </c>
      <c r="P292" s="106" t="str">
        <f t="shared" si="3"/>
        <v>#N/A</v>
      </c>
      <c r="Q292" s="84" t="str">
        <f t="shared" si="4"/>
        <v>#N/A</v>
      </c>
      <c r="R292" s="84" t="str">
        <f t="shared" si="5"/>
        <v>#N/A</v>
      </c>
      <c r="S292" s="107">
        <f t="shared" si="6"/>
        <v>-0.11</v>
      </c>
      <c r="T292" s="108">
        <f t="shared" si="7"/>
        <v>-1</v>
      </c>
      <c r="U292" s="106" t="str">
        <f t="shared" si="8"/>
        <v>#N/A</v>
      </c>
      <c r="V292" s="84" t="str">
        <f t="shared" si="9"/>
        <v/>
      </c>
      <c r="W292" s="109" t="str">
        <f t="shared" si="10"/>
        <v/>
      </c>
      <c r="X292" s="109" t="str">
        <f t="shared" si="11"/>
        <v/>
      </c>
      <c r="Y292" s="110" t="str">
        <f t="array" ref="Y292">_xlfn.XLOOKUP(A292,'Video Database'!L:L,'Video Database'!M:M,"")</f>
        <v>Product Overlay</v>
      </c>
    </row>
    <row r="293" ht="22.5" customHeight="1">
      <c r="A293" s="113">
        <f t="shared" si="12"/>
        <v>292</v>
      </c>
      <c r="B293" s="98" t="str">
        <f t="array" ref="B293">_xlfn.XLOOKUP(A293,'Video Database'!L:L,'Video Database'!D:D,"")</f>
        <v>Blakely</v>
      </c>
      <c r="C293" s="98" t="str">
        <f t="array" ref="C293">_xlfn.XLOOKUP(A293,'Video Database'!L:L,'Video Database'!E:E,"")</f>
        <v>Account 1</v>
      </c>
      <c r="D293" s="99" t="str">
        <f t="array" ref="D293">_xlfn.XLOOKUP(A293,'Video Database'!L:L,'Video Database'!G:G,"")</f>
        <v>Physician's Choice Probiotic Gummies</v>
      </c>
      <c r="E293" s="100">
        <f t="array" ref="E293">_xlfn.XLOOKUP(A293,'Video Database'!L:L,'Video Database'!H:H,"")</f>
        <v>0.11</v>
      </c>
      <c r="F293" s="101">
        <v>0.0</v>
      </c>
      <c r="G293" s="87">
        <v>0.0</v>
      </c>
      <c r="H293" s="114">
        <f t="array" ref="H293">_xlfn.XLOOKUP(A293,'Video Database'!L:L,'Video Database'!A:A,"")</f>
        <v>46188</v>
      </c>
      <c r="I293" s="103">
        <v>46201.0</v>
      </c>
      <c r="J293" s="104">
        <v>0.0</v>
      </c>
      <c r="K293" s="105"/>
      <c r="L293" s="105" t="str">
        <f t="shared" si="1"/>
        <v/>
      </c>
      <c r="O293" s="106" t="str">
        <f t="shared" si="2"/>
        <v>#N/A</v>
      </c>
      <c r="P293" s="106" t="str">
        <f t="shared" si="3"/>
        <v>#N/A</v>
      </c>
      <c r="Q293" s="84" t="str">
        <f t="shared" si="4"/>
        <v>#N/A</v>
      </c>
      <c r="R293" s="84" t="str">
        <f t="shared" si="5"/>
        <v>#N/A</v>
      </c>
      <c r="S293" s="107">
        <f t="shared" si="6"/>
        <v>-0.11</v>
      </c>
      <c r="T293" s="108">
        <f t="shared" si="7"/>
        <v>-1</v>
      </c>
      <c r="U293" s="106" t="str">
        <f t="shared" si="8"/>
        <v>#N/A</v>
      </c>
      <c r="V293" s="84" t="str">
        <f t="shared" si="9"/>
        <v/>
      </c>
      <c r="W293" s="109" t="str">
        <f t="shared" si="10"/>
        <v/>
      </c>
      <c r="X293" s="109" t="str">
        <f t="shared" si="11"/>
        <v/>
      </c>
      <c r="Y293" s="110" t="str">
        <f t="array" ref="Y293">_xlfn.XLOOKUP(A293,'Video Database'!L:L,'Video Database'!M:M,"")</f>
        <v>Product Overlay</v>
      </c>
    </row>
    <row r="294" ht="22.5" customHeight="1">
      <c r="A294" s="113">
        <f t="shared" si="12"/>
        <v>293</v>
      </c>
      <c r="B294" s="98" t="str">
        <f t="array" ref="B294">_xlfn.XLOOKUP(A294,'Video Database'!L:L,'Video Database'!D:D,"")</f>
        <v>Blakely</v>
      </c>
      <c r="C294" s="98" t="str">
        <f t="array" ref="C294">_xlfn.XLOOKUP(A294,'Video Database'!L:L,'Video Database'!E:E,"")</f>
        <v>Account 1</v>
      </c>
      <c r="D294" s="99" t="str">
        <f t="array" ref="D294">_xlfn.XLOOKUP(A294,'Video Database'!L:L,'Video Database'!G:G,"")</f>
        <v>Goli Women's Complete Multi Gummy</v>
      </c>
      <c r="E294" s="100">
        <f t="array" ref="E294">_xlfn.XLOOKUP(A294,'Video Database'!L:L,'Video Database'!H:H,"")</f>
        <v>0.11</v>
      </c>
      <c r="F294" s="101">
        <v>0.0</v>
      </c>
      <c r="G294" s="87">
        <v>0.0</v>
      </c>
      <c r="H294" s="114">
        <f t="array" ref="H294">_xlfn.XLOOKUP(A294,'Video Database'!L:L,'Video Database'!A:A,"")</f>
        <v>46188</v>
      </c>
      <c r="I294" s="103">
        <v>46201.0</v>
      </c>
      <c r="J294" s="104">
        <v>0.0</v>
      </c>
      <c r="K294" s="105"/>
      <c r="L294" s="105" t="str">
        <f t="shared" si="1"/>
        <v/>
      </c>
      <c r="O294" s="106" t="str">
        <f t="shared" si="2"/>
        <v>#N/A</v>
      </c>
      <c r="P294" s="106" t="str">
        <f t="shared" si="3"/>
        <v>#N/A</v>
      </c>
      <c r="Q294" s="84" t="str">
        <f t="shared" si="4"/>
        <v>#N/A</v>
      </c>
      <c r="R294" s="84" t="str">
        <f t="shared" si="5"/>
        <v>#N/A</v>
      </c>
      <c r="S294" s="107">
        <f t="shared" si="6"/>
        <v>-0.11</v>
      </c>
      <c r="T294" s="108">
        <f t="shared" si="7"/>
        <v>-1</v>
      </c>
      <c r="U294" s="106" t="str">
        <f t="shared" si="8"/>
        <v>#N/A</v>
      </c>
      <c r="V294" s="84" t="str">
        <f t="shared" si="9"/>
        <v/>
      </c>
      <c r="W294" s="109" t="str">
        <f t="shared" si="10"/>
        <v/>
      </c>
      <c r="X294" s="109" t="str">
        <f t="shared" si="11"/>
        <v/>
      </c>
      <c r="Y294" s="110" t="str">
        <f t="array" ref="Y294">_xlfn.XLOOKUP(A294,'Video Database'!L:L,'Video Database'!M:M,"")</f>
        <v>Product Overlay</v>
      </c>
    </row>
    <row r="295" ht="22.5" customHeight="1">
      <c r="A295" s="113">
        <f t="shared" si="12"/>
        <v>294</v>
      </c>
      <c r="B295" s="98" t="str">
        <f t="array" ref="B295">_xlfn.XLOOKUP(A295,'Video Database'!L:L,'Video Database'!D:D,"")</f>
        <v>Blakely</v>
      </c>
      <c r="C295" s="98" t="str">
        <f t="array" ref="C295">_xlfn.XLOOKUP(A295,'Video Database'!L:L,'Video Database'!E:E,"")</f>
        <v>Account 1</v>
      </c>
      <c r="D295" s="99" t="str">
        <f t="array" ref="D295">_xlfn.XLOOKUP(A295,'Video Database'!L:L,'Video Database'!G:G,"")</f>
        <v>Neurogum Watermelon</v>
      </c>
      <c r="E295" s="100">
        <f t="array" ref="E295">_xlfn.XLOOKUP(A295,'Video Database'!L:L,'Video Database'!H:H,"")</f>
        <v>0.11</v>
      </c>
      <c r="F295" s="101">
        <v>0.0</v>
      </c>
      <c r="G295" s="87">
        <v>0.0</v>
      </c>
      <c r="H295" s="114">
        <f t="array" ref="H295">_xlfn.XLOOKUP(A295,'Video Database'!L:L,'Video Database'!A:A,"")</f>
        <v>46188</v>
      </c>
      <c r="I295" s="103">
        <v>46201.0</v>
      </c>
      <c r="J295" s="104">
        <v>0.0</v>
      </c>
      <c r="K295" s="105"/>
      <c r="L295" s="105" t="str">
        <f t="shared" si="1"/>
        <v/>
      </c>
      <c r="O295" s="106" t="str">
        <f t="shared" si="2"/>
        <v>#N/A</v>
      </c>
      <c r="P295" s="106" t="str">
        <f t="shared" si="3"/>
        <v>#N/A</v>
      </c>
      <c r="Q295" s="84" t="str">
        <f t="shared" si="4"/>
        <v>#N/A</v>
      </c>
      <c r="R295" s="84" t="str">
        <f t="shared" si="5"/>
        <v>#N/A</v>
      </c>
      <c r="S295" s="107">
        <f t="shared" si="6"/>
        <v>-0.11</v>
      </c>
      <c r="T295" s="108">
        <f t="shared" si="7"/>
        <v>-1</v>
      </c>
      <c r="U295" s="106" t="str">
        <f t="shared" si="8"/>
        <v>#N/A</v>
      </c>
      <c r="V295" s="84" t="str">
        <f t="shared" si="9"/>
        <v/>
      </c>
      <c r="W295" s="109" t="str">
        <f t="shared" si="10"/>
        <v/>
      </c>
      <c r="X295" s="109" t="str">
        <f t="shared" si="11"/>
        <v/>
      </c>
      <c r="Y295" s="110" t="str">
        <f t="array" ref="Y295">_xlfn.XLOOKUP(A295,'Video Database'!L:L,'Video Database'!M:M,"")</f>
        <v>Product Overlay</v>
      </c>
    </row>
    <row r="296" ht="22.5" customHeight="1">
      <c r="A296" s="113">
        <f t="shared" si="12"/>
        <v>295</v>
      </c>
      <c r="B296" s="98" t="str">
        <f t="array" ref="B296">_xlfn.XLOOKUP(A296,'Video Database'!L:L,'Video Database'!D:D,"")</f>
        <v>Blakely</v>
      </c>
      <c r="C296" s="98" t="str">
        <f t="array" ref="C296">_xlfn.XLOOKUP(A296,'Video Database'!L:L,'Video Database'!E:E,"")</f>
        <v>Account 1</v>
      </c>
      <c r="D296" s="99" t="str">
        <f t="array" ref="D296">_xlfn.XLOOKUP(A296,'Video Database'!L:L,'Video Database'!G:G,"")</f>
        <v>Beast Bites Creatine Gummies</v>
      </c>
      <c r="E296" s="100">
        <f t="array" ref="E296">_xlfn.XLOOKUP(A296,'Video Database'!L:L,'Video Database'!H:H,"")</f>
        <v>0.11</v>
      </c>
      <c r="F296" s="101">
        <v>0.0</v>
      </c>
      <c r="G296" s="87">
        <v>0.0</v>
      </c>
      <c r="H296" s="114">
        <f t="array" ref="H296">_xlfn.XLOOKUP(A296,'Video Database'!L:L,'Video Database'!A:A,"")</f>
        <v>46188</v>
      </c>
      <c r="I296" s="103">
        <v>46201.0</v>
      </c>
      <c r="J296" s="104">
        <v>0.0</v>
      </c>
      <c r="K296" s="105"/>
      <c r="L296" s="105" t="str">
        <f t="shared" si="1"/>
        <v/>
      </c>
      <c r="O296" s="106" t="str">
        <f t="shared" si="2"/>
        <v>#N/A</v>
      </c>
      <c r="P296" s="106" t="str">
        <f t="shared" si="3"/>
        <v>#N/A</v>
      </c>
      <c r="Q296" s="84" t="str">
        <f t="shared" si="4"/>
        <v>#N/A</v>
      </c>
      <c r="R296" s="84" t="str">
        <f t="shared" si="5"/>
        <v>#N/A</v>
      </c>
      <c r="S296" s="107">
        <f t="shared" si="6"/>
        <v>-0.11</v>
      </c>
      <c r="T296" s="108">
        <f t="shared" si="7"/>
        <v>-1</v>
      </c>
      <c r="U296" s="106" t="str">
        <f t="shared" si="8"/>
        <v>#N/A</v>
      </c>
      <c r="V296" s="84" t="str">
        <f t="shared" si="9"/>
        <v/>
      </c>
      <c r="W296" s="109" t="str">
        <f t="shared" si="10"/>
        <v/>
      </c>
      <c r="X296" s="109" t="str">
        <f t="shared" si="11"/>
        <v/>
      </c>
      <c r="Y296" s="110" t="str">
        <f t="array" ref="Y296">_xlfn.XLOOKUP(A296,'Video Database'!L:L,'Video Database'!M:M,"")</f>
        <v>Product Overlay</v>
      </c>
    </row>
    <row r="297" ht="22.5" customHeight="1">
      <c r="A297" s="113">
        <f t="shared" si="12"/>
        <v>296</v>
      </c>
      <c r="B297" s="98" t="str">
        <f t="array" ref="B297">_xlfn.XLOOKUP(A297,'Video Database'!L:L,'Video Database'!D:D,"")</f>
        <v>Blakely</v>
      </c>
      <c r="C297" s="98" t="str">
        <f t="array" ref="C297">_xlfn.XLOOKUP(A297,'Video Database'!L:L,'Video Database'!E:E,"")</f>
        <v>Account 1</v>
      </c>
      <c r="D297" s="99" t="str">
        <f t="array" ref="D297">_xlfn.XLOOKUP(A297,'Video Database'!L:L,'Video Database'!G:G,"")</f>
        <v>Mushroom Coffee</v>
      </c>
      <c r="E297" s="100">
        <f t="array" ref="E297">_xlfn.XLOOKUP(A297,'Video Database'!L:L,'Video Database'!H:H,"")</f>
        <v>0.11</v>
      </c>
      <c r="F297" s="101">
        <v>0.0</v>
      </c>
      <c r="G297" s="87">
        <v>0.0</v>
      </c>
      <c r="H297" s="114">
        <f t="array" ref="H297">_xlfn.XLOOKUP(A297,'Video Database'!L:L,'Video Database'!A:A,"")</f>
        <v>46188</v>
      </c>
      <c r="I297" s="103">
        <v>46201.0</v>
      </c>
      <c r="J297" s="104">
        <v>0.0</v>
      </c>
      <c r="K297" s="105"/>
      <c r="L297" s="105" t="str">
        <f t="shared" si="1"/>
        <v/>
      </c>
      <c r="O297" s="106" t="str">
        <f t="shared" si="2"/>
        <v>#N/A</v>
      </c>
      <c r="P297" s="106" t="str">
        <f t="shared" si="3"/>
        <v>#N/A</v>
      </c>
      <c r="Q297" s="84" t="str">
        <f t="shared" si="4"/>
        <v>#N/A</v>
      </c>
      <c r="R297" s="84" t="str">
        <f t="shared" si="5"/>
        <v>#N/A</v>
      </c>
      <c r="S297" s="107">
        <f t="shared" si="6"/>
        <v>-0.11</v>
      </c>
      <c r="T297" s="108">
        <f t="shared" si="7"/>
        <v>-1</v>
      </c>
      <c r="U297" s="106" t="str">
        <f t="shared" si="8"/>
        <v>#N/A</v>
      </c>
      <c r="V297" s="84" t="str">
        <f t="shared" si="9"/>
        <v/>
      </c>
      <c r="W297" s="109" t="str">
        <f t="shared" si="10"/>
        <v/>
      </c>
      <c r="X297" s="109" t="str">
        <f t="shared" si="11"/>
        <v/>
      </c>
      <c r="Y297" s="110" t="str">
        <f t="array" ref="Y297">_xlfn.XLOOKUP(A297,'Video Database'!L:L,'Video Database'!M:M,"")</f>
        <v>Product Overlay</v>
      </c>
    </row>
    <row r="298" ht="22.5" customHeight="1">
      <c r="A298" s="113">
        <f t="shared" si="12"/>
        <v>297</v>
      </c>
      <c r="B298" s="98" t="str">
        <f t="array" ref="B298">_xlfn.XLOOKUP(A298,'Video Database'!L:L,'Video Database'!D:D,"")</f>
        <v>Blakely</v>
      </c>
      <c r="C298" s="98" t="str">
        <f t="array" ref="C298">_xlfn.XLOOKUP(A298,'Video Database'!L:L,'Video Database'!E:E,"")</f>
        <v>Account 2</v>
      </c>
      <c r="D298" s="99" t="str">
        <f t="array" ref="D298">_xlfn.XLOOKUP(A298,'Video Database'!L:L,'Video Database'!G:G,"")</f>
        <v>Squish Energy Preworkout Jello Shots</v>
      </c>
      <c r="E298" s="100">
        <f t="array" ref="E298">_xlfn.XLOOKUP(A298,'Video Database'!L:L,'Video Database'!H:H,"")</f>
        <v>0.11</v>
      </c>
      <c r="F298" s="101">
        <v>0.0</v>
      </c>
      <c r="G298" s="87">
        <v>0.0</v>
      </c>
      <c r="H298" s="114">
        <f t="array" ref="H298">_xlfn.XLOOKUP(A298,'Video Database'!L:L,'Video Database'!A:A,"")</f>
        <v>46188</v>
      </c>
      <c r="I298" s="103">
        <v>46201.0</v>
      </c>
      <c r="J298" s="104">
        <v>0.0</v>
      </c>
      <c r="K298" s="105"/>
      <c r="L298" s="105" t="str">
        <f t="shared" si="1"/>
        <v/>
      </c>
      <c r="O298" s="106" t="str">
        <f t="shared" si="2"/>
        <v>#N/A</v>
      </c>
      <c r="P298" s="106" t="str">
        <f t="shared" si="3"/>
        <v>#N/A</v>
      </c>
      <c r="Q298" s="84" t="str">
        <f t="shared" si="4"/>
        <v>#N/A</v>
      </c>
      <c r="R298" s="84" t="str">
        <f t="shared" si="5"/>
        <v>#N/A</v>
      </c>
      <c r="S298" s="107">
        <f t="shared" si="6"/>
        <v>-0.11</v>
      </c>
      <c r="T298" s="108">
        <f t="shared" si="7"/>
        <v>-1</v>
      </c>
      <c r="U298" s="106" t="str">
        <f t="shared" si="8"/>
        <v>#N/A</v>
      </c>
      <c r="V298" s="84" t="str">
        <f t="shared" si="9"/>
        <v/>
      </c>
      <c r="W298" s="109" t="str">
        <f t="shared" si="10"/>
        <v/>
      </c>
      <c r="X298" s="109" t="str">
        <f t="shared" si="11"/>
        <v/>
      </c>
      <c r="Y298" s="110" t="str">
        <f t="array" ref="Y298">_xlfn.XLOOKUP(A298,'Video Database'!L:L,'Video Database'!M:M,"")</f>
        <v>Bottom of Funnel</v>
      </c>
    </row>
    <row r="299" ht="22.5" customHeight="1">
      <c r="A299" s="113">
        <f t="shared" si="12"/>
        <v>298</v>
      </c>
      <c r="B299" s="98" t="str">
        <f t="array" ref="B299">_xlfn.XLOOKUP(A299,'Video Database'!L:L,'Video Database'!D:D,"")</f>
        <v>Blakely</v>
      </c>
      <c r="C299" s="98" t="str">
        <f t="array" ref="C299">_xlfn.XLOOKUP(A299,'Video Database'!L:L,'Video Database'!E:E,"")</f>
        <v>Account 2</v>
      </c>
      <c r="D299" s="99" t="str">
        <f t="array" ref="D299">_xlfn.XLOOKUP(A299,'Video Database'!L:L,'Video Database'!G:G,"")</f>
        <v>Nello Supercalm Drink Mix</v>
      </c>
      <c r="E299" s="100">
        <f t="array" ref="E299">_xlfn.XLOOKUP(A299,'Video Database'!L:L,'Video Database'!H:H,"")</f>
        <v>0.11</v>
      </c>
      <c r="F299" s="101">
        <v>0.0</v>
      </c>
      <c r="G299" s="87">
        <v>0.0</v>
      </c>
      <c r="H299" s="114">
        <f t="array" ref="H299">_xlfn.XLOOKUP(A299,'Video Database'!L:L,'Video Database'!A:A,"")</f>
        <v>46188</v>
      </c>
      <c r="I299" s="103">
        <v>46201.0</v>
      </c>
      <c r="J299" s="104">
        <v>0.0</v>
      </c>
      <c r="K299" s="105"/>
      <c r="L299" s="105" t="str">
        <f t="shared" si="1"/>
        <v/>
      </c>
      <c r="O299" s="106" t="str">
        <f t="shared" si="2"/>
        <v>#N/A</v>
      </c>
      <c r="P299" s="106" t="str">
        <f t="shared" si="3"/>
        <v>#N/A</v>
      </c>
      <c r="Q299" s="84" t="str">
        <f t="shared" si="4"/>
        <v>#N/A</v>
      </c>
      <c r="R299" s="84" t="str">
        <f t="shared" si="5"/>
        <v>#N/A</v>
      </c>
      <c r="S299" s="107">
        <f t="shared" si="6"/>
        <v>-0.11</v>
      </c>
      <c r="T299" s="108">
        <f t="shared" si="7"/>
        <v>-1</v>
      </c>
      <c r="U299" s="106" t="str">
        <f t="shared" si="8"/>
        <v>#N/A</v>
      </c>
      <c r="V299" s="84" t="str">
        <f t="shared" si="9"/>
        <v/>
      </c>
      <c r="W299" s="109" t="str">
        <f t="shared" si="10"/>
        <v/>
      </c>
      <c r="X299" s="109" t="str">
        <f t="shared" si="11"/>
        <v/>
      </c>
      <c r="Y299" s="110" t="str">
        <f t="array" ref="Y299">_xlfn.XLOOKUP(A299,'Video Database'!L:L,'Video Database'!M:M,"")</f>
        <v>Bottom of Funnel</v>
      </c>
    </row>
    <row r="300" ht="22.5" customHeight="1">
      <c r="A300" s="113">
        <f t="shared" si="12"/>
        <v>299</v>
      </c>
      <c r="B300" s="98" t="str">
        <f t="array" ref="B300">_xlfn.XLOOKUP(A300,'Video Database'!L:L,'Video Database'!D:D,"")</f>
        <v>Blakely</v>
      </c>
      <c r="C300" s="98" t="str">
        <f t="array" ref="C300">_xlfn.XLOOKUP(A300,'Video Database'!L:L,'Video Database'!E:E,"")</f>
        <v>Account 2</v>
      </c>
      <c r="D300" s="99" t="str">
        <f t="array" ref="D300">_xlfn.XLOOKUP(A300,'Video Database'!L:L,'Video Database'!G:G,"")</f>
        <v>Beast Bites Creatine Gummies</v>
      </c>
      <c r="E300" s="100">
        <f t="array" ref="E300">_xlfn.XLOOKUP(A300,'Video Database'!L:L,'Video Database'!H:H,"")</f>
        <v>0.11</v>
      </c>
      <c r="F300" s="101">
        <v>0.0</v>
      </c>
      <c r="G300" s="87">
        <v>5.0</v>
      </c>
      <c r="H300" s="114">
        <f t="array" ref="H300">_xlfn.XLOOKUP(A300,'Video Database'!L:L,'Video Database'!A:A,"")</f>
        <v>46188</v>
      </c>
      <c r="I300" s="103">
        <v>46209.0</v>
      </c>
      <c r="J300" s="104">
        <v>11.84</v>
      </c>
      <c r="K300" s="87">
        <v>13.0</v>
      </c>
      <c r="L300" s="105">
        <f t="shared" si="1"/>
        <v>88</v>
      </c>
      <c r="M300" s="87">
        <v>88.0</v>
      </c>
      <c r="O300" s="106">
        <f t="shared" si="2"/>
        <v>0.1477272727</v>
      </c>
      <c r="P300" s="106">
        <f t="shared" si="3"/>
        <v>0.3846153846</v>
      </c>
      <c r="Q300" s="84">
        <f t="shared" si="4"/>
        <v>2.368</v>
      </c>
      <c r="R300" s="84">
        <f t="shared" si="5"/>
        <v>0</v>
      </c>
      <c r="S300" s="107">
        <f t="shared" si="6"/>
        <v>11.73</v>
      </c>
      <c r="T300" s="108">
        <f t="shared" si="7"/>
        <v>106.6363636</v>
      </c>
      <c r="U300" s="106">
        <f t="shared" si="8"/>
        <v>0.9907094595</v>
      </c>
      <c r="V300" s="129">
        <f t="shared" si="9"/>
        <v>0.022</v>
      </c>
      <c r="W300" s="109">
        <f t="shared" si="10"/>
        <v>0.008461538462</v>
      </c>
      <c r="X300" s="109" t="str">
        <f t="shared" si="11"/>
        <v/>
      </c>
      <c r="Y300" s="110" t="str">
        <f t="array" ref="Y300">_xlfn.XLOOKUP(A300,'Video Database'!L:L,'Video Database'!M:M,"")</f>
        <v>Bottom of Funnel</v>
      </c>
    </row>
    <row r="301" ht="22.5" customHeight="1">
      <c r="A301" s="113">
        <f t="shared" si="12"/>
        <v>300</v>
      </c>
      <c r="B301" s="98" t="str">
        <f t="array" ref="B301">_xlfn.XLOOKUP(A301,'Video Database'!L:L,'Video Database'!D:D,"")</f>
        <v>Blakely</v>
      </c>
      <c r="C301" s="98" t="str">
        <f t="array" ref="C301">_xlfn.XLOOKUP(A301,'Video Database'!L:L,'Video Database'!E:E,"")</f>
        <v>Account 2</v>
      </c>
      <c r="D301" s="99" t="str">
        <f t="array" ref="D301">_xlfn.XLOOKUP(A301,'Video Database'!L:L,'Video Database'!G:G,"")</f>
        <v>Mushroom Coffee</v>
      </c>
      <c r="E301" s="100">
        <f t="array" ref="E301">_xlfn.XLOOKUP(A301,'Video Database'!L:L,'Video Database'!H:H,"")</f>
        <v>0.11</v>
      </c>
      <c r="F301" s="101">
        <v>0.0</v>
      </c>
      <c r="G301" s="87">
        <v>0.0</v>
      </c>
      <c r="H301" s="114">
        <f t="array" ref="H301">_xlfn.XLOOKUP(A301,'Video Database'!L:L,'Video Database'!A:A,"")</f>
        <v>46188</v>
      </c>
      <c r="I301" s="103">
        <v>46201.0</v>
      </c>
      <c r="J301" s="104">
        <v>0.0</v>
      </c>
      <c r="K301" s="105"/>
      <c r="L301" s="105" t="str">
        <f t="shared" si="1"/>
        <v/>
      </c>
      <c r="O301" s="106" t="str">
        <f t="shared" si="2"/>
        <v>#N/A</v>
      </c>
      <c r="P301" s="106" t="str">
        <f t="shared" si="3"/>
        <v>#N/A</v>
      </c>
      <c r="Q301" s="84" t="str">
        <f t="shared" si="4"/>
        <v>#N/A</v>
      </c>
      <c r="R301" s="84" t="str">
        <f t="shared" si="5"/>
        <v>#N/A</v>
      </c>
      <c r="S301" s="107">
        <f t="shared" si="6"/>
        <v>-0.11</v>
      </c>
      <c r="T301" s="108">
        <f t="shared" si="7"/>
        <v>-1</v>
      </c>
      <c r="U301" s="106" t="str">
        <f t="shared" si="8"/>
        <v>#N/A</v>
      </c>
      <c r="V301" s="84" t="str">
        <f t="shared" si="9"/>
        <v/>
      </c>
      <c r="W301" s="109" t="str">
        <f t="shared" si="10"/>
        <v/>
      </c>
      <c r="X301" s="109" t="str">
        <f t="shared" si="11"/>
        <v/>
      </c>
      <c r="Y301" s="110" t="str">
        <f t="array" ref="Y301">_xlfn.XLOOKUP(A301,'Video Database'!L:L,'Video Database'!M:M,"")</f>
        <v>Bottom of Funnel</v>
      </c>
    </row>
    <row r="302" ht="22.5" customHeight="1">
      <c r="A302" s="113">
        <f t="shared" si="12"/>
        <v>301</v>
      </c>
      <c r="B302" s="98" t="str">
        <f t="array" ref="B302">_xlfn.XLOOKUP(A302,'Video Database'!L:L,'Video Database'!D:D,"")</f>
        <v>Blakely</v>
      </c>
      <c r="C302" s="98" t="str">
        <f t="array" ref="C302">_xlfn.XLOOKUP(A302,'Video Database'!L:L,'Video Database'!E:E,"")</f>
        <v>Account 2</v>
      </c>
      <c r="D302" s="99" t="str">
        <f t="array" ref="D302">_xlfn.XLOOKUP(A302,'Video Database'!L:L,'Video Database'!G:G,"")</f>
        <v>BioEmblem Magnesium</v>
      </c>
      <c r="E302" s="100">
        <f t="array" ref="E302">_xlfn.XLOOKUP(A302,'Video Database'!L:L,'Video Database'!H:H,"")</f>
        <v>0.11</v>
      </c>
      <c r="F302" s="101">
        <v>0.0</v>
      </c>
      <c r="G302" s="87">
        <v>0.0</v>
      </c>
      <c r="H302" s="114">
        <f t="array" ref="H302">_xlfn.XLOOKUP(A302,'Video Database'!L:L,'Video Database'!A:A,"")</f>
        <v>46188</v>
      </c>
      <c r="I302" s="103">
        <v>46201.0</v>
      </c>
      <c r="J302" s="104">
        <v>0.0</v>
      </c>
      <c r="K302" s="105"/>
      <c r="L302" s="105" t="str">
        <f t="shared" si="1"/>
        <v/>
      </c>
      <c r="O302" s="106" t="str">
        <f t="shared" si="2"/>
        <v>#N/A</v>
      </c>
      <c r="P302" s="106" t="str">
        <f t="shared" si="3"/>
        <v>#N/A</v>
      </c>
      <c r="Q302" s="84" t="str">
        <f t="shared" si="4"/>
        <v>#N/A</v>
      </c>
      <c r="R302" s="84" t="str">
        <f t="shared" si="5"/>
        <v>#N/A</v>
      </c>
      <c r="S302" s="107">
        <f t="shared" si="6"/>
        <v>-0.11</v>
      </c>
      <c r="T302" s="108">
        <f t="shared" si="7"/>
        <v>-1</v>
      </c>
      <c r="U302" s="106" t="str">
        <f t="shared" si="8"/>
        <v>#N/A</v>
      </c>
      <c r="V302" s="84" t="str">
        <f t="shared" si="9"/>
        <v/>
      </c>
      <c r="W302" s="109" t="str">
        <f t="shared" si="10"/>
        <v/>
      </c>
      <c r="X302" s="109" t="str">
        <f t="shared" si="11"/>
        <v/>
      </c>
      <c r="Y302" s="110" t="str">
        <f t="array" ref="Y302">_xlfn.XLOOKUP(A302,'Video Database'!L:L,'Video Database'!M:M,"")</f>
        <v>Bottom of Funnel</v>
      </c>
    </row>
    <row r="303" ht="22.5" customHeight="1">
      <c r="A303" s="113">
        <f t="shared" si="12"/>
        <v>302</v>
      </c>
      <c r="B303" s="98" t="str">
        <f t="array" ref="B303">_xlfn.XLOOKUP(A303,'Video Database'!L:L,'Video Database'!D:D,"")</f>
        <v>Blakely</v>
      </c>
      <c r="C303" s="98" t="str">
        <f t="array" ref="C303">_xlfn.XLOOKUP(A303,'Video Database'!L:L,'Video Database'!E:E,"")</f>
        <v>Account 2</v>
      </c>
      <c r="D303" s="99" t="str">
        <f t="array" ref="D303">_xlfn.XLOOKUP(A303,'Video Database'!L:L,'Video Database'!G:G,"")</f>
        <v>Nutricost Creatine Monohydrate</v>
      </c>
      <c r="E303" s="100">
        <f t="array" ref="E303">_xlfn.XLOOKUP(A303,'Video Database'!L:L,'Video Database'!H:H,"")</f>
        <v>0.11</v>
      </c>
      <c r="F303" s="101">
        <v>0.0</v>
      </c>
      <c r="G303" s="87">
        <v>0.0</v>
      </c>
      <c r="H303" s="114">
        <f t="array" ref="H303">_xlfn.XLOOKUP(A303,'Video Database'!L:L,'Video Database'!A:A,"")</f>
        <v>46188</v>
      </c>
      <c r="I303" s="103">
        <v>46201.0</v>
      </c>
      <c r="J303" s="104">
        <v>0.0</v>
      </c>
      <c r="K303" s="105"/>
      <c r="L303" s="105" t="str">
        <f t="shared" si="1"/>
        <v/>
      </c>
      <c r="O303" s="106" t="str">
        <f t="shared" si="2"/>
        <v>#N/A</v>
      </c>
      <c r="P303" s="106" t="str">
        <f t="shared" si="3"/>
        <v>#N/A</v>
      </c>
      <c r="Q303" s="84" t="str">
        <f t="shared" si="4"/>
        <v>#N/A</v>
      </c>
      <c r="R303" s="84" t="str">
        <f t="shared" si="5"/>
        <v>#N/A</v>
      </c>
      <c r="S303" s="107">
        <f t="shared" si="6"/>
        <v>-0.11</v>
      </c>
      <c r="T303" s="108">
        <f t="shared" si="7"/>
        <v>-1</v>
      </c>
      <c r="U303" s="106" t="str">
        <f t="shared" si="8"/>
        <v>#N/A</v>
      </c>
      <c r="V303" s="84" t="str">
        <f t="shared" si="9"/>
        <v/>
      </c>
      <c r="W303" s="109" t="str">
        <f t="shared" si="10"/>
        <v/>
      </c>
      <c r="X303" s="109" t="str">
        <f t="shared" si="11"/>
        <v/>
      </c>
      <c r="Y303" s="110" t="str">
        <f t="array" ref="Y303">_xlfn.XLOOKUP(A303,'Video Database'!L:L,'Video Database'!M:M,"")</f>
        <v>Bottom of Funnel</v>
      </c>
    </row>
    <row r="304" ht="22.5" customHeight="1">
      <c r="A304" s="113">
        <f t="shared" si="12"/>
        <v>303</v>
      </c>
      <c r="B304" s="98" t="str">
        <f t="array" ref="B304">_xlfn.XLOOKUP(A304,'Video Database'!L:L,'Video Database'!D:D,"")</f>
        <v>Blakely</v>
      </c>
      <c r="C304" s="98" t="str">
        <f t="array" ref="C304">_xlfn.XLOOKUP(A304,'Video Database'!L:L,'Video Database'!E:E,"")</f>
        <v>Account 2</v>
      </c>
      <c r="D304" s="99" t="str">
        <f t="array" ref="D304">_xlfn.XLOOKUP(A304,'Video Database'!L:L,'Video Database'!G:G,"")</f>
        <v>Goli Women's Complete Multi Gummy</v>
      </c>
      <c r="E304" s="100">
        <f t="array" ref="E304">_xlfn.XLOOKUP(A304,'Video Database'!L:L,'Video Database'!H:H,"")</f>
        <v>0.11</v>
      </c>
      <c r="F304" s="101">
        <v>0.0</v>
      </c>
      <c r="G304" s="87">
        <v>0.0</v>
      </c>
      <c r="H304" s="114">
        <f t="array" ref="H304">_xlfn.XLOOKUP(A304,'Video Database'!L:L,'Video Database'!A:A,"")</f>
        <v>46188</v>
      </c>
      <c r="I304" s="103">
        <v>46201.0</v>
      </c>
      <c r="J304" s="104">
        <v>0.0</v>
      </c>
      <c r="K304" s="105"/>
      <c r="L304" s="105" t="str">
        <f t="shared" si="1"/>
        <v/>
      </c>
      <c r="O304" s="106" t="str">
        <f t="shared" si="2"/>
        <v>#N/A</v>
      </c>
      <c r="P304" s="106" t="str">
        <f t="shared" si="3"/>
        <v>#N/A</v>
      </c>
      <c r="Q304" s="84" t="str">
        <f t="shared" si="4"/>
        <v>#N/A</v>
      </c>
      <c r="R304" s="84" t="str">
        <f t="shared" si="5"/>
        <v>#N/A</v>
      </c>
      <c r="S304" s="107">
        <f t="shared" si="6"/>
        <v>-0.11</v>
      </c>
      <c r="T304" s="108">
        <f t="shared" si="7"/>
        <v>-1</v>
      </c>
      <c r="U304" s="106" t="str">
        <f t="shared" si="8"/>
        <v>#N/A</v>
      </c>
      <c r="V304" s="84" t="str">
        <f t="shared" si="9"/>
        <v/>
      </c>
      <c r="W304" s="109" t="str">
        <f t="shared" si="10"/>
        <v/>
      </c>
      <c r="X304" s="109" t="str">
        <f t="shared" si="11"/>
        <v/>
      </c>
      <c r="Y304" s="110" t="str">
        <f t="array" ref="Y304">_xlfn.XLOOKUP(A304,'Video Database'!L:L,'Video Database'!M:M,"")</f>
        <v>Bottom of Funnel</v>
      </c>
    </row>
    <row r="305" ht="22.5" customHeight="1">
      <c r="A305" s="113">
        <f t="shared" si="12"/>
        <v>304</v>
      </c>
      <c r="B305" s="98" t="str">
        <f t="array" ref="B305">_xlfn.XLOOKUP(A305,'Video Database'!L:L,'Video Database'!D:D,"")</f>
        <v>Blakely</v>
      </c>
      <c r="C305" s="98" t="str">
        <f t="array" ref="C305">_xlfn.XLOOKUP(A305,'Video Database'!L:L,'Video Database'!E:E,"")</f>
        <v>Account 2</v>
      </c>
      <c r="D305" s="99" t="str">
        <f t="array" ref="D305">_xlfn.XLOOKUP(A305,'Video Database'!L:L,'Video Database'!G:G,"")</f>
        <v>Physician's Choice Probiotic Gummies</v>
      </c>
      <c r="E305" s="100">
        <f t="array" ref="E305">_xlfn.XLOOKUP(A305,'Video Database'!L:L,'Video Database'!H:H,"")</f>
        <v>0.11</v>
      </c>
      <c r="F305" s="101">
        <v>0.0</v>
      </c>
      <c r="G305" s="87">
        <v>0.0</v>
      </c>
      <c r="H305" s="114">
        <f t="array" ref="H305">_xlfn.XLOOKUP(A305,'Video Database'!L:L,'Video Database'!A:A,"")</f>
        <v>46188</v>
      </c>
      <c r="I305" s="103">
        <v>46201.0</v>
      </c>
      <c r="J305" s="104">
        <v>0.0</v>
      </c>
      <c r="K305" s="105"/>
      <c r="L305" s="105" t="str">
        <f t="shared" si="1"/>
        <v/>
      </c>
      <c r="O305" s="106" t="str">
        <f t="shared" si="2"/>
        <v>#N/A</v>
      </c>
      <c r="P305" s="106" t="str">
        <f t="shared" si="3"/>
        <v>#N/A</v>
      </c>
      <c r="Q305" s="84" t="str">
        <f t="shared" si="4"/>
        <v>#N/A</v>
      </c>
      <c r="R305" s="84" t="str">
        <f t="shared" si="5"/>
        <v>#N/A</v>
      </c>
      <c r="S305" s="107">
        <f t="shared" si="6"/>
        <v>-0.11</v>
      </c>
      <c r="T305" s="108">
        <f t="shared" si="7"/>
        <v>-1</v>
      </c>
      <c r="U305" s="106" t="str">
        <f t="shared" si="8"/>
        <v>#N/A</v>
      </c>
      <c r="V305" s="84" t="str">
        <f t="shared" si="9"/>
        <v/>
      </c>
      <c r="W305" s="109" t="str">
        <f t="shared" si="10"/>
        <v/>
      </c>
      <c r="X305" s="109" t="str">
        <f t="shared" si="11"/>
        <v/>
      </c>
      <c r="Y305" s="110" t="str">
        <f t="array" ref="Y305">_xlfn.XLOOKUP(A305,'Video Database'!L:L,'Video Database'!M:M,"")</f>
        <v>Bottom of Funnel</v>
      </c>
    </row>
    <row r="306" ht="22.5" customHeight="1">
      <c r="A306" s="113">
        <f t="shared" si="12"/>
        <v>305</v>
      </c>
      <c r="B306" s="98" t="str">
        <f t="array" ref="B306">_xlfn.XLOOKUP(A306,'Video Database'!L:L,'Video Database'!D:D,"")</f>
        <v>Blakely</v>
      </c>
      <c r="C306" s="98" t="str">
        <f t="array" ref="C306">_xlfn.XLOOKUP(A306,'Video Database'!L:L,'Video Database'!E:E,"")</f>
        <v>Account 2</v>
      </c>
      <c r="D306" s="99" t="str">
        <f t="array" ref="D306">_xlfn.XLOOKUP(A306,'Video Database'!L:L,'Video Database'!G:G,"")</f>
        <v>BetterAlt Shilajit Honey Sticks</v>
      </c>
      <c r="E306" s="100">
        <f t="array" ref="E306">_xlfn.XLOOKUP(A306,'Video Database'!L:L,'Video Database'!H:H,"")</f>
        <v>0.11</v>
      </c>
      <c r="F306" s="101">
        <v>18.42</v>
      </c>
      <c r="G306" s="87">
        <v>1.0</v>
      </c>
      <c r="H306" s="114">
        <f t="array" ref="H306">_xlfn.XLOOKUP(A306,'Video Database'!L:L,'Video Database'!A:A,"")</f>
        <v>46188</v>
      </c>
      <c r="I306" s="103">
        <v>46201.0</v>
      </c>
      <c r="J306" s="104">
        <v>4.46</v>
      </c>
      <c r="K306" s="87">
        <v>4.0</v>
      </c>
      <c r="L306" s="105">
        <f t="shared" si="1"/>
        <v>590</v>
      </c>
      <c r="M306" s="87">
        <v>590.0</v>
      </c>
      <c r="O306" s="106">
        <f t="shared" si="2"/>
        <v>0.006779661017</v>
      </c>
      <c r="P306" s="106">
        <f t="shared" si="3"/>
        <v>0.25</v>
      </c>
      <c r="Q306" s="84">
        <f t="shared" si="4"/>
        <v>4.46</v>
      </c>
      <c r="R306" s="84">
        <f t="shared" si="5"/>
        <v>18.42</v>
      </c>
      <c r="S306" s="107">
        <f t="shared" si="6"/>
        <v>4.35</v>
      </c>
      <c r="T306" s="108">
        <f t="shared" si="7"/>
        <v>39.54545455</v>
      </c>
      <c r="U306" s="106">
        <f t="shared" si="8"/>
        <v>0.9753363229</v>
      </c>
      <c r="V306" s="129">
        <f t="shared" si="9"/>
        <v>0.11</v>
      </c>
      <c r="W306" s="109">
        <f t="shared" si="10"/>
        <v>0.0275</v>
      </c>
      <c r="X306" s="109">
        <f t="shared" si="11"/>
        <v>0.5971769815</v>
      </c>
      <c r="Y306" s="110" t="str">
        <f t="array" ref="Y306">_xlfn.XLOOKUP(A306,'Video Database'!L:L,'Video Database'!M:M,"")</f>
        <v>Bottom of Funnel</v>
      </c>
    </row>
    <row r="307" ht="22.5" customHeight="1">
      <c r="A307" s="113">
        <f t="shared" si="12"/>
        <v>306</v>
      </c>
      <c r="B307" s="98" t="str">
        <f t="array" ref="B307">_xlfn.XLOOKUP(A307,'Video Database'!L:L,'Video Database'!D:D,"")</f>
        <v>Blakely</v>
      </c>
      <c r="C307" s="98" t="str">
        <f t="array" ref="C307">_xlfn.XLOOKUP(A307,'Video Database'!L:L,'Video Database'!E:E,"")</f>
        <v>Account 2</v>
      </c>
      <c r="D307" s="99" t="str">
        <f t="array" ref="D307">_xlfn.XLOOKUP(A307,'Video Database'!L:L,'Video Database'!G:G,"")</f>
        <v>Olov Electric Shaver</v>
      </c>
      <c r="E307" s="100">
        <f t="array" ref="E307">_xlfn.XLOOKUP(A307,'Video Database'!L:L,'Video Database'!H:H,"")</f>
        <v>0.11</v>
      </c>
      <c r="F307" s="101">
        <v>0.0</v>
      </c>
      <c r="G307" s="87">
        <v>0.0</v>
      </c>
      <c r="H307" s="114">
        <f t="array" ref="H307">_xlfn.XLOOKUP(A307,'Video Database'!L:L,'Video Database'!A:A,"")</f>
        <v>46188</v>
      </c>
      <c r="I307" s="103">
        <v>46201.0</v>
      </c>
      <c r="J307" s="104">
        <v>0.0</v>
      </c>
      <c r="K307" s="105"/>
      <c r="L307" s="105" t="str">
        <f t="shared" si="1"/>
        <v/>
      </c>
      <c r="O307" s="106" t="str">
        <f t="shared" si="2"/>
        <v>#N/A</v>
      </c>
      <c r="P307" s="106" t="str">
        <f t="shared" si="3"/>
        <v>#N/A</v>
      </c>
      <c r="Q307" s="84" t="str">
        <f t="shared" si="4"/>
        <v>#N/A</v>
      </c>
      <c r="R307" s="84" t="str">
        <f t="shared" si="5"/>
        <v>#N/A</v>
      </c>
      <c r="S307" s="107">
        <f t="shared" si="6"/>
        <v>-0.11</v>
      </c>
      <c r="T307" s="108">
        <f t="shared" si="7"/>
        <v>-1</v>
      </c>
      <c r="U307" s="106" t="str">
        <f t="shared" si="8"/>
        <v>#N/A</v>
      </c>
      <c r="V307" s="84" t="str">
        <f t="shared" si="9"/>
        <v/>
      </c>
      <c r="W307" s="109" t="str">
        <f t="shared" si="10"/>
        <v/>
      </c>
      <c r="X307" s="109" t="str">
        <f t="shared" si="11"/>
        <v/>
      </c>
      <c r="Y307" s="110" t="str">
        <f t="array" ref="Y307">_xlfn.XLOOKUP(A307,'Video Database'!L:L,'Video Database'!M:M,"")</f>
        <v>Bottom of Funnel</v>
      </c>
    </row>
    <row r="308" ht="22.5" customHeight="1">
      <c r="A308" s="113">
        <f t="shared" si="12"/>
        <v>307</v>
      </c>
      <c r="B308" s="98" t="str">
        <f t="array" ref="B308">_xlfn.XLOOKUP(A308,'Video Database'!L:L,'Video Database'!D:D,"")</f>
        <v>Blakely</v>
      </c>
      <c r="C308" s="98" t="str">
        <f t="array" ref="C308">_xlfn.XLOOKUP(A308,'Video Database'!L:L,'Video Database'!E:E,"")</f>
        <v>Account 2</v>
      </c>
      <c r="D308" s="99" t="str">
        <f t="array" ref="D308">_xlfn.XLOOKUP(A308,'Video Database'!L:L,'Video Database'!G:G,"")</f>
        <v>Neurogum Watermelon</v>
      </c>
      <c r="E308" s="100">
        <f t="array" ref="E308">_xlfn.XLOOKUP(A308,'Video Database'!L:L,'Video Database'!H:H,"")</f>
        <v>0.11</v>
      </c>
      <c r="F308" s="101">
        <v>0.0</v>
      </c>
      <c r="G308" s="87">
        <v>0.0</v>
      </c>
      <c r="H308" s="114">
        <f t="array" ref="H308">_xlfn.XLOOKUP(A308,'Video Database'!L:L,'Video Database'!A:A,"")</f>
        <v>46188</v>
      </c>
      <c r="I308" s="103">
        <v>46201.0</v>
      </c>
      <c r="J308" s="104">
        <v>0.0</v>
      </c>
      <c r="K308" s="105"/>
      <c r="L308" s="105" t="str">
        <f t="shared" si="1"/>
        <v/>
      </c>
      <c r="O308" s="106" t="str">
        <f t="shared" si="2"/>
        <v>#N/A</v>
      </c>
      <c r="P308" s="106" t="str">
        <f t="shared" si="3"/>
        <v>#N/A</v>
      </c>
      <c r="Q308" s="84" t="str">
        <f t="shared" si="4"/>
        <v>#N/A</v>
      </c>
      <c r="R308" s="84" t="str">
        <f t="shared" si="5"/>
        <v>#N/A</v>
      </c>
      <c r="S308" s="107">
        <f t="shared" si="6"/>
        <v>-0.11</v>
      </c>
      <c r="T308" s="108">
        <f t="shared" si="7"/>
        <v>-1</v>
      </c>
      <c r="U308" s="106" t="str">
        <f t="shared" si="8"/>
        <v>#N/A</v>
      </c>
      <c r="V308" s="84" t="str">
        <f t="shared" si="9"/>
        <v/>
      </c>
      <c r="W308" s="109" t="str">
        <f t="shared" si="10"/>
        <v/>
      </c>
      <c r="X308" s="109" t="str">
        <f t="shared" si="11"/>
        <v/>
      </c>
      <c r="Y308" s="110" t="str">
        <f t="array" ref="Y308">_xlfn.XLOOKUP(A308,'Video Database'!L:L,'Video Database'!M:M,"")</f>
        <v>Bottom of Funnel</v>
      </c>
    </row>
    <row r="309" ht="22.5" customHeight="1">
      <c r="A309" s="113">
        <f t="shared" si="12"/>
        <v>308</v>
      </c>
      <c r="B309" s="98" t="str">
        <f t="array" ref="B309">_xlfn.XLOOKUP(A309,'Video Database'!L:L,'Video Database'!D:D,"")</f>
        <v>Blakely</v>
      </c>
      <c r="C309" s="98" t="str">
        <f t="array" ref="C309">_xlfn.XLOOKUP(A309,'Video Database'!L:L,'Video Database'!E:E,"")</f>
        <v>Account 2</v>
      </c>
      <c r="D309" s="99" t="str">
        <f t="array" ref="D309">_xlfn.XLOOKUP(A309,'Video Database'!L:L,'Video Database'!G:G,"")</f>
        <v>Squish Energy Preworkout Jello Shots</v>
      </c>
      <c r="E309" s="100">
        <f t="array" ref="E309">_xlfn.XLOOKUP(A309,'Video Database'!L:L,'Video Database'!H:H,"")</f>
        <v>0.11</v>
      </c>
      <c r="F309" s="101">
        <v>0.0</v>
      </c>
      <c r="G309" s="87">
        <v>0.0</v>
      </c>
      <c r="H309" s="114">
        <f t="array" ref="H309">_xlfn.XLOOKUP(A309,'Video Database'!L:L,'Video Database'!A:A,"")</f>
        <v>46188</v>
      </c>
      <c r="I309" s="103">
        <v>46201.0</v>
      </c>
      <c r="J309" s="104">
        <v>0.0</v>
      </c>
      <c r="K309" s="105"/>
      <c r="L309" s="105" t="str">
        <f t="shared" si="1"/>
        <v/>
      </c>
      <c r="O309" s="106" t="str">
        <f t="shared" si="2"/>
        <v>#N/A</v>
      </c>
      <c r="P309" s="106" t="str">
        <f t="shared" si="3"/>
        <v>#N/A</v>
      </c>
      <c r="Q309" s="84" t="str">
        <f t="shared" si="4"/>
        <v>#N/A</v>
      </c>
      <c r="R309" s="84" t="str">
        <f t="shared" si="5"/>
        <v>#N/A</v>
      </c>
      <c r="S309" s="107">
        <f t="shared" si="6"/>
        <v>-0.11</v>
      </c>
      <c r="T309" s="108">
        <f t="shared" si="7"/>
        <v>-1</v>
      </c>
      <c r="U309" s="106" t="str">
        <f t="shared" si="8"/>
        <v>#N/A</v>
      </c>
      <c r="V309" s="84" t="str">
        <f t="shared" si="9"/>
        <v/>
      </c>
      <c r="W309" s="109" t="str">
        <f t="shared" si="10"/>
        <v/>
      </c>
      <c r="X309" s="109" t="str">
        <f t="shared" si="11"/>
        <v/>
      </c>
      <c r="Y309" s="110" t="str">
        <f t="array" ref="Y309">_xlfn.XLOOKUP(A309,'Video Database'!L:L,'Video Database'!M:M,"")</f>
        <v>Bottom of Funnel</v>
      </c>
    </row>
    <row r="310" ht="22.5" customHeight="1">
      <c r="A310" s="113">
        <f t="shared" si="12"/>
        <v>309</v>
      </c>
      <c r="B310" s="98" t="str">
        <f t="array" ref="B310">_xlfn.XLOOKUP(A310,'Video Database'!L:L,'Video Database'!D:D,"")</f>
        <v>Blakely</v>
      </c>
      <c r="C310" s="98" t="str">
        <f t="array" ref="C310">_xlfn.XLOOKUP(A310,'Video Database'!L:L,'Video Database'!E:E,"")</f>
        <v>Account 2</v>
      </c>
      <c r="D310" s="99" t="str">
        <f t="array" ref="D310">_xlfn.XLOOKUP(A310,'Video Database'!L:L,'Video Database'!G:G,"")</f>
        <v>BetterAlt Shilajit Honey Sticks</v>
      </c>
      <c r="E310" s="100">
        <f t="array" ref="E310">_xlfn.XLOOKUP(A310,'Video Database'!L:L,'Video Database'!H:H,"")</f>
        <v>0.11</v>
      </c>
      <c r="F310" s="101">
        <v>0.0</v>
      </c>
      <c r="G310" s="87">
        <v>0.0</v>
      </c>
      <c r="H310" s="114">
        <f t="array" ref="H310">_xlfn.XLOOKUP(A310,'Video Database'!L:L,'Video Database'!A:A,"")</f>
        <v>46188</v>
      </c>
      <c r="I310" s="103">
        <v>46201.0</v>
      </c>
      <c r="J310" s="104">
        <v>0.0</v>
      </c>
      <c r="K310" s="105"/>
      <c r="L310" s="105" t="str">
        <f t="shared" si="1"/>
        <v/>
      </c>
      <c r="O310" s="106" t="str">
        <f t="shared" si="2"/>
        <v>#N/A</v>
      </c>
      <c r="P310" s="106" t="str">
        <f t="shared" si="3"/>
        <v>#N/A</v>
      </c>
      <c r="Q310" s="84" t="str">
        <f t="shared" si="4"/>
        <v>#N/A</v>
      </c>
      <c r="R310" s="84" t="str">
        <f t="shared" si="5"/>
        <v>#N/A</v>
      </c>
      <c r="S310" s="107">
        <f t="shared" si="6"/>
        <v>-0.11</v>
      </c>
      <c r="T310" s="108">
        <f t="shared" si="7"/>
        <v>-1</v>
      </c>
      <c r="U310" s="106" t="str">
        <f t="shared" si="8"/>
        <v>#N/A</v>
      </c>
      <c r="V310" s="84" t="str">
        <f t="shared" si="9"/>
        <v/>
      </c>
      <c r="W310" s="109" t="str">
        <f t="shared" si="10"/>
        <v/>
      </c>
      <c r="X310" s="109" t="str">
        <f t="shared" si="11"/>
        <v/>
      </c>
      <c r="Y310" s="110" t="str">
        <f t="array" ref="Y310">_xlfn.XLOOKUP(A310,'Video Database'!L:L,'Video Database'!M:M,"")</f>
        <v>Bottom of Funnel</v>
      </c>
    </row>
    <row r="311" ht="22.5" customHeight="1">
      <c r="A311" s="113">
        <f t="shared" si="12"/>
        <v>310</v>
      </c>
      <c r="B311" s="98" t="str">
        <f t="array" ref="B311">_xlfn.XLOOKUP(A311,'Video Database'!L:L,'Video Database'!D:D,"")</f>
        <v>Blakely</v>
      </c>
      <c r="C311" s="98" t="str">
        <f t="array" ref="C311">_xlfn.XLOOKUP(A311,'Video Database'!L:L,'Video Database'!E:E,"")</f>
        <v>Account 2</v>
      </c>
      <c r="D311" s="99" t="str">
        <f t="array" ref="D311">_xlfn.XLOOKUP(A311,'Video Database'!L:L,'Video Database'!G:G,"")</f>
        <v>BioEmblem Magnesium</v>
      </c>
      <c r="E311" s="100">
        <f t="array" ref="E311">_xlfn.XLOOKUP(A311,'Video Database'!L:L,'Video Database'!H:H,"")</f>
        <v>0.11</v>
      </c>
      <c r="F311" s="101">
        <v>0.0</v>
      </c>
      <c r="G311" s="87">
        <v>0.0</v>
      </c>
      <c r="H311" s="114">
        <f t="array" ref="H311">_xlfn.XLOOKUP(A311,'Video Database'!L:L,'Video Database'!A:A,"")</f>
        <v>46188</v>
      </c>
      <c r="I311" s="103">
        <v>46201.0</v>
      </c>
      <c r="J311" s="104">
        <v>0.0</v>
      </c>
      <c r="K311" s="105"/>
      <c r="L311" s="105" t="str">
        <f t="shared" si="1"/>
        <v/>
      </c>
      <c r="O311" s="106" t="str">
        <f t="shared" si="2"/>
        <v>#N/A</v>
      </c>
      <c r="P311" s="106" t="str">
        <f t="shared" si="3"/>
        <v>#N/A</v>
      </c>
      <c r="Q311" s="84" t="str">
        <f t="shared" si="4"/>
        <v>#N/A</v>
      </c>
      <c r="R311" s="84" t="str">
        <f t="shared" si="5"/>
        <v>#N/A</v>
      </c>
      <c r="S311" s="107">
        <f t="shared" si="6"/>
        <v>-0.11</v>
      </c>
      <c r="T311" s="108">
        <f t="shared" si="7"/>
        <v>-1</v>
      </c>
      <c r="U311" s="106" t="str">
        <f t="shared" si="8"/>
        <v>#N/A</v>
      </c>
      <c r="V311" s="84" t="str">
        <f t="shared" si="9"/>
        <v/>
      </c>
      <c r="W311" s="109" t="str">
        <f t="shared" si="10"/>
        <v/>
      </c>
      <c r="X311" s="109" t="str">
        <f t="shared" si="11"/>
        <v/>
      </c>
      <c r="Y311" s="110" t="str">
        <f t="array" ref="Y311">_xlfn.XLOOKUP(A311,'Video Database'!L:L,'Video Database'!M:M,"")</f>
        <v>Bottom of Funnel</v>
      </c>
    </row>
    <row r="312" ht="22.5" customHeight="1">
      <c r="A312" s="113">
        <f t="shared" si="12"/>
        <v>311</v>
      </c>
      <c r="B312" s="98" t="str">
        <f t="array" ref="B312">_xlfn.XLOOKUP(A312,'Video Database'!L:L,'Video Database'!D:D,"")</f>
        <v>Blakely</v>
      </c>
      <c r="C312" s="98" t="str">
        <f t="array" ref="C312">_xlfn.XLOOKUP(A312,'Video Database'!L:L,'Video Database'!E:E,"")</f>
        <v>Account 2</v>
      </c>
      <c r="D312" s="99" t="str">
        <f t="array" ref="D312">_xlfn.XLOOKUP(A312,'Video Database'!L:L,'Video Database'!G:G,"")</f>
        <v>Nutricost Creatine Monohydrate</v>
      </c>
      <c r="E312" s="100">
        <f t="array" ref="E312">_xlfn.XLOOKUP(A312,'Video Database'!L:L,'Video Database'!H:H,"")</f>
        <v>0.11</v>
      </c>
      <c r="F312" s="101">
        <v>0.0</v>
      </c>
      <c r="G312" s="87">
        <v>0.0</v>
      </c>
      <c r="H312" s="114">
        <f t="array" ref="H312">_xlfn.XLOOKUP(A312,'Video Database'!L:L,'Video Database'!A:A,"")</f>
        <v>46188</v>
      </c>
      <c r="I312" s="103">
        <v>46201.0</v>
      </c>
      <c r="J312" s="104">
        <v>0.0</v>
      </c>
      <c r="K312" s="105"/>
      <c r="L312" s="105" t="str">
        <f t="shared" si="1"/>
        <v/>
      </c>
      <c r="O312" s="106" t="str">
        <f t="shared" si="2"/>
        <v>#N/A</v>
      </c>
      <c r="P312" s="106" t="str">
        <f t="shared" si="3"/>
        <v>#N/A</v>
      </c>
      <c r="Q312" s="84" t="str">
        <f t="shared" si="4"/>
        <v>#N/A</v>
      </c>
      <c r="R312" s="84" t="str">
        <f t="shared" si="5"/>
        <v>#N/A</v>
      </c>
      <c r="S312" s="107">
        <f t="shared" si="6"/>
        <v>-0.11</v>
      </c>
      <c r="T312" s="108">
        <f t="shared" si="7"/>
        <v>-1</v>
      </c>
      <c r="U312" s="106" t="str">
        <f t="shared" si="8"/>
        <v>#N/A</v>
      </c>
      <c r="V312" s="84" t="str">
        <f t="shared" si="9"/>
        <v/>
      </c>
      <c r="W312" s="109" t="str">
        <f t="shared" si="10"/>
        <v/>
      </c>
      <c r="X312" s="109" t="str">
        <f t="shared" si="11"/>
        <v/>
      </c>
      <c r="Y312" s="110" t="str">
        <f t="array" ref="Y312">_xlfn.XLOOKUP(A312,'Video Database'!L:L,'Video Database'!M:M,"")</f>
        <v>Bottom of Funnel</v>
      </c>
    </row>
    <row r="313" ht="22.5" customHeight="1">
      <c r="A313" s="113">
        <f t="shared" si="12"/>
        <v>312</v>
      </c>
      <c r="B313" s="98" t="str">
        <f t="array" ref="B313">_xlfn.XLOOKUP(A313,'Video Database'!L:L,'Video Database'!D:D,"")</f>
        <v>Blakely</v>
      </c>
      <c r="C313" s="98" t="str">
        <f t="array" ref="C313">_xlfn.XLOOKUP(A313,'Video Database'!L:L,'Video Database'!E:E,"")</f>
        <v>Account 2</v>
      </c>
      <c r="D313" s="99" t="str">
        <f t="array" ref="D313">_xlfn.XLOOKUP(A313,'Video Database'!L:L,'Video Database'!G:G,"")</f>
        <v>Beast Bites Creatine Gummies</v>
      </c>
      <c r="E313" s="100">
        <f t="array" ref="E313">_xlfn.XLOOKUP(A313,'Video Database'!L:L,'Video Database'!H:H,"")</f>
        <v>0.11</v>
      </c>
      <c r="F313" s="101">
        <v>0.0</v>
      </c>
      <c r="G313" s="87">
        <v>0.0</v>
      </c>
      <c r="H313" s="114">
        <f t="array" ref="H313">_xlfn.XLOOKUP(A313,'Video Database'!L:L,'Video Database'!A:A,"")</f>
        <v>46188</v>
      </c>
      <c r="I313" s="103">
        <v>46201.0</v>
      </c>
      <c r="J313" s="104">
        <v>0.0</v>
      </c>
      <c r="K313" s="105"/>
      <c r="L313" s="105" t="str">
        <f t="shared" si="1"/>
        <v/>
      </c>
      <c r="O313" s="106" t="str">
        <f t="shared" si="2"/>
        <v>#N/A</v>
      </c>
      <c r="P313" s="106" t="str">
        <f t="shared" si="3"/>
        <v>#N/A</v>
      </c>
      <c r="Q313" s="84" t="str">
        <f t="shared" si="4"/>
        <v>#N/A</v>
      </c>
      <c r="R313" s="84" t="str">
        <f t="shared" si="5"/>
        <v>#N/A</v>
      </c>
      <c r="S313" s="107">
        <f t="shared" si="6"/>
        <v>-0.11</v>
      </c>
      <c r="T313" s="108">
        <f t="shared" si="7"/>
        <v>-1</v>
      </c>
      <c r="U313" s="106" t="str">
        <f t="shared" si="8"/>
        <v>#N/A</v>
      </c>
      <c r="V313" s="84" t="str">
        <f t="shared" si="9"/>
        <v/>
      </c>
      <c r="W313" s="109" t="str">
        <f t="shared" si="10"/>
        <v/>
      </c>
      <c r="X313" s="109" t="str">
        <f t="shared" si="11"/>
        <v/>
      </c>
      <c r="Y313" s="110" t="str">
        <f t="array" ref="Y313">_xlfn.XLOOKUP(A313,'Video Database'!L:L,'Video Database'!M:M,"")</f>
        <v>Bottom of Funnel</v>
      </c>
    </row>
    <row r="314" ht="22.5" customHeight="1">
      <c r="A314" s="113">
        <f t="shared" si="12"/>
        <v>313</v>
      </c>
      <c r="B314" s="98" t="str">
        <f t="array" ref="B314">_xlfn.XLOOKUP(A314,'Video Database'!L:L,'Video Database'!D:D,"")</f>
        <v>Blakely</v>
      </c>
      <c r="C314" s="98" t="str">
        <f t="array" ref="C314">_xlfn.XLOOKUP(A314,'Video Database'!L:L,'Video Database'!E:E,"")</f>
        <v>Account 2</v>
      </c>
      <c r="D314" s="99" t="str">
        <f t="array" ref="D314">_xlfn.XLOOKUP(A314,'Video Database'!L:L,'Video Database'!G:G,"")</f>
        <v>Nello Supercalm Drink Mix</v>
      </c>
      <c r="E314" s="100">
        <f t="array" ref="E314">_xlfn.XLOOKUP(A314,'Video Database'!L:L,'Video Database'!H:H,"")</f>
        <v>0.11</v>
      </c>
      <c r="F314" s="101">
        <v>0.0</v>
      </c>
      <c r="G314" s="87">
        <v>0.0</v>
      </c>
      <c r="H314" s="114">
        <f t="array" ref="H314">_xlfn.XLOOKUP(A314,'Video Database'!L:L,'Video Database'!A:A,"")</f>
        <v>46188</v>
      </c>
      <c r="I314" s="103">
        <v>46201.0</v>
      </c>
      <c r="J314" s="104">
        <v>0.0</v>
      </c>
      <c r="K314" s="105"/>
      <c r="L314" s="105" t="str">
        <f t="shared" si="1"/>
        <v/>
      </c>
      <c r="O314" s="106" t="str">
        <f t="shared" si="2"/>
        <v>#N/A</v>
      </c>
      <c r="P314" s="106" t="str">
        <f t="shared" si="3"/>
        <v>#N/A</v>
      </c>
      <c r="Q314" s="84" t="str">
        <f t="shared" si="4"/>
        <v>#N/A</v>
      </c>
      <c r="R314" s="84" t="str">
        <f t="shared" si="5"/>
        <v>#N/A</v>
      </c>
      <c r="S314" s="107">
        <f t="shared" si="6"/>
        <v>-0.11</v>
      </c>
      <c r="T314" s="108">
        <f t="shared" si="7"/>
        <v>-1</v>
      </c>
      <c r="U314" s="106" t="str">
        <f t="shared" si="8"/>
        <v>#N/A</v>
      </c>
      <c r="V314" s="84" t="str">
        <f t="shared" si="9"/>
        <v/>
      </c>
      <c r="W314" s="109" t="str">
        <f t="shared" si="10"/>
        <v/>
      </c>
      <c r="X314" s="109" t="str">
        <f t="shared" si="11"/>
        <v/>
      </c>
      <c r="Y314" s="110" t="str">
        <f t="array" ref="Y314">_xlfn.XLOOKUP(A314,'Video Database'!L:L,'Video Database'!M:M,"")</f>
        <v>Bottom of Funnel</v>
      </c>
    </row>
    <row r="315" ht="22.5" customHeight="1">
      <c r="A315" s="113">
        <f t="shared" si="12"/>
        <v>314</v>
      </c>
      <c r="B315" s="98" t="str">
        <f t="array" ref="B315">_xlfn.XLOOKUP(A315,'Video Database'!L:L,'Video Database'!D:D,"")</f>
        <v>Blakely</v>
      </c>
      <c r="C315" s="98" t="str">
        <f t="array" ref="C315">_xlfn.XLOOKUP(A315,'Video Database'!L:L,'Video Database'!E:E,"")</f>
        <v>Account 2</v>
      </c>
      <c r="D315" s="99" t="str">
        <f t="array" ref="D315">_xlfn.XLOOKUP(A315,'Video Database'!L:L,'Video Database'!G:G,"")</f>
        <v>Neurogum Watermelon</v>
      </c>
      <c r="E315" s="100">
        <f t="array" ref="E315">_xlfn.XLOOKUP(A315,'Video Database'!L:L,'Video Database'!H:H,"")</f>
        <v>0.11</v>
      </c>
      <c r="F315" s="101">
        <v>0.0</v>
      </c>
      <c r="G315" s="87">
        <v>0.0</v>
      </c>
      <c r="H315" s="114">
        <f t="array" ref="H315">_xlfn.XLOOKUP(A315,'Video Database'!L:L,'Video Database'!A:A,"")</f>
        <v>46188</v>
      </c>
      <c r="I315" s="103">
        <v>46201.0</v>
      </c>
      <c r="J315" s="104">
        <v>0.0</v>
      </c>
      <c r="K315" s="105"/>
      <c r="L315" s="105" t="str">
        <f t="shared" si="1"/>
        <v/>
      </c>
      <c r="O315" s="106" t="str">
        <f t="shared" si="2"/>
        <v>#N/A</v>
      </c>
      <c r="P315" s="106" t="str">
        <f t="shared" si="3"/>
        <v>#N/A</v>
      </c>
      <c r="Q315" s="84" t="str">
        <f t="shared" si="4"/>
        <v>#N/A</v>
      </c>
      <c r="R315" s="84" t="str">
        <f t="shared" si="5"/>
        <v>#N/A</v>
      </c>
      <c r="S315" s="107">
        <f t="shared" si="6"/>
        <v>-0.11</v>
      </c>
      <c r="T315" s="108">
        <f t="shared" si="7"/>
        <v>-1</v>
      </c>
      <c r="U315" s="106" t="str">
        <f t="shared" si="8"/>
        <v>#N/A</v>
      </c>
      <c r="V315" s="84" t="str">
        <f t="shared" si="9"/>
        <v/>
      </c>
      <c r="W315" s="109" t="str">
        <f t="shared" si="10"/>
        <v/>
      </c>
      <c r="X315" s="109" t="str">
        <f t="shared" si="11"/>
        <v/>
      </c>
      <c r="Y315" s="110" t="str">
        <f t="array" ref="Y315">_xlfn.XLOOKUP(A315,'Video Database'!L:L,'Video Database'!M:M,"")</f>
        <v>Bottom of Funnel</v>
      </c>
    </row>
    <row r="316" ht="22.5" customHeight="1">
      <c r="A316" s="113">
        <f t="shared" si="12"/>
        <v>315</v>
      </c>
      <c r="B316" s="98" t="str">
        <f t="array" ref="B316">_xlfn.XLOOKUP(A316,'Video Database'!L:L,'Video Database'!D:D,"")</f>
        <v>Blakely</v>
      </c>
      <c r="C316" s="98" t="str">
        <f t="array" ref="C316">_xlfn.XLOOKUP(A316,'Video Database'!L:L,'Video Database'!E:E,"")</f>
        <v>Account 2</v>
      </c>
      <c r="D316" s="99" t="str">
        <f t="array" ref="D316">_xlfn.XLOOKUP(A316,'Video Database'!L:L,'Video Database'!G:G,"")</f>
        <v>Goli Women's Complete Multi Gummy</v>
      </c>
      <c r="E316" s="100">
        <f t="array" ref="E316">_xlfn.XLOOKUP(A316,'Video Database'!L:L,'Video Database'!H:H,"")</f>
        <v>0.11</v>
      </c>
      <c r="F316" s="101">
        <v>0.0</v>
      </c>
      <c r="G316" s="87">
        <v>0.0</v>
      </c>
      <c r="H316" s="114">
        <f t="array" ref="H316">_xlfn.XLOOKUP(A316,'Video Database'!L:L,'Video Database'!A:A,"")</f>
        <v>46188</v>
      </c>
      <c r="I316" s="103">
        <v>46201.0</v>
      </c>
      <c r="J316" s="104">
        <v>0.0</v>
      </c>
      <c r="K316" s="105"/>
      <c r="L316" s="105" t="str">
        <f t="shared" si="1"/>
        <v/>
      </c>
      <c r="O316" s="106" t="str">
        <f t="shared" si="2"/>
        <v>#N/A</v>
      </c>
      <c r="P316" s="106" t="str">
        <f t="shared" si="3"/>
        <v>#N/A</v>
      </c>
      <c r="Q316" s="84" t="str">
        <f t="shared" si="4"/>
        <v>#N/A</v>
      </c>
      <c r="R316" s="84" t="str">
        <f t="shared" si="5"/>
        <v>#N/A</v>
      </c>
      <c r="S316" s="107">
        <f t="shared" si="6"/>
        <v>-0.11</v>
      </c>
      <c r="T316" s="108">
        <f t="shared" si="7"/>
        <v>-1</v>
      </c>
      <c r="U316" s="106" t="str">
        <f t="shared" si="8"/>
        <v>#N/A</v>
      </c>
      <c r="V316" s="84" t="str">
        <f t="shared" si="9"/>
        <v/>
      </c>
      <c r="W316" s="109" t="str">
        <f t="shared" si="10"/>
        <v/>
      </c>
      <c r="X316" s="109" t="str">
        <f t="shared" si="11"/>
        <v/>
      </c>
      <c r="Y316" s="110" t="str">
        <f t="array" ref="Y316">_xlfn.XLOOKUP(A316,'Video Database'!L:L,'Video Database'!M:M,"")</f>
        <v>Bottom of Funnel</v>
      </c>
    </row>
    <row r="317" ht="22.5" customHeight="1">
      <c r="A317" s="113">
        <f t="shared" si="12"/>
        <v>316</v>
      </c>
      <c r="B317" s="98" t="str">
        <f t="array" ref="B317">_xlfn.XLOOKUP(A317,'Video Database'!L:L,'Video Database'!D:D,"")</f>
        <v>Blakely</v>
      </c>
      <c r="C317" s="98" t="str">
        <f t="array" ref="C317">_xlfn.XLOOKUP(A317,'Video Database'!L:L,'Video Database'!E:E,"")</f>
        <v>Account 2</v>
      </c>
      <c r="D317" s="99" t="str">
        <f t="array" ref="D317">_xlfn.XLOOKUP(A317,'Video Database'!L:L,'Video Database'!G:G,"")</f>
        <v>Physician's Choice Probiotic Gummies</v>
      </c>
      <c r="E317" s="100">
        <f t="array" ref="E317">_xlfn.XLOOKUP(A317,'Video Database'!L:L,'Video Database'!H:H,"")</f>
        <v>0.11</v>
      </c>
      <c r="F317" s="101">
        <v>0.0</v>
      </c>
      <c r="G317" s="87">
        <v>0.0</v>
      </c>
      <c r="H317" s="114">
        <f t="array" ref="H317">_xlfn.XLOOKUP(A317,'Video Database'!L:L,'Video Database'!A:A,"")</f>
        <v>46188</v>
      </c>
      <c r="I317" s="103">
        <v>46201.0</v>
      </c>
      <c r="J317" s="104">
        <v>0.0</v>
      </c>
      <c r="K317" s="105"/>
      <c r="L317" s="105" t="str">
        <f t="shared" si="1"/>
        <v/>
      </c>
      <c r="O317" s="106" t="str">
        <f t="shared" si="2"/>
        <v>#N/A</v>
      </c>
      <c r="P317" s="106" t="str">
        <f t="shared" si="3"/>
        <v>#N/A</v>
      </c>
      <c r="Q317" s="84" t="str">
        <f t="shared" si="4"/>
        <v>#N/A</v>
      </c>
      <c r="R317" s="84" t="str">
        <f t="shared" si="5"/>
        <v>#N/A</v>
      </c>
      <c r="S317" s="107">
        <f t="shared" si="6"/>
        <v>-0.11</v>
      </c>
      <c r="T317" s="108">
        <f t="shared" si="7"/>
        <v>-1</v>
      </c>
      <c r="U317" s="106" t="str">
        <f t="shared" si="8"/>
        <v>#N/A</v>
      </c>
      <c r="V317" s="84" t="str">
        <f t="shared" si="9"/>
        <v/>
      </c>
      <c r="W317" s="109" t="str">
        <f t="shared" si="10"/>
        <v/>
      </c>
      <c r="X317" s="109" t="str">
        <f t="shared" si="11"/>
        <v/>
      </c>
      <c r="Y317" s="110" t="str">
        <f t="array" ref="Y317">_xlfn.XLOOKUP(A317,'Video Database'!L:L,'Video Database'!M:M,"")</f>
        <v>Bottom of Funnel</v>
      </c>
    </row>
    <row r="318" ht="22.5" customHeight="1">
      <c r="A318" s="113">
        <f t="shared" si="12"/>
        <v>317</v>
      </c>
      <c r="B318" s="98" t="str">
        <f t="array" ref="B318">_xlfn.XLOOKUP(A318,'Video Database'!L:L,'Video Database'!D:D,"")</f>
        <v>Blakely</v>
      </c>
      <c r="C318" s="98" t="str">
        <f t="array" ref="C318">_xlfn.XLOOKUP(A318,'Video Database'!L:L,'Video Database'!E:E,"")</f>
        <v>Account 2</v>
      </c>
      <c r="D318" s="99" t="str">
        <f t="array" ref="D318">_xlfn.XLOOKUP(A318,'Video Database'!L:L,'Video Database'!G:G,"")</f>
        <v>Mushroom Coffee</v>
      </c>
      <c r="E318" s="100">
        <f t="array" ref="E318">_xlfn.XLOOKUP(A318,'Video Database'!L:L,'Video Database'!H:H,"")</f>
        <v>0.11</v>
      </c>
      <c r="F318" s="101">
        <v>0.0</v>
      </c>
      <c r="G318" s="87">
        <v>0.0</v>
      </c>
      <c r="H318" s="114">
        <f t="array" ref="H318">_xlfn.XLOOKUP(A318,'Video Database'!L:L,'Video Database'!A:A,"")</f>
        <v>46188</v>
      </c>
      <c r="I318" s="103">
        <v>46201.0</v>
      </c>
      <c r="J318" s="104">
        <v>0.0</v>
      </c>
      <c r="K318" s="105"/>
      <c r="L318" s="105" t="str">
        <f t="shared" si="1"/>
        <v/>
      </c>
      <c r="O318" s="106" t="str">
        <f t="shared" si="2"/>
        <v>#N/A</v>
      </c>
      <c r="P318" s="106" t="str">
        <f t="shared" si="3"/>
        <v>#N/A</v>
      </c>
      <c r="Q318" s="84" t="str">
        <f t="shared" si="4"/>
        <v>#N/A</v>
      </c>
      <c r="R318" s="84" t="str">
        <f t="shared" si="5"/>
        <v>#N/A</v>
      </c>
      <c r="S318" s="107">
        <f t="shared" si="6"/>
        <v>-0.11</v>
      </c>
      <c r="T318" s="108">
        <f t="shared" si="7"/>
        <v>-1</v>
      </c>
      <c r="U318" s="106" t="str">
        <f t="shared" si="8"/>
        <v>#N/A</v>
      </c>
      <c r="V318" s="84" t="str">
        <f t="shared" si="9"/>
        <v/>
      </c>
      <c r="W318" s="109" t="str">
        <f t="shared" si="10"/>
        <v/>
      </c>
      <c r="X318" s="109" t="str">
        <f t="shared" si="11"/>
        <v/>
      </c>
      <c r="Y318" s="110" t="str">
        <f t="array" ref="Y318">_xlfn.XLOOKUP(A318,'Video Database'!L:L,'Video Database'!M:M,"")</f>
        <v>Bottom of Funnel</v>
      </c>
    </row>
    <row r="319" ht="22.5" customHeight="1">
      <c r="A319" s="113">
        <f t="shared" si="12"/>
        <v>318</v>
      </c>
      <c r="B319" s="98" t="str">
        <f t="array" ref="B319">_xlfn.XLOOKUP(A319,'Video Database'!L:L,'Video Database'!D:D,"")</f>
        <v>Erin</v>
      </c>
      <c r="C319" s="98" t="str">
        <f t="array" ref="C319">_xlfn.XLOOKUP(A319,'Video Database'!L:L,'Video Database'!E:E,"")</f>
        <v>Account 2</v>
      </c>
      <c r="D319" s="99" t="str">
        <f t="array" ref="D319">_xlfn.XLOOKUP(A319,'Video Database'!L:L,'Video Database'!G:G,"")</f>
        <v>Peta Jane Self-Tan Starter Kit Medium</v>
      </c>
      <c r="E319" s="100">
        <f t="array" ref="E319">_xlfn.XLOOKUP(A319,'Video Database'!L:L,'Video Database'!H:H,"")</f>
        <v>1.1</v>
      </c>
      <c r="F319" s="101">
        <v>0.0</v>
      </c>
      <c r="G319" s="87">
        <v>0.0</v>
      </c>
      <c r="H319" s="114">
        <f t="array" ref="H319">_xlfn.XLOOKUP(A319,'Video Database'!L:L,'Video Database'!A:A,"")</f>
        <v>46188</v>
      </c>
      <c r="I319" s="103">
        <v>46201.0</v>
      </c>
      <c r="J319" s="104">
        <v>0.0</v>
      </c>
      <c r="K319" s="105"/>
      <c r="L319" s="105" t="str">
        <f t="shared" si="1"/>
        <v/>
      </c>
      <c r="O319" s="106" t="str">
        <f t="shared" si="2"/>
        <v>#N/A</v>
      </c>
      <c r="P319" s="106" t="str">
        <f t="shared" si="3"/>
        <v>#N/A</v>
      </c>
      <c r="Q319" s="84" t="str">
        <f t="shared" si="4"/>
        <v>#N/A</v>
      </c>
      <c r="R319" s="84" t="str">
        <f t="shared" si="5"/>
        <v>#N/A</v>
      </c>
      <c r="S319" s="107">
        <f t="shared" si="6"/>
        <v>-1.1</v>
      </c>
      <c r="T319" s="108">
        <f t="shared" si="7"/>
        <v>-1</v>
      </c>
      <c r="U319" s="106" t="str">
        <f t="shared" si="8"/>
        <v>#N/A</v>
      </c>
      <c r="V319" s="84" t="str">
        <f t="shared" si="9"/>
        <v/>
      </c>
      <c r="W319" s="109" t="str">
        <f t="shared" si="10"/>
        <v/>
      </c>
      <c r="X319" s="109" t="str">
        <f t="shared" si="11"/>
        <v/>
      </c>
      <c r="Y319" s="110" t="str">
        <f t="array" ref="Y319">_xlfn.XLOOKUP(A319,'Video Database'!L:L,'Video Database'!M:M,"")</f>
        <v>Bottom of Funnel</v>
      </c>
    </row>
    <row r="320" ht="22.5" customHeight="1">
      <c r="A320" s="113">
        <f t="shared" si="12"/>
        <v>319</v>
      </c>
      <c r="B320" s="98" t="str">
        <f t="array" ref="B320">_xlfn.XLOOKUP(A320,'Video Database'!L:L,'Video Database'!D:D,"")</f>
        <v>Blakely</v>
      </c>
      <c r="C320" s="98" t="str">
        <f t="array" ref="C320">_xlfn.XLOOKUP(A320,'Video Database'!L:L,'Video Database'!E:E,"")</f>
        <v>Account 3</v>
      </c>
      <c r="D320" s="99" t="str">
        <f t="array" ref="D320">_xlfn.XLOOKUP(A320,'Video Database'!L:L,'Video Database'!G:G,"")</f>
        <v>Squish Energy Preworkout Jello Shots</v>
      </c>
      <c r="E320" s="100">
        <f t="array" ref="E320">_xlfn.XLOOKUP(A320,'Video Database'!L:L,'Video Database'!H:H,"")</f>
        <v>0.11</v>
      </c>
      <c r="F320" s="101">
        <v>0.0</v>
      </c>
      <c r="G320" s="87">
        <v>0.0</v>
      </c>
      <c r="H320" s="114">
        <f t="array" ref="H320">_xlfn.XLOOKUP(A320,'Video Database'!L:L,'Video Database'!A:A,"")</f>
        <v>46188</v>
      </c>
      <c r="I320" s="103">
        <v>46201.0</v>
      </c>
      <c r="J320" s="104">
        <v>0.0</v>
      </c>
      <c r="K320" s="105"/>
      <c r="L320" s="105" t="str">
        <f t="shared" si="1"/>
        <v/>
      </c>
      <c r="O320" s="106" t="str">
        <f t="shared" si="2"/>
        <v>#N/A</v>
      </c>
      <c r="P320" s="106" t="str">
        <f t="shared" si="3"/>
        <v>#N/A</v>
      </c>
      <c r="Q320" s="84" t="str">
        <f t="shared" si="4"/>
        <v>#N/A</v>
      </c>
      <c r="R320" s="84" t="str">
        <f t="shared" si="5"/>
        <v>#N/A</v>
      </c>
      <c r="S320" s="107">
        <f t="shared" si="6"/>
        <v>-0.11</v>
      </c>
      <c r="T320" s="108">
        <f t="shared" si="7"/>
        <v>-1</v>
      </c>
      <c r="U320" s="106" t="str">
        <f t="shared" si="8"/>
        <v>#N/A</v>
      </c>
      <c r="V320" s="84" t="str">
        <f t="shared" si="9"/>
        <v/>
      </c>
      <c r="W320" s="109" t="str">
        <f t="shared" si="10"/>
        <v/>
      </c>
      <c r="X320" s="109" t="str">
        <f t="shared" si="11"/>
        <v/>
      </c>
      <c r="Y320" s="110" t="str">
        <f t="array" ref="Y320">_xlfn.XLOOKUP(A320,'Video Database'!L:L,'Video Database'!M:M,"")</f>
        <v>Bottom of Funnel</v>
      </c>
    </row>
    <row r="321" ht="22.5" customHeight="1">
      <c r="A321" s="113">
        <f t="shared" si="12"/>
        <v>320</v>
      </c>
      <c r="B321" s="98" t="str">
        <f t="array" ref="B321">_xlfn.XLOOKUP(A321,'Video Database'!L:L,'Video Database'!D:D,"")</f>
        <v>Blakely</v>
      </c>
      <c r="C321" s="98" t="str">
        <f t="array" ref="C321">_xlfn.XLOOKUP(A321,'Video Database'!L:L,'Video Database'!E:E,"")</f>
        <v>Account 3</v>
      </c>
      <c r="D321" s="99" t="str">
        <f t="array" ref="D321">_xlfn.XLOOKUP(A321,'Video Database'!L:L,'Video Database'!G:G,"")</f>
        <v>Mushroom Coffee</v>
      </c>
      <c r="E321" s="100">
        <f t="array" ref="E321">_xlfn.XLOOKUP(A321,'Video Database'!L:L,'Video Database'!H:H,"")</f>
        <v>0.11</v>
      </c>
      <c r="F321" s="101">
        <v>0.0</v>
      </c>
      <c r="G321" s="87">
        <v>0.0</v>
      </c>
      <c r="H321" s="114">
        <f t="array" ref="H321">_xlfn.XLOOKUP(A321,'Video Database'!L:L,'Video Database'!A:A,"")</f>
        <v>46188</v>
      </c>
      <c r="I321" s="103">
        <v>46201.0</v>
      </c>
      <c r="J321" s="104">
        <v>0.0</v>
      </c>
      <c r="K321" s="105"/>
      <c r="L321" s="105" t="str">
        <f t="shared" si="1"/>
        <v/>
      </c>
      <c r="O321" s="106" t="str">
        <f t="shared" si="2"/>
        <v>#N/A</v>
      </c>
      <c r="P321" s="106" t="str">
        <f t="shared" si="3"/>
        <v>#N/A</v>
      </c>
      <c r="Q321" s="84" t="str">
        <f t="shared" si="4"/>
        <v>#N/A</v>
      </c>
      <c r="R321" s="84" t="str">
        <f t="shared" si="5"/>
        <v>#N/A</v>
      </c>
      <c r="S321" s="107">
        <f t="shared" si="6"/>
        <v>-0.11</v>
      </c>
      <c r="T321" s="108">
        <f t="shared" si="7"/>
        <v>-1</v>
      </c>
      <c r="U321" s="106" t="str">
        <f t="shared" si="8"/>
        <v>#N/A</v>
      </c>
      <c r="V321" s="84" t="str">
        <f t="shared" si="9"/>
        <v/>
      </c>
      <c r="W321" s="109" t="str">
        <f t="shared" si="10"/>
        <v/>
      </c>
      <c r="X321" s="109" t="str">
        <f t="shared" si="11"/>
        <v/>
      </c>
      <c r="Y321" s="110" t="str">
        <f t="array" ref="Y321">_xlfn.XLOOKUP(A321,'Video Database'!L:L,'Video Database'!M:M,"")</f>
        <v>Bottom of Funnel</v>
      </c>
    </row>
    <row r="322" ht="22.5" customHeight="1">
      <c r="A322" s="113">
        <f t="shared" si="12"/>
        <v>321</v>
      </c>
      <c r="B322" s="98" t="str">
        <f t="array" ref="B322">_xlfn.XLOOKUP(A322,'Video Database'!L:L,'Video Database'!D:D,"")</f>
        <v>Blakely</v>
      </c>
      <c r="C322" s="98" t="str">
        <f t="array" ref="C322">_xlfn.XLOOKUP(A322,'Video Database'!L:L,'Video Database'!E:E,"")</f>
        <v>Account 3</v>
      </c>
      <c r="D322" s="99" t="str">
        <f t="array" ref="D322">_xlfn.XLOOKUP(A322,'Video Database'!L:L,'Video Database'!G:G,"")</f>
        <v>Nello Supercalm Drink Mix</v>
      </c>
      <c r="E322" s="100">
        <f t="array" ref="E322">_xlfn.XLOOKUP(A322,'Video Database'!L:L,'Video Database'!H:H,"")</f>
        <v>0.11</v>
      </c>
      <c r="F322" s="101">
        <v>0.0</v>
      </c>
      <c r="G322" s="87">
        <v>0.0</v>
      </c>
      <c r="H322" s="114">
        <f t="array" ref="H322">_xlfn.XLOOKUP(A322,'Video Database'!L:L,'Video Database'!A:A,"")</f>
        <v>46188</v>
      </c>
      <c r="I322" s="103">
        <v>46201.0</v>
      </c>
      <c r="J322" s="104">
        <v>0.0</v>
      </c>
      <c r="K322" s="105"/>
      <c r="L322" s="105" t="str">
        <f t="shared" si="1"/>
        <v/>
      </c>
      <c r="O322" s="106" t="str">
        <f t="shared" si="2"/>
        <v>#N/A</v>
      </c>
      <c r="P322" s="106" t="str">
        <f t="shared" si="3"/>
        <v>#N/A</v>
      </c>
      <c r="Q322" s="84" t="str">
        <f t="shared" si="4"/>
        <v>#N/A</v>
      </c>
      <c r="R322" s="84" t="str">
        <f t="shared" si="5"/>
        <v>#N/A</v>
      </c>
      <c r="S322" s="107">
        <f t="shared" si="6"/>
        <v>-0.11</v>
      </c>
      <c r="T322" s="108">
        <f t="shared" si="7"/>
        <v>-1</v>
      </c>
      <c r="U322" s="106" t="str">
        <f t="shared" si="8"/>
        <v>#N/A</v>
      </c>
      <c r="V322" s="84" t="str">
        <f t="shared" si="9"/>
        <v/>
      </c>
      <c r="W322" s="109" t="str">
        <f t="shared" si="10"/>
        <v/>
      </c>
      <c r="X322" s="109" t="str">
        <f t="shared" si="11"/>
        <v/>
      </c>
      <c r="Y322" s="110" t="str">
        <f t="array" ref="Y322">_xlfn.XLOOKUP(A322,'Video Database'!L:L,'Video Database'!M:M,"")</f>
        <v>Bottom of Funnel</v>
      </c>
    </row>
    <row r="323" ht="22.5" customHeight="1">
      <c r="A323" s="113">
        <f t="shared" si="12"/>
        <v>322</v>
      </c>
      <c r="B323" s="98" t="str">
        <f t="array" ref="B323">_xlfn.XLOOKUP(A323,'Video Database'!L:L,'Video Database'!D:D,"")</f>
        <v>Blakely</v>
      </c>
      <c r="C323" s="98" t="str">
        <f t="array" ref="C323">_xlfn.XLOOKUP(A323,'Video Database'!L:L,'Video Database'!E:E,"")</f>
        <v>Account 3</v>
      </c>
      <c r="D323" s="99" t="str">
        <f t="array" ref="D323">_xlfn.XLOOKUP(A323,'Video Database'!L:L,'Video Database'!G:G,"")</f>
        <v>Beast Bites Creatine Gummies</v>
      </c>
      <c r="E323" s="100">
        <f t="array" ref="E323">_xlfn.XLOOKUP(A323,'Video Database'!L:L,'Video Database'!H:H,"")</f>
        <v>0.11</v>
      </c>
      <c r="F323" s="101">
        <v>14.21</v>
      </c>
      <c r="G323" s="87">
        <v>1.0</v>
      </c>
      <c r="H323" s="114">
        <f t="array" ref="H323">_xlfn.XLOOKUP(A323,'Video Database'!L:L,'Video Database'!A:A,"")</f>
        <v>46188</v>
      </c>
      <c r="I323" s="103">
        <v>46201.0</v>
      </c>
      <c r="J323" s="104">
        <v>1.58</v>
      </c>
      <c r="K323" s="87">
        <v>3.0</v>
      </c>
      <c r="L323" s="105">
        <f t="shared" si="1"/>
        <v>1400</v>
      </c>
      <c r="M323" s="87">
        <v>1400.0</v>
      </c>
      <c r="O323" s="106">
        <f t="shared" si="2"/>
        <v>0.002142857143</v>
      </c>
      <c r="P323" s="106">
        <f t="shared" si="3"/>
        <v>0.3333333333</v>
      </c>
      <c r="Q323" s="84">
        <f t="shared" si="4"/>
        <v>1.58</v>
      </c>
      <c r="R323" s="84">
        <f t="shared" si="5"/>
        <v>14.21</v>
      </c>
      <c r="S323" s="107">
        <f t="shared" si="6"/>
        <v>1.47</v>
      </c>
      <c r="T323" s="108">
        <f t="shared" si="7"/>
        <v>13.36363636</v>
      </c>
      <c r="U323" s="106">
        <f t="shared" si="8"/>
        <v>0.9303797468</v>
      </c>
      <c r="V323" s="129">
        <f t="shared" si="9"/>
        <v>0.11</v>
      </c>
      <c r="W323" s="109">
        <f t="shared" si="10"/>
        <v>0.03666666667</v>
      </c>
      <c r="X323" s="109">
        <f t="shared" si="11"/>
        <v>0.7741027445</v>
      </c>
      <c r="Y323" s="110" t="str">
        <f t="array" ref="Y323">_xlfn.XLOOKUP(A323,'Video Database'!L:L,'Video Database'!M:M,"")</f>
        <v>Bottom of Funnel</v>
      </c>
    </row>
    <row r="324" ht="22.5" customHeight="1">
      <c r="A324" s="113">
        <f t="shared" si="12"/>
        <v>323</v>
      </c>
      <c r="B324" s="98" t="str">
        <f t="array" ref="B324">_xlfn.XLOOKUP(A324,'Video Database'!L:L,'Video Database'!D:D,"")</f>
        <v>Blakely</v>
      </c>
      <c r="C324" s="98" t="str">
        <f t="array" ref="C324">_xlfn.XLOOKUP(A324,'Video Database'!L:L,'Video Database'!E:E,"")</f>
        <v>Account 3</v>
      </c>
      <c r="D324" s="99" t="str">
        <f t="array" ref="D324">_xlfn.XLOOKUP(A324,'Video Database'!L:L,'Video Database'!G:G,"")</f>
        <v>Goli Women's Complete Multi Gummy</v>
      </c>
      <c r="E324" s="100">
        <f t="array" ref="E324">_xlfn.XLOOKUP(A324,'Video Database'!L:L,'Video Database'!H:H,"")</f>
        <v>0.11</v>
      </c>
      <c r="F324" s="101">
        <v>0.0</v>
      </c>
      <c r="G324" s="87">
        <v>0.0</v>
      </c>
      <c r="H324" s="114">
        <f t="array" ref="H324">_xlfn.XLOOKUP(A324,'Video Database'!L:L,'Video Database'!A:A,"")</f>
        <v>46188</v>
      </c>
      <c r="I324" s="103">
        <v>46201.0</v>
      </c>
      <c r="J324" s="104">
        <v>0.0</v>
      </c>
      <c r="K324" s="105"/>
      <c r="L324" s="105" t="str">
        <f t="shared" si="1"/>
        <v/>
      </c>
      <c r="O324" s="106" t="str">
        <f t="shared" si="2"/>
        <v>#N/A</v>
      </c>
      <c r="P324" s="106" t="str">
        <f t="shared" si="3"/>
        <v>#N/A</v>
      </c>
      <c r="Q324" s="84" t="str">
        <f t="shared" si="4"/>
        <v>#N/A</v>
      </c>
      <c r="R324" s="84" t="str">
        <f t="shared" si="5"/>
        <v>#N/A</v>
      </c>
      <c r="S324" s="107">
        <f t="shared" si="6"/>
        <v>-0.11</v>
      </c>
      <c r="T324" s="108">
        <f t="shared" si="7"/>
        <v>-1</v>
      </c>
      <c r="U324" s="106" t="str">
        <f t="shared" si="8"/>
        <v>#N/A</v>
      </c>
      <c r="V324" s="84" t="str">
        <f t="shared" si="9"/>
        <v/>
      </c>
      <c r="W324" s="109" t="str">
        <f t="shared" si="10"/>
        <v/>
      </c>
      <c r="X324" s="109" t="str">
        <f t="shared" si="11"/>
        <v/>
      </c>
      <c r="Y324" s="110" t="str">
        <f t="array" ref="Y324">_xlfn.XLOOKUP(A324,'Video Database'!L:L,'Video Database'!M:M,"")</f>
        <v>Bottom of Funnel</v>
      </c>
    </row>
    <row r="325" ht="22.5" customHeight="1">
      <c r="A325" s="113">
        <f t="shared" si="12"/>
        <v>324</v>
      </c>
      <c r="B325" s="98" t="str">
        <f t="array" ref="B325">_xlfn.XLOOKUP(A325,'Video Database'!L:L,'Video Database'!D:D,"")</f>
        <v>Blakely</v>
      </c>
      <c r="C325" s="98" t="str">
        <f t="array" ref="C325">_xlfn.XLOOKUP(A325,'Video Database'!L:L,'Video Database'!E:E,"")</f>
        <v>Account 3</v>
      </c>
      <c r="D325" s="99" t="str">
        <f t="array" ref="D325">_xlfn.XLOOKUP(A325,'Video Database'!L:L,'Video Database'!G:G,"")</f>
        <v>Physician's Choice Probiotic Gummies</v>
      </c>
      <c r="E325" s="100">
        <f t="array" ref="E325">_xlfn.XLOOKUP(A325,'Video Database'!L:L,'Video Database'!H:H,"")</f>
        <v>0.11</v>
      </c>
      <c r="F325" s="101">
        <v>0.0</v>
      </c>
      <c r="G325" s="87">
        <v>0.0</v>
      </c>
      <c r="H325" s="114">
        <f t="array" ref="H325">_xlfn.XLOOKUP(A325,'Video Database'!L:L,'Video Database'!A:A,"")</f>
        <v>46188</v>
      </c>
      <c r="I325" s="103">
        <v>46201.0</v>
      </c>
      <c r="J325" s="104">
        <v>0.0</v>
      </c>
      <c r="K325" s="105"/>
      <c r="L325" s="105" t="str">
        <f t="shared" si="1"/>
        <v/>
      </c>
      <c r="O325" s="106" t="str">
        <f t="shared" si="2"/>
        <v>#N/A</v>
      </c>
      <c r="P325" s="106" t="str">
        <f t="shared" si="3"/>
        <v>#N/A</v>
      </c>
      <c r="Q325" s="84" t="str">
        <f t="shared" si="4"/>
        <v>#N/A</v>
      </c>
      <c r="R325" s="84" t="str">
        <f t="shared" si="5"/>
        <v>#N/A</v>
      </c>
      <c r="S325" s="107">
        <f t="shared" si="6"/>
        <v>-0.11</v>
      </c>
      <c r="T325" s="108">
        <f t="shared" si="7"/>
        <v>-1</v>
      </c>
      <c r="U325" s="106" t="str">
        <f t="shared" si="8"/>
        <v>#N/A</v>
      </c>
      <c r="V325" s="84" t="str">
        <f t="shared" si="9"/>
        <v/>
      </c>
      <c r="W325" s="109" t="str">
        <f t="shared" si="10"/>
        <v/>
      </c>
      <c r="X325" s="109" t="str">
        <f t="shared" si="11"/>
        <v/>
      </c>
      <c r="Y325" s="110" t="str">
        <f t="array" ref="Y325">_xlfn.XLOOKUP(A325,'Video Database'!L:L,'Video Database'!M:M,"")</f>
        <v>Bottom of Funnel</v>
      </c>
    </row>
    <row r="326" ht="22.5" customHeight="1">
      <c r="A326" s="113">
        <f t="shared" si="12"/>
        <v>325</v>
      </c>
      <c r="B326" s="98" t="str">
        <f t="array" ref="B326">_xlfn.XLOOKUP(A326,'Video Database'!L:L,'Video Database'!D:D,"")</f>
        <v>Blakely</v>
      </c>
      <c r="C326" s="98" t="str">
        <f t="array" ref="C326">_xlfn.XLOOKUP(A326,'Video Database'!L:L,'Video Database'!E:E,"")</f>
        <v>Account 3</v>
      </c>
      <c r="D326" s="99" t="str">
        <f t="array" ref="D326">_xlfn.XLOOKUP(A326,'Video Database'!L:L,'Video Database'!G:G,"")</f>
        <v>Nutricost Creatine Monohydrate</v>
      </c>
      <c r="E326" s="100">
        <f t="array" ref="E326">_xlfn.XLOOKUP(A326,'Video Database'!L:L,'Video Database'!H:H,"")</f>
        <v>0.11</v>
      </c>
      <c r="F326" s="101">
        <v>0.0</v>
      </c>
      <c r="G326" s="87">
        <v>0.0</v>
      </c>
      <c r="H326" s="114">
        <f t="array" ref="H326">_xlfn.XLOOKUP(A326,'Video Database'!L:L,'Video Database'!A:A,"")</f>
        <v>46188</v>
      </c>
      <c r="I326" s="103">
        <v>46201.0</v>
      </c>
      <c r="J326" s="104">
        <v>0.0</v>
      </c>
      <c r="K326" s="105"/>
      <c r="L326" s="105" t="str">
        <f t="shared" si="1"/>
        <v/>
      </c>
      <c r="O326" s="106" t="str">
        <f t="shared" si="2"/>
        <v>#N/A</v>
      </c>
      <c r="P326" s="106" t="str">
        <f t="shared" si="3"/>
        <v>#N/A</v>
      </c>
      <c r="Q326" s="84" t="str">
        <f t="shared" si="4"/>
        <v>#N/A</v>
      </c>
      <c r="R326" s="84" t="str">
        <f t="shared" si="5"/>
        <v>#N/A</v>
      </c>
      <c r="S326" s="107">
        <f t="shared" si="6"/>
        <v>-0.11</v>
      </c>
      <c r="T326" s="108">
        <f t="shared" si="7"/>
        <v>-1</v>
      </c>
      <c r="U326" s="106" t="str">
        <f t="shared" si="8"/>
        <v>#N/A</v>
      </c>
      <c r="V326" s="84" t="str">
        <f t="shared" si="9"/>
        <v/>
      </c>
      <c r="W326" s="109" t="str">
        <f t="shared" si="10"/>
        <v/>
      </c>
      <c r="X326" s="109" t="str">
        <f t="shared" si="11"/>
        <v/>
      </c>
      <c r="Y326" s="110" t="str">
        <f t="array" ref="Y326">_xlfn.XLOOKUP(A326,'Video Database'!L:L,'Video Database'!M:M,"")</f>
        <v>Bottom of Funnel</v>
      </c>
    </row>
    <row r="327" ht="22.5" customHeight="1">
      <c r="A327" s="113">
        <f t="shared" si="12"/>
        <v>326</v>
      </c>
      <c r="B327" s="98" t="str">
        <f t="array" ref="B327">_xlfn.XLOOKUP(A327,'Video Database'!L:L,'Video Database'!D:D,"")</f>
        <v>Blakely</v>
      </c>
      <c r="C327" s="98" t="str">
        <f t="array" ref="C327">_xlfn.XLOOKUP(A327,'Video Database'!L:L,'Video Database'!E:E,"")</f>
        <v>Account 3</v>
      </c>
      <c r="D327" s="99" t="str">
        <f t="array" ref="D327">_xlfn.XLOOKUP(A327,'Video Database'!L:L,'Video Database'!G:G,"")</f>
        <v>BetterAlt Shilajit Honey Sticks</v>
      </c>
      <c r="E327" s="100">
        <f t="array" ref="E327">_xlfn.XLOOKUP(A327,'Video Database'!L:L,'Video Database'!H:H,"")</f>
        <v>0.11</v>
      </c>
      <c r="F327" s="101">
        <v>0.0</v>
      </c>
      <c r="G327" s="87">
        <v>0.0</v>
      </c>
      <c r="H327" s="114">
        <f t="array" ref="H327">_xlfn.XLOOKUP(A327,'Video Database'!L:L,'Video Database'!A:A,"")</f>
        <v>46188</v>
      </c>
      <c r="I327" s="103">
        <v>46201.0</v>
      </c>
      <c r="J327" s="104">
        <v>0.0</v>
      </c>
      <c r="K327" s="105"/>
      <c r="L327" s="105" t="str">
        <f t="shared" si="1"/>
        <v/>
      </c>
      <c r="O327" s="106" t="str">
        <f t="shared" si="2"/>
        <v>#N/A</v>
      </c>
      <c r="P327" s="106" t="str">
        <f t="shared" si="3"/>
        <v>#N/A</v>
      </c>
      <c r="Q327" s="84" t="str">
        <f t="shared" si="4"/>
        <v>#N/A</v>
      </c>
      <c r="R327" s="84" t="str">
        <f t="shared" si="5"/>
        <v>#N/A</v>
      </c>
      <c r="S327" s="107">
        <f t="shared" si="6"/>
        <v>-0.11</v>
      </c>
      <c r="T327" s="108">
        <f t="shared" si="7"/>
        <v>-1</v>
      </c>
      <c r="U327" s="106" t="str">
        <f t="shared" si="8"/>
        <v>#N/A</v>
      </c>
      <c r="V327" s="84" t="str">
        <f t="shared" si="9"/>
        <v/>
      </c>
      <c r="W327" s="109" t="str">
        <f t="shared" si="10"/>
        <v/>
      </c>
      <c r="X327" s="109" t="str">
        <f t="shared" si="11"/>
        <v/>
      </c>
      <c r="Y327" s="110" t="str">
        <f t="array" ref="Y327">_xlfn.XLOOKUP(A327,'Video Database'!L:L,'Video Database'!M:M,"")</f>
        <v>Bottom of Funnel</v>
      </c>
    </row>
    <row r="328" ht="22.5" customHeight="1">
      <c r="A328" s="113">
        <f t="shared" si="12"/>
        <v>327</v>
      </c>
      <c r="B328" s="98" t="str">
        <f t="array" ref="B328">_xlfn.XLOOKUP(A328,'Video Database'!L:L,'Video Database'!D:D,"")</f>
        <v>Blakely</v>
      </c>
      <c r="C328" s="98" t="str">
        <f t="array" ref="C328">_xlfn.XLOOKUP(A328,'Video Database'!L:L,'Video Database'!E:E,"")</f>
        <v>Account 3</v>
      </c>
      <c r="D328" s="99" t="str">
        <f t="array" ref="D328">_xlfn.XLOOKUP(A328,'Video Database'!L:L,'Video Database'!G:G,"")</f>
        <v>BioEmblem Magnesium</v>
      </c>
      <c r="E328" s="100">
        <f t="array" ref="E328">_xlfn.XLOOKUP(A328,'Video Database'!L:L,'Video Database'!H:H,"")</f>
        <v>0.11</v>
      </c>
      <c r="F328" s="101">
        <v>0.0</v>
      </c>
      <c r="G328" s="87">
        <v>0.0</v>
      </c>
      <c r="H328" s="114">
        <f t="array" ref="H328">_xlfn.XLOOKUP(A328,'Video Database'!L:L,'Video Database'!A:A,"")</f>
        <v>46188</v>
      </c>
      <c r="I328" s="103">
        <v>46201.0</v>
      </c>
      <c r="J328" s="104">
        <v>0.0</v>
      </c>
      <c r="K328" s="105"/>
      <c r="L328" s="105" t="str">
        <f t="shared" si="1"/>
        <v/>
      </c>
      <c r="O328" s="106" t="str">
        <f t="shared" si="2"/>
        <v>#N/A</v>
      </c>
      <c r="P328" s="106" t="str">
        <f t="shared" si="3"/>
        <v>#N/A</v>
      </c>
      <c r="Q328" s="84" t="str">
        <f t="shared" si="4"/>
        <v>#N/A</v>
      </c>
      <c r="R328" s="84" t="str">
        <f t="shared" si="5"/>
        <v>#N/A</v>
      </c>
      <c r="S328" s="107">
        <f t="shared" si="6"/>
        <v>-0.11</v>
      </c>
      <c r="T328" s="108">
        <f t="shared" si="7"/>
        <v>-1</v>
      </c>
      <c r="U328" s="106" t="str">
        <f t="shared" si="8"/>
        <v>#N/A</v>
      </c>
      <c r="V328" s="84" t="str">
        <f t="shared" si="9"/>
        <v/>
      </c>
      <c r="W328" s="109" t="str">
        <f t="shared" si="10"/>
        <v/>
      </c>
      <c r="X328" s="109" t="str">
        <f t="shared" si="11"/>
        <v/>
      </c>
      <c r="Y328" s="110" t="str">
        <f t="array" ref="Y328">_xlfn.XLOOKUP(A328,'Video Database'!L:L,'Video Database'!M:M,"")</f>
        <v>Bottom of Funnel</v>
      </c>
    </row>
    <row r="329" ht="22.5" customHeight="1">
      <c r="A329" s="113">
        <f t="shared" si="12"/>
        <v>328</v>
      </c>
      <c r="B329" s="98" t="str">
        <f t="array" ref="B329">_xlfn.XLOOKUP(A329,'Video Database'!L:L,'Video Database'!D:D,"")</f>
        <v>Blakely</v>
      </c>
      <c r="C329" s="98" t="str">
        <f t="array" ref="C329">_xlfn.XLOOKUP(A329,'Video Database'!L:L,'Video Database'!E:E,"")</f>
        <v>Account 3</v>
      </c>
      <c r="D329" s="99" t="str">
        <f t="array" ref="D329">_xlfn.XLOOKUP(A329,'Video Database'!L:L,'Video Database'!G:G,"")</f>
        <v>Olov Electric Shaver</v>
      </c>
      <c r="E329" s="100">
        <f t="array" ref="E329">_xlfn.XLOOKUP(A329,'Video Database'!L:L,'Video Database'!H:H,"")</f>
        <v>0.11</v>
      </c>
      <c r="F329" s="101">
        <v>0.0</v>
      </c>
      <c r="G329" s="87">
        <v>0.0</v>
      </c>
      <c r="H329" s="114">
        <f t="array" ref="H329">_xlfn.XLOOKUP(A329,'Video Database'!L:L,'Video Database'!A:A,"")</f>
        <v>46188</v>
      </c>
      <c r="I329" s="103">
        <v>46201.0</v>
      </c>
      <c r="J329" s="104">
        <v>0.0</v>
      </c>
      <c r="K329" s="105"/>
      <c r="L329" s="105" t="str">
        <f t="shared" si="1"/>
        <v/>
      </c>
      <c r="O329" s="106" t="str">
        <f t="shared" si="2"/>
        <v>#N/A</v>
      </c>
      <c r="P329" s="106" t="str">
        <f t="shared" si="3"/>
        <v>#N/A</v>
      </c>
      <c r="Q329" s="84" t="str">
        <f t="shared" si="4"/>
        <v>#N/A</v>
      </c>
      <c r="R329" s="84" t="str">
        <f t="shared" si="5"/>
        <v>#N/A</v>
      </c>
      <c r="S329" s="107">
        <f t="shared" si="6"/>
        <v>-0.11</v>
      </c>
      <c r="T329" s="108">
        <f t="shared" si="7"/>
        <v>-1</v>
      </c>
      <c r="U329" s="106" t="str">
        <f t="shared" si="8"/>
        <v>#N/A</v>
      </c>
      <c r="V329" s="84" t="str">
        <f t="shared" si="9"/>
        <v/>
      </c>
      <c r="W329" s="109" t="str">
        <f t="shared" si="10"/>
        <v/>
      </c>
      <c r="X329" s="109" t="str">
        <f t="shared" si="11"/>
        <v/>
      </c>
      <c r="Y329" s="110" t="str">
        <f t="array" ref="Y329">_xlfn.XLOOKUP(A329,'Video Database'!L:L,'Video Database'!M:M,"")</f>
        <v>Bottom of Funnel</v>
      </c>
    </row>
    <row r="330" ht="22.5" customHeight="1">
      <c r="A330" s="113">
        <f t="shared" si="12"/>
        <v>329</v>
      </c>
      <c r="B330" s="98" t="str">
        <f t="array" ref="B330">_xlfn.XLOOKUP(A330,'Video Database'!L:L,'Video Database'!D:D,"")</f>
        <v>Blakely</v>
      </c>
      <c r="C330" s="98" t="str">
        <f t="array" ref="C330">_xlfn.XLOOKUP(A330,'Video Database'!L:L,'Video Database'!E:E,"")</f>
        <v>Account 3</v>
      </c>
      <c r="D330" s="99" t="str">
        <f t="array" ref="D330">_xlfn.XLOOKUP(A330,'Video Database'!L:L,'Video Database'!G:G,"")</f>
        <v>Neurogum Watermelon</v>
      </c>
      <c r="E330" s="100">
        <f t="array" ref="E330">_xlfn.XLOOKUP(A330,'Video Database'!L:L,'Video Database'!H:H,"")</f>
        <v>0.11</v>
      </c>
      <c r="F330" s="101">
        <v>0.0</v>
      </c>
      <c r="G330" s="87">
        <v>0.0</v>
      </c>
      <c r="H330" s="114">
        <f t="array" ref="H330">_xlfn.XLOOKUP(A330,'Video Database'!L:L,'Video Database'!A:A,"")</f>
        <v>46188</v>
      </c>
      <c r="I330" s="103">
        <v>46201.0</v>
      </c>
      <c r="J330" s="104">
        <v>0.0</v>
      </c>
      <c r="K330" s="105"/>
      <c r="L330" s="105" t="str">
        <f t="shared" si="1"/>
        <v/>
      </c>
      <c r="O330" s="106" t="str">
        <f t="shared" si="2"/>
        <v>#N/A</v>
      </c>
      <c r="P330" s="106" t="str">
        <f t="shared" si="3"/>
        <v>#N/A</v>
      </c>
      <c r="Q330" s="84" t="str">
        <f t="shared" si="4"/>
        <v>#N/A</v>
      </c>
      <c r="R330" s="84" t="str">
        <f t="shared" si="5"/>
        <v>#N/A</v>
      </c>
      <c r="S330" s="107">
        <f t="shared" si="6"/>
        <v>-0.11</v>
      </c>
      <c r="T330" s="108">
        <f t="shared" si="7"/>
        <v>-1</v>
      </c>
      <c r="U330" s="106" t="str">
        <f t="shared" si="8"/>
        <v>#N/A</v>
      </c>
      <c r="V330" s="84" t="str">
        <f t="shared" si="9"/>
        <v/>
      </c>
      <c r="W330" s="109" t="str">
        <f t="shared" si="10"/>
        <v/>
      </c>
      <c r="X330" s="109" t="str">
        <f t="shared" si="11"/>
        <v/>
      </c>
      <c r="Y330" s="110" t="str">
        <f t="array" ref="Y330">_xlfn.XLOOKUP(A330,'Video Database'!L:L,'Video Database'!M:M,"")</f>
        <v>Bottom of Funnel</v>
      </c>
    </row>
    <row r="331" ht="22.5" customHeight="1">
      <c r="A331" s="113">
        <f t="shared" si="12"/>
        <v>330</v>
      </c>
      <c r="B331" s="98" t="str">
        <f t="array" ref="B331">_xlfn.XLOOKUP(A331,'Video Database'!L:L,'Video Database'!D:D,"")</f>
        <v>Blakely</v>
      </c>
      <c r="C331" s="98" t="str">
        <f t="array" ref="C331">_xlfn.XLOOKUP(A331,'Video Database'!L:L,'Video Database'!E:E,"")</f>
        <v>Account 3</v>
      </c>
      <c r="D331" s="99" t="str">
        <f t="array" ref="D331">_xlfn.XLOOKUP(A331,'Video Database'!L:L,'Video Database'!G:G,"")</f>
        <v>Squish Energy Preworkout Jello Shots</v>
      </c>
      <c r="E331" s="100">
        <f t="array" ref="E331">_xlfn.XLOOKUP(A331,'Video Database'!L:L,'Video Database'!H:H,"")</f>
        <v>0.11</v>
      </c>
      <c r="F331" s="101">
        <v>0.0</v>
      </c>
      <c r="G331" s="87">
        <v>0.0</v>
      </c>
      <c r="H331" s="114">
        <f t="array" ref="H331">_xlfn.XLOOKUP(A331,'Video Database'!L:L,'Video Database'!A:A,"")</f>
        <v>46188</v>
      </c>
      <c r="I331" s="103">
        <v>46201.0</v>
      </c>
      <c r="J331" s="104">
        <v>0.0</v>
      </c>
      <c r="K331" s="105"/>
      <c r="L331" s="105" t="str">
        <f t="shared" si="1"/>
        <v/>
      </c>
      <c r="O331" s="106" t="str">
        <f t="shared" si="2"/>
        <v>#N/A</v>
      </c>
      <c r="P331" s="106" t="str">
        <f t="shared" si="3"/>
        <v>#N/A</v>
      </c>
      <c r="Q331" s="84" t="str">
        <f t="shared" si="4"/>
        <v>#N/A</v>
      </c>
      <c r="R331" s="84" t="str">
        <f t="shared" si="5"/>
        <v>#N/A</v>
      </c>
      <c r="S331" s="107">
        <f t="shared" si="6"/>
        <v>-0.11</v>
      </c>
      <c r="T331" s="108">
        <f t="shared" si="7"/>
        <v>-1</v>
      </c>
      <c r="U331" s="106" t="str">
        <f t="shared" si="8"/>
        <v>#N/A</v>
      </c>
      <c r="V331" s="84" t="str">
        <f t="shared" si="9"/>
        <v/>
      </c>
      <c r="W331" s="109" t="str">
        <f t="shared" si="10"/>
        <v/>
      </c>
      <c r="X331" s="109" t="str">
        <f t="shared" si="11"/>
        <v/>
      </c>
      <c r="Y331" s="110" t="str">
        <f t="array" ref="Y331">_xlfn.XLOOKUP(A331,'Video Database'!L:L,'Video Database'!M:M,"")</f>
        <v>Bottom of Funnel</v>
      </c>
    </row>
    <row r="332" ht="22.5" customHeight="1">
      <c r="A332" s="113">
        <f t="shared" si="12"/>
        <v>331</v>
      </c>
      <c r="B332" s="98" t="str">
        <f t="array" ref="B332">_xlfn.XLOOKUP(A332,'Video Database'!L:L,'Video Database'!D:D,"")</f>
        <v>Blakely</v>
      </c>
      <c r="C332" s="98" t="str">
        <f t="array" ref="C332">_xlfn.XLOOKUP(A332,'Video Database'!L:L,'Video Database'!E:E,"")</f>
        <v>Account 3</v>
      </c>
      <c r="D332" s="99" t="str">
        <f t="array" ref="D332">_xlfn.XLOOKUP(A332,'Video Database'!L:L,'Video Database'!G:G,"")</f>
        <v>BetterAlt Shilajit Honey Sticks</v>
      </c>
      <c r="E332" s="100">
        <f t="array" ref="E332">_xlfn.XLOOKUP(A332,'Video Database'!L:L,'Video Database'!H:H,"")</f>
        <v>0.11</v>
      </c>
      <c r="F332" s="101">
        <v>0.0</v>
      </c>
      <c r="G332" s="87">
        <v>0.0</v>
      </c>
      <c r="H332" s="114">
        <f t="array" ref="H332">_xlfn.XLOOKUP(A332,'Video Database'!L:L,'Video Database'!A:A,"")</f>
        <v>46188</v>
      </c>
      <c r="I332" s="103">
        <v>46201.0</v>
      </c>
      <c r="J332" s="104">
        <v>0.0</v>
      </c>
      <c r="K332" s="105"/>
      <c r="L332" s="105" t="str">
        <f t="shared" si="1"/>
        <v/>
      </c>
      <c r="O332" s="106" t="str">
        <f t="shared" si="2"/>
        <v>#N/A</v>
      </c>
      <c r="P332" s="106" t="str">
        <f t="shared" si="3"/>
        <v>#N/A</v>
      </c>
      <c r="Q332" s="84" t="str">
        <f t="shared" si="4"/>
        <v>#N/A</v>
      </c>
      <c r="R332" s="84" t="str">
        <f t="shared" si="5"/>
        <v>#N/A</v>
      </c>
      <c r="S332" s="107">
        <f t="shared" si="6"/>
        <v>-0.11</v>
      </c>
      <c r="T332" s="108">
        <f t="shared" si="7"/>
        <v>-1</v>
      </c>
      <c r="U332" s="106" t="str">
        <f t="shared" si="8"/>
        <v>#N/A</v>
      </c>
      <c r="V332" s="84" t="str">
        <f t="shared" si="9"/>
        <v/>
      </c>
      <c r="W332" s="109" t="str">
        <f t="shared" si="10"/>
        <v/>
      </c>
      <c r="X332" s="109" t="str">
        <f t="shared" si="11"/>
        <v/>
      </c>
      <c r="Y332" s="110" t="str">
        <f t="array" ref="Y332">_xlfn.XLOOKUP(A332,'Video Database'!L:L,'Video Database'!M:M,"")</f>
        <v>Bottom of Funnel</v>
      </c>
    </row>
    <row r="333" ht="22.5" customHeight="1">
      <c r="A333" s="113">
        <f t="shared" si="12"/>
        <v>332</v>
      </c>
      <c r="B333" s="98" t="str">
        <f t="array" ref="B333">_xlfn.XLOOKUP(A333,'Video Database'!L:L,'Video Database'!D:D,"")</f>
        <v>Blakely</v>
      </c>
      <c r="C333" s="98" t="str">
        <f t="array" ref="C333">_xlfn.XLOOKUP(A333,'Video Database'!L:L,'Video Database'!E:E,"")</f>
        <v>Account 3</v>
      </c>
      <c r="D333" s="99" t="str">
        <f t="array" ref="D333">_xlfn.XLOOKUP(A333,'Video Database'!L:L,'Video Database'!G:G,"")</f>
        <v>BioEmblem Magnesium</v>
      </c>
      <c r="E333" s="100">
        <f t="array" ref="E333">_xlfn.XLOOKUP(A333,'Video Database'!L:L,'Video Database'!H:H,"")</f>
        <v>0.11</v>
      </c>
      <c r="F333" s="101">
        <v>0.0</v>
      </c>
      <c r="G333" s="87">
        <v>0.0</v>
      </c>
      <c r="H333" s="114">
        <f t="array" ref="H333">_xlfn.XLOOKUP(A333,'Video Database'!L:L,'Video Database'!A:A,"")</f>
        <v>46188</v>
      </c>
      <c r="I333" s="103">
        <v>46201.0</v>
      </c>
      <c r="J333" s="104">
        <v>0.0</v>
      </c>
      <c r="K333" s="105"/>
      <c r="L333" s="105" t="str">
        <f t="shared" si="1"/>
        <v/>
      </c>
      <c r="O333" s="106" t="str">
        <f t="shared" si="2"/>
        <v>#N/A</v>
      </c>
      <c r="P333" s="106" t="str">
        <f t="shared" si="3"/>
        <v>#N/A</v>
      </c>
      <c r="Q333" s="84" t="str">
        <f t="shared" si="4"/>
        <v>#N/A</v>
      </c>
      <c r="R333" s="84" t="str">
        <f t="shared" si="5"/>
        <v>#N/A</v>
      </c>
      <c r="S333" s="107">
        <f t="shared" si="6"/>
        <v>-0.11</v>
      </c>
      <c r="T333" s="108">
        <f t="shared" si="7"/>
        <v>-1</v>
      </c>
      <c r="U333" s="106" t="str">
        <f t="shared" si="8"/>
        <v>#N/A</v>
      </c>
      <c r="V333" s="84" t="str">
        <f t="shared" si="9"/>
        <v/>
      </c>
      <c r="W333" s="109" t="str">
        <f t="shared" si="10"/>
        <v/>
      </c>
      <c r="X333" s="109" t="str">
        <f t="shared" si="11"/>
        <v/>
      </c>
      <c r="Y333" s="110" t="str">
        <f t="array" ref="Y333">_xlfn.XLOOKUP(A333,'Video Database'!L:L,'Video Database'!M:M,"")</f>
        <v>Bottom of Funnel</v>
      </c>
    </row>
    <row r="334" ht="22.5" customHeight="1">
      <c r="A334" s="113">
        <f t="shared" si="12"/>
        <v>333</v>
      </c>
      <c r="B334" s="98" t="str">
        <f t="array" ref="B334">_xlfn.XLOOKUP(A334,'Video Database'!L:L,'Video Database'!D:D,"")</f>
        <v>Blakely</v>
      </c>
      <c r="C334" s="98" t="str">
        <f t="array" ref="C334">_xlfn.XLOOKUP(A334,'Video Database'!L:L,'Video Database'!E:E,"")</f>
        <v>Account 3</v>
      </c>
      <c r="D334" s="99" t="str">
        <f t="array" ref="D334">_xlfn.XLOOKUP(A334,'Video Database'!L:L,'Video Database'!G:G,"")</f>
        <v>Nutricost Creatine Monohydrate</v>
      </c>
      <c r="E334" s="100">
        <f t="array" ref="E334">_xlfn.XLOOKUP(A334,'Video Database'!L:L,'Video Database'!H:H,"")</f>
        <v>0.11</v>
      </c>
      <c r="F334" s="101">
        <v>0.0</v>
      </c>
      <c r="G334" s="87">
        <v>0.0</v>
      </c>
      <c r="H334" s="114">
        <f t="array" ref="H334">_xlfn.XLOOKUP(A334,'Video Database'!L:L,'Video Database'!A:A,"")</f>
        <v>46188</v>
      </c>
      <c r="I334" s="103">
        <v>46201.0</v>
      </c>
      <c r="J334" s="104">
        <v>0.0</v>
      </c>
      <c r="K334" s="105"/>
      <c r="L334" s="105" t="str">
        <f t="shared" si="1"/>
        <v/>
      </c>
      <c r="O334" s="106" t="str">
        <f t="shared" si="2"/>
        <v>#N/A</v>
      </c>
      <c r="P334" s="106" t="str">
        <f t="shared" si="3"/>
        <v>#N/A</v>
      </c>
      <c r="Q334" s="84" t="str">
        <f t="shared" si="4"/>
        <v>#N/A</v>
      </c>
      <c r="R334" s="84" t="str">
        <f t="shared" si="5"/>
        <v>#N/A</v>
      </c>
      <c r="S334" s="107">
        <f t="shared" si="6"/>
        <v>-0.11</v>
      </c>
      <c r="T334" s="108">
        <f t="shared" si="7"/>
        <v>-1</v>
      </c>
      <c r="U334" s="106" t="str">
        <f t="shared" si="8"/>
        <v>#N/A</v>
      </c>
      <c r="V334" s="84" t="str">
        <f t="shared" si="9"/>
        <v/>
      </c>
      <c r="W334" s="109" t="str">
        <f t="shared" si="10"/>
        <v/>
      </c>
      <c r="X334" s="109" t="str">
        <f t="shared" si="11"/>
        <v/>
      </c>
      <c r="Y334" s="110" t="str">
        <f t="array" ref="Y334">_xlfn.XLOOKUP(A334,'Video Database'!L:L,'Video Database'!M:M,"")</f>
        <v>Bottom of Funnel</v>
      </c>
    </row>
    <row r="335" ht="22.5" customHeight="1">
      <c r="A335" s="113">
        <f t="shared" si="12"/>
        <v>334</v>
      </c>
      <c r="B335" s="98" t="str">
        <f t="array" ref="B335">_xlfn.XLOOKUP(A335,'Video Database'!L:L,'Video Database'!D:D,"")</f>
        <v>Blakely</v>
      </c>
      <c r="C335" s="98" t="str">
        <f t="array" ref="C335">_xlfn.XLOOKUP(A335,'Video Database'!L:L,'Video Database'!E:E,"")</f>
        <v>Account 3</v>
      </c>
      <c r="D335" s="99" t="str">
        <f t="array" ref="D335">_xlfn.XLOOKUP(A335,'Video Database'!L:L,'Video Database'!G:G,"")</f>
        <v>Beast Bites Creatine Gummies</v>
      </c>
      <c r="E335" s="100">
        <f t="array" ref="E335">_xlfn.XLOOKUP(A335,'Video Database'!L:L,'Video Database'!H:H,"")</f>
        <v>0.11</v>
      </c>
      <c r="F335" s="101">
        <v>0.0</v>
      </c>
      <c r="G335" s="87">
        <v>0.0</v>
      </c>
      <c r="H335" s="114">
        <f t="array" ref="H335">_xlfn.XLOOKUP(A335,'Video Database'!L:L,'Video Database'!A:A,"")</f>
        <v>46188</v>
      </c>
      <c r="I335" s="103">
        <v>46201.0</v>
      </c>
      <c r="J335" s="104">
        <v>0.0</v>
      </c>
      <c r="K335" s="105"/>
      <c r="L335" s="105" t="str">
        <f t="shared" si="1"/>
        <v/>
      </c>
      <c r="O335" s="106" t="str">
        <f t="shared" si="2"/>
        <v>#N/A</v>
      </c>
      <c r="P335" s="106" t="str">
        <f t="shared" si="3"/>
        <v>#N/A</v>
      </c>
      <c r="Q335" s="84" t="str">
        <f t="shared" si="4"/>
        <v>#N/A</v>
      </c>
      <c r="R335" s="84" t="str">
        <f t="shared" si="5"/>
        <v>#N/A</v>
      </c>
      <c r="S335" s="107">
        <f t="shared" si="6"/>
        <v>-0.11</v>
      </c>
      <c r="T335" s="108">
        <f t="shared" si="7"/>
        <v>-1</v>
      </c>
      <c r="U335" s="106" t="str">
        <f t="shared" si="8"/>
        <v>#N/A</v>
      </c>
      <c r="V335" s="84" t="str">
        <f t="shared" si="9"/>
        <v/>
      </c>
      <c r="W335" s="109" t="str">
        <f t="shared" si="10"/>
        <v/>
      </c>
      <c r="X335" s="109" t="str">
        <f t="shared" si="11"/>
        <v/>
      </c>
      <c r="Y335" s="110" t="str">
        <f t="array" ref="Y335">_xlfn.XLOOKUP(A335,'Video Database'!L:L,'Video Database'!M:M,"")</f>
        <v>Bottom of Funnel</v>
      </c>
    </row>
    <row r="336" ht="22.5" customHeight="1">
      <c r="A336" s="113">
        <f t="shared" si="12"/>
        <v>335</v>
      </c>
      <c r="B336" s="98" t="str">
        <f t="array" ref="B336">_xlfn.XLOOKUP(A336,'Video Database'!L:L,'Video Database'!D:D,"")</f>
        <v>Blakely</v>
      </c>
      <c r="C336" s="98" t="str">
        <f t="array" ref="C336">_xlfn.XLOOKUP(A336,'Video Database'!L:L,'Video Database'!E:E,"")</f>
        <v>Account 3</v>
      </c>
      <c r="D336" s="99" t="str">
        <f t="array" ref="D336">_xlfn.XLOOKUP(A336,'Video Database'!L:L,'Video Database'!G:G,"")</f>
        <v>Nello Supercalm Drink Mix</v>
      </c>
      <c r="E336" s="100">
        <f t="array" ref="E336">_xlfn.XLOOKUP(A336,'Video Database'!L:L,'Video Database'!H:H,"")</f>
        <v>0.11</v>
      </c>
      <c r="F336" s="101">
        <v>0.0</v>
      </c>
      <c r="G336" s="87">
        <v>0.0</v>
      </c>
      <c r="H336" s="114">
        <f t="array" ref="H336">_xlfn.XLOOKUP(A336,'Video Database'!L:L,'Video Database'!A:A,"")</f>
        <v>46188</v>
      </c>
      <c r="I336" s="103">
        <v>46201.0</v>
      </c>
      <c r="J336" s="104">
        <v>0.0</v>
      </c>
      <c r="K336" s="105"/>
      <c r="L336" s="105" t="str">
        <f t="shared" si="1"/>
        <v/>
      </c>
      <c r="O336" s="106" t="str">
        <f t="shared" si="2"/>
        <v>#N/A</v>
      </c>
      <c r="P336" s="106" t="str">
        <f t="shared" si="3"/>
        <v>#N/A</v>
      </c>
      <c r="Q336" s="84" t="str">
        <f t="shared" si="4"/>
        <v>#N/A</v>
      </c>
      <c r="R336" s="84" t="str">
        <f t="shared" si="5"/>
        <v>#N/A</v>
      </c>
      <c r="S336" s="107">
        <f t="shared" si="6"/>
        <v>-0.11</v>
      </c>
      <c r="T336" s="108">
        <f t="shared" si="7"/>
        <v>-1</v>
      </c>
      <c r="U336" s="106" t="str">
        <f t="shared" si="8"/>
        <v>#N/A</v>
      </c>
      <c r="V336" s="84" t="str">
        <f t="shared" si="9"/>
        <v/>
      </c>
      <c r="W336" s="109" t="str">
        <f t="shared" si="10"/>
        <v/>
      </c>
      <c r="X336" s="109" t="str">
        <f t="shared" si="11"/>
        <v/>
      </c>
      <c r="Y336" s="110" t="str">
        <f t="array" ref="Y336">_xlfn.XLOOKUP(A336,'Video Database'!L:L,'Video Database'!M:M,"")</f>
        <v>Bottom of Funnel</v>
      </c>
    </row>
    <row r="337" ht="22.5" customHeight="1">
      <c r="A337" s="113">
        <f t="shared" si="12"/>
        <v>336</v>
      </c>
      <c r="B337" s="98" t="str">
        <f t="array" ref="B337">_xlfn.XLOOKUP(A337,'Video Database'!L:L,'Video Database'!D:D,"")</f>
        <v>Blakely</v>
      </c>
      <c r="C337" s="98" t="str">
        <f t="array" ref="C337">_xlfn.XLOOKUP(A337,'Video Database'!L:L,'Video Database'!E:E,"")</f>
        <v>Account 3</v>
      </c>
      <c r="D337" s="99" t="str">
        <f t="array" ref="D337">_xlfn.XLOOKUP(A337,'Video Database'!L:L,'Video Database'!G:G,"")</f>
        <v>Neurogum Watermelon</v>
      </c>
      <c r="E337" s="100">
        <f t="array" ref="E337">_xlfn.XLOOKUP(A337,'Video Database'!L:L,'Video Database'!H:H,"")</f>
        <v>0.11</v>
      </c>
      <c r="F337" s="101">
        <v>0.0</v>
      </c>
      <c r="G337" s="87">
        <v>0.0</v>
      </c>
      <c r="H337" s="114">
        <f t="array" ref="H337">_xlfn.XLOOKUP(A337,'Video Database'!L:L,'Video Database'!A:A,"")</f>
        <v>46188</v>
      </c>
      <c r="I337" s="103">
        <v>46201.0</v>
      </c>
      <c r="J337" s="104">
        <v>0.0</v>
      </c>
      <c r="K337" s="105"/>
      <c r="L337" s="105" t="str">
        <f t="shared" si="1"/>
        <v/>
      </c>
      <c r="O337" s="106" t="str">
        <f t="shared" si="2"/>
        <v>#N/A</v>
      </c>
      <c r="P337" s="106" t="str">
        <f t="shared" si="3"/>
        <v>#N/A</v>
      </c>
      <c r="Q337" s="84" t="str">
        <f t="shared" si="4"/>
        <v>#N/A</v>
      </c>
      <c r="R337" s="84" t="str">
        <f t="shared" si="5"/>
        <v>#N/A</v>
      </c>
      <c r="S337" s="107">
        <f t="shared" si="6"/>
        <v>-0.11</v>
      </c>
      <c r="T337" s="108">
        <f t="shared" si="7"/>
        <v>-1</v>
      </c>
      <c r="U337" s="106" t="str">
        <f t="shared" si="8"/>
        <v>#N/A</v>
      </c>
      <c r="V337" s="84" t="str">
        <f t="shared" si="9"/>
        <v/>
      </c>
      <c r="W337" s="109" t="str">
        <f t="shared" si="10"/>
        <v/>
      </c>
      <c r="X337" s="109" t="str">
        <f t="shared" si="11"/>
        <v/>
      </c>
      <c r="Y337" s="110" t="str">
        <f t="array" ref="Y337">_xlfn.XLOOKUP(A337,'Video Database'!L:L,'Video Database'!M:M,"")</f>
        <v>Bottom of Funnel</v>
      </c>
    </row>
    <row r="338" ht="22.5" customHeight="1">
      <c r="A338" s="113">
        <f t="shared" si="12"/>
        <v>337</v>
      </c>
      <c r="B338" s="98" t="str">
        <f t="array" ref="B338">_xlfn.XLOOKUP(A338,'Video Database'!L:L,'Video Database'!D:D,"")</f>
        <v>Blakely</v>
      </c>
      <c r="C338" s="98" t="str">
        <f t="array" ref="C338">_xlfn.XLOOKUP(A338,'Video Database'!L:L,'Video Database'!E:E,"")</f>
        <v>Account 3</v>
      </c>
      <c r="D338" s="99" t="str">
        <f t="array" ref="D338">_xlfn.XLOOKUP(A338,'Video Database'!L:L,'Video Database'!G:G,"")</f>
        <v>Goli Women's Complete Multi Gummy</v>
      </c>
      <c r="E338" s="100">
        <f t="array" ref="E338">_xlfn.XLOOKUP(A338,'Video Database'!L:L,'Video Database'!H:H,"")</f>
        <v>0.11</v>
      </c>
      <c r="F338" s="101">
        <v>0.0</v>
      </c>
      <c r="G338" s="87">
        <v>0.0</v>
      </c>
      <c r="H338" s="114">
        <f t="array" ref="H338">_xlfn.XLOOKUP(A338,'Video Database'!L:L,'Video Database'!A:A,"")</f>
        <v>46188</v>
      </c>
      <c r="I338" s="103">
        <v>46201.0</v>
      </c>
      <c r="J338" s="104">
        <v>0.0</v>
      </c>
      <c r="K338" s="105"/>
      <c r="L338" s="105" t="str">
        <f t="shared" si="1"/>
        <v/>
      </c>
      <c r="O338" s="106" t="str">
        <f t="shared" si="2"/>
        <v>#N/A</v>
      </c>
      <c r="P338" s="106" t="str">
        <f t="shared" si="3"/>
        <v>#N/A</v>
      </c>
      <c r="Q338" s="84" t="str">
        <f t="shared" si="4"/>
        <v>#N/A</v>
      </c>
      <c r="R338" s="84" t="str">
        <f t="shared" si="5"/>
        <v>#N/A</v>
      </c>
      <c r="S338" s="107">
        <f t="shared" si="6"/>
        <v>-0.11</v>
      </c>
      <c r="T338" s="108">
        <f t="shared" si="7"/>
        <v>-1</v>
      </c>
      <c r="U338" s="106" t="str">
        <f t="shared" si="8"/>
        <v>#N/A</v>
      </c>
      <c r="V338" s="84" t="str">
        <f t="shared" si="9"/>
        <v/>
      </c>
      <c r="W338" s="109" t="str">
        <f t="shared" si="10"/>
        <v/>
      </c>
      <c r="X338" s="109" t="str">
        <f t="shared" si="11"/>
        <v/>
      </c>
      <c r="Y338" s="110" t="str">
        <f t="array" ref="Y338">_xlfn.XLOOKUP(A338,'Video Database'!L:L,'Video Database'!M:M,"")</f>
        <v>Bottom of Funnel</v>
      </c>
    </row>
    <row r="339" ht="22.5" customHeight="1">
      <c r="A339" s="113">
        <f t="shared" si="12"/>
        <v>338</v>
      </c>
      <c r="B339" s="98" t="str">
        <f t="array" ref="B339">_xlfn.XLOOKUP(A339,'Video Database'!L:L,'Video Database'!D:D,"")</f>
        <v>Blakely</v>
      </c>
      <c r="C339" s="98" t="str">
        <f t="array" ref="C339">_xlfn.XLOOKUP(A339,'Video Database'!L:L,'Video Database'!E:E,"")</f>
        <v>Account 3</v>
      </c>
      <c r="D339" s="99" t="str">
        <f t="array" ref="D339">_xlfn.XLOOKUP(A339,'Video Database'!L:L,'Video Database'!G:G,"")</f>
        <v>Physician's Choice Probiotic Gummies</v>
      </c>
      <c r="E339" s="100">
        <f t="array" ref="E339">_xlfn.XLOOKUP(A339,'Video Database'!L:L,'Video Database'!H:H,"")</f>
        <v>0.11</v>
      </c>
      <c r="F339" s="101">
        <v>0.0</v>
      </c>
      <c r="G339" s="87">
        <v>0.0</v>
      </c>
      <c r="H339" s="114">
        <f t="array" ref="H339">_xlfn.XLOOKUP(A339,'Video Database'!L:L,'Video Database'!A:A,"")</f>
        <v>46188</v>
      </c>
      <c r="I339" s="103">
        <v>46201.0</v>
      </c>
      <c r="J339" s="104">
        <v>0.0</v>
      </c>
      <c r="K339" s="105"/>
      <c r="L339" s="105" t="str">
        <f t="shared" si="1"/>
        <v/>
      </c>
      <c r="O339" s="106" t="str">
        <f t="shared" si="2"/>
        <v>#N/A</v>
      </c>
      <c r="P339" s="106" t="str">
        <f t="shared" si="3"/>
        <v>#N/A</v>
      </c>
      <c r="Q339" s="84" t="str">
        <f t="shared" si="4"/>
        <v>#N/A</v>
      </c>
      <c r="R339" s="84" t="str">
        <f t="shared" si="5"/>
        <v>#N/A</v>
      </c>
      <c r="S339" s="107">
        <f t="shared" si="6"/>
        <v>-0.11</v>
      </c>
      <c r="T339" s="108">
        <f t="shared" si="7"/>
        <v>-1</v>
      </c>
      <c r="U339" s="106" t="str">
        <f t="shared" si="8"/>
        <v>#N/A</v>
      </c>
      <c r="V339" s="84" t="str">
        <f t="shared" si="9"/>
        <v/>
      </c>
      <c r="W339" s="109" t="str">
        <f t="shared" si="10"/>
        <v/>
      </c>
      <c r="X339" s="109" t="str">
        <f t="shared" si="11"/>
        <v/>
      </c>
      <c r="Y339" s="110" t="str">
        <f t="array" ref="Y339">_xlfn.XLOOKUP(A339,'Video Database'!L:L,'Video Database'!M:M,"")</f>
        <v>Bottom of Funnel</v>
      </c>
    </row>
    <row r="340" ht="22.5" customHeight="1">
      <c r="A340" s="113">
        <f t="shared" si="12"/>
        <v>339</v>
      </c>
      <c r="B340" s="98" t="str">
        <f t="array" ref="B340">_xlfn.XLOOKUP(A340,'Video Database'!L:L,'Video Database'!D:D,"")</f>
        <v>Blakely</v>
      </c>
      <c r="C340" s="98" t="str">
        <f t="array" ref="C340">_xlfn.XLOOKUP(A340,'Video Database'!L:L,'Video Database'!E:E,"")</f>
        <v>Account 3</v>
      </c>
      <c r="D340" s="99" t="str">
        <f t="array" ref="D340">_xlfn.XLOOKUP(A340,'Video Database'!L:L,'Video Database'!G:G,"")</f>
        <v>Mushroom Coffee</v>
      </c>
      <c r="E340" s="100">
        <f t="array" ref="E340">_xlfn.XLOOKUP(A340,'Video Database'!L:L,'Video Database'!H:H,"")</f>
        <v>0.11</v>
      </c>
      <c r="F340" s="101">
        <v>0.0</v>
      </c>
      <c r="G340" s="87">
        <v>0.0</v>
      </c>
      <c r="H340" s="114">
        <f t="array" ref="H340">_xlfn.XLOOKUP(A340,'Video Database'!L:L,'Video Database'!A:A,"")</f>
        <v>46188</v>
      </c>
      <c r="I340" s="103">
        <v>46201.0</v>
      </c>
      <c r="J340" s="104">
        <v>0.0</v>
      </c>
      <c r="K340" s="105"/>
      <c r="L340" s="105" t="str">
        <f t="shared" si="1"/>
        <v/>
      </c>
      <c r="O340" s="106" t="str">
        <f t="shared" si="2"/>
        <v>#N/A</v>
      </c>
      <c r="P340" s="106" t="str">
        <f t="shared" si="3"/>
        <v>#N/A</v>
      </c>
      <c r="Q340" s="84" t="str">
        <f t="shared" si="4"/>
        <v>#N/A</v>
      </c>
      <c r="R340" s="84" t="str">
        <f t="shared" si="5"/>
        <v>#N/A</v>
      </c>
      <c r="S340" s="107">
        <f t="shared" si="6"/>
        <v>-0.11</v>
      </c>
      <c r="T340" s="108">
        <f t="shared" si="7"/>
        <v>-1</v>
      </c>
      <c r="U340" s="106" t="str">
        <f t="shared" si="8"/>
        <v>#N/A</v>
      </c>
      <c r="V340" s="84" t="str">
        <f t="shared" si="9"/>
        <v/>
      </c>
      <c r="W340" s="109" t="str">
        <f t="shared" si="10"/>
        <v/>
      </c>
      <c r="X340" s="109" t="str">
        <f t="shared" si="11"/>
        <v/>
      </c>
      <c r="Y340" s="110" t="str">
        <f t="array" ref="Y340">_xlfn.XLOOKUP(A340,'Video Database'!L:L,'Video Database'!M:M,"")</f>
        <v>Bottom of Funnel</v>
      </c>
    </row>
    <row r="341" ht="22.5" customHeight="1">
      <c r="A341" s="113">
        <f t="shared" si="12"/>
        <v>340</v>
      </c>
      <c r="B341" s="98" t="str">
        <f t="array" ref="B341">_xlfn.XLOOKUP(A341,'Video Database'!L:L,'Video Database'!D:D,"")</f>
        <v>Blakely</v>
      </c>
      <c r="C341" s="98" t="str">
        <f t="array" ref="C341">_xlfn.XLOOKUP(A341,'Video Database'!L:L,'Video Database'!E:E,"")</f>
        <v>Account 3</v>
      </c>
      <c r="D341" s="99" t="str">
        <f t="array" ref="D341">_xlfn.XLOOKUP(A341,'Video Database'!L:L,'Video Database'!G:G,"")</f>
        <v>BioEmblem Magnesium</v>
      </c>
      <c r="E341" s="100">
        <f t="array" ref="E341">_xlfn.XLOOKUP(A341,'Video Database'!L:L,'Video Database'!H:H,"")</f>
        <v>0.11</v>
      </c>
      <c r="F341" s="101">
        <v>0.0</v>
      </c>
      <c r="G341" s="87">
        <v>0.0</v>
      </c>
      <c r="H341" s="114">
        <f t="array" ref="H341">_xlfn.XLOOKUP(A341,'Video Database'!L:L,'Video Database'!A:A,"")</f>
        <v>46188</v>
      </c>
      <c r="I341" s="103">
        <v>46201.0</v>
      </c>
      <c r="J341" s="104">
        <v>0.0</v>
      </c>
      <c r="K341" s="105"/>
      <c r="L341" s="105" t="str">
        <f t="shared" si="1"/>
        <v/>
      </c>
      <c r="O341" s="106" t="str">
        <f t="shared" si="2"/>
        <v>#N/A</v>
      </c>
      <c r="P341" s="106" t="str">
        <f t="shared" si="3"/>
        <v>#N/A</v>
      </c>
      <c r="Q341" s="84" t="str">
        <f t="shared" si="4"/>
        <v>#N/A</v>
      </c>
      <c r="R341" s="84" t="str">
        <f t="shared" si="5"/>
        <v>#N/A</v>
      </c>
      <c r="S341" s="107">
        <f t="shared" si="6"/>
        <v>-0.11</v>
      </c>
      <c r="T341" s="108">
        <f t="shared" si="7"/>
        <v>-1</v>
      </c>
      <c r="U341" s="106" t="str">
        <f t="shared" si="8"/>
        <v>#N/A</v>
      </c>
      <c r="V341" s="84" t="str">
        <f t="shared" si="9"/>
        <v/>
      </c>
      <c r="W341" s="109" t="str">
        <f t="shared" si="10"/>
        <v/>
      </c>
      <c r="X341" s="109" t="str">
        <f t="shared" si="11"/>
        <v/>
      </c>
      <c r="Y341" s="110" t="str">
        <f t="array" ref="Y341">_xlfn.XLOOKUP(A341,'Video Database'!L:L,'Video Database'!M:M,"")</f>
        <v>Bottom of Funnel</v>
      </c>
    </row>
    <row r="342" ht="22.5" customHeight="1">
      <c r="A342" s="113">
        <f t="shared" si="12"/>
        <v>341</v>
      </c>
      <c r="B342" s="98" t="str">
        <f t="array" ref="B342">_xlfn.XLOOKUP(A342,'Video Database'!L:L,'Video Database'!D:D,"")</f>
        <v>Erin</v>
      </c>
      <c r="C342" s="98" t="str">
        <f t="array" ref="C342">_xlfn.XLOOKUP(A342,'Video Database'!L:L,'Video Database'!E:E,"")</f>
        <v>Account 3</v>
      </c>
      <c r="D342" s="99" t="str">
        <f t="array" ref="D342">_xlfn.XLOOKUP(A342,'Video Database'!L:L,'Video Database'!G:G,"")</f>
        <v>Peta Jane Self-Tan Starter Kit Medium</v>
      </c>
      <c r="E342" s="100">
        <f t="array" ref="E342">_xlfn.XLOOKUP(A342,'Video Database'!L:L,'Video Database'!H:H,"")</f>
        <v>1.1</v>
      </c>
      <c r="F342" s="101">
        <v>0.0</v>
      </c>
      <c r="G342" s="87">
        <v>0.0</v>
      </c>
      <c r="H342" s="114">
        <f t="array" ref="H342">_xlfn.XLOOKUP(A342,'Video Database'!L:L,'Video Database'!A:A,"")</f>
        <v>46188</v>
      </c>
      <c r="I342" s="103">
        <v>46201.0</v>
      </c>
      <c r="J342" s="104">
        <v>0.0</v>
      </c>
      <c r="K342" s="105"/>
      <c r="L342" s="105" t="str">
        <f t="shared" si="1"/>
        <v/>
      </c>
      <c r="O342" s="106" t="str">
        <f t="shared" si="2"/>
        <v>#N/A</v>
      </c>
      <c r="P342" s="106" t="str">
        <f t="shared" si="3"/>
        <v>#N/A</v>
      </c>
      <c r="Q342" s="84" t="str">
        <f t="shared" si="4"/>
        <v>#N/A</v>
      </c>
      <c r="R342" s="84" t="str">
        <f t="shared" si="5"/>
        <v>#N/A</v>
      </c>
      <c r="S342" s="107">
        <f t="shared" si="6"/>
        <v>-1.1</v>
      </c>
      <c r="T342" s="108">
        <f t="shared" si="7"/>
        <v>-1</v>
      </c>
      <c r="U342" s="106" t="str">
        <f t="shared" si="8"/>
        <v>#N/A</v>
      </c>
      <c r="V342" s="84" t="str">
        <f t="shared" si="9"/>
        <v/>
      </c>
      <c r="W342" s="109" t="str">
        <f t="shared" si="10"/>
        <v/>
      </c>
      <c r="X342" s="109" t="str">
        <f t="shared" si="11"/>
        <v/>
      </c>
      <c r="Y342" s="110" t="str">
        <f t="array" ref="Y342">_xlfn.XLOOKUP(A342,'Video Database'!L:L,'Video Database'!M:M,"")</f>
        <v>Bottom of Funnel</v>
      </c>
    </row>
    <row r="343" ht="22.5" customHeight="1">
      <c r="A343" s="113">
        <f t="shared" si="12"/>
        <v>342</v>
      </c>
      <c r="B343" s="98" t="str">
        <f t="array" ref="B343">_xlfn.XLOOKUP(A343,'Video Database'!L:L,'Video Database'!D:D,"")</f>
        <v>Blakely</v>
      </c>
      <c r="C343" s="98" t="str">
        <f t="array" ref="C343">_xlfn.XLOOKUP(A343,'Video Database'!L:L,'Video Database'!E:E,"")</f>
        <v>Account 3</v>
      </c>
      <c r="D343" s="99" t="str">
        <f t="array" ref="D343">_xlfn.XLOOKUP(A343,'Video Database'!L:L,'Video Database'!G:G,"")</f>
        <v>Nutricost Creatine Monohydrate</v>
      </c>
      <c r="E343" s="100">
        <f t="array" ref="E343">_xlfn.XLOOKUP(A343,'Video Database'!L:L,'Video Database'!H:H,"")</f>
        <v>0.11</v>
      </c>
      <c r="F343" s="101">
        <v>0.0</v>
      </c>
      <c r="G343" s="87">
        <v>0.0</v>
      </c>
      <c r="H343" s="114">
        <f t="array" ref="H343">_xlfn.XLOOKUP(A343,'Video Database'!L:L,'Video Database'!A:A,"")</f>
        <v>46188</v>
      </c>
      <c r="I343" s="103">
        <v>46201.0</v>
      </c>
      <c r="J343" s="104">
        <v>0.0</v>
      </c>
      <c r="K343" s="105"/>
      <c r="L343" s="105" t="str">
        <f t="shared" si="1"/>
        <v/>
      </c>
      <c r="O343" s="106" t="str">
        <f t="shared" si="2"/>
        <v>#N/A</v>
      </c>
      <c r="P343" s="106" t="str">
        <f t="shared" si="3"/>
        <v>#N/A</v>
      </c>
      <c r="Q343" s="84" t="str">
        <f t="shared" si="4"/>
        <v>#N/A</v>
      </c>
      <c r="R343" s="84" t="str">
        <f t="shared" si="5"/>
        <v>#N/A</v>
      </c>
      <c r="S343" s="107">
        <f t="shared" si="6"/>
        <v>-0.11</v>
      </c>
      <c r="T343" s="108">
        <f t="shared" si="7"/>
        <v>-1</v>
      </c>
      <c r="U343" s="106" t="str">
        <f t="shared" si="8"/>
        <v>#N/A</v>
      </c>
      <c r="V343" s="84" t="str">
        <f t="shared" si="9"/>
        <v/>
      </c>
      <c r="W343" s="109" t="str">
        <f t="shared" si="10"/>
        <v/>
      </c>
      <c r="X343" s="109" t="str">
        <f t="shared" si="11"/>
        <v/>
      </c>
      <c r="Y343" s="110" t="str">
        <f t="array" ref="Y343">_xlfn.XLOOKUP(A343,'Video Database'!L:L,'Video Database'!M:M,"")</f>
        <v>Product Overlay</v>
      </c>
    </row>
    <row r="344" ht="22.5" customHeight="1">
      <c r="A344" s="113">
        <f t="shared" si="12"/>
        <v>343</v>
      </c>
      <c r="B344" s="98" t="str">
        <f t="array" ref="B344">_xlfn.XLOOKUP(A344,'Video Database'!L:L,'Video Database'!D:D,"")</f>
        <v>Blakely</v>
      </c>
      <c r="C344" s="98" t="str">
        <f t="array" ref="C344">_xlfn.XLOOKUP(A344,'Video Database'!L:L,'Video Database'!E:E,"")</f>
        <v>Account 3</v>
      </c>
      <c r="D344" s="99" t="str">
        <f t="array" ref="D344">_xlfn.XLOOKUP(A344,'Video Database'!L:L,'Video Database'!G:G,"")</f>
        <v>Nello Supercalm Drink Mix</v>
      </c>
      <c r="E344" s="100">
        <f t="array" ref="E344">_xlfn.XLOOKUP(A344,'Video Database'!L:L,'Video Database'!H:H,"")</f>
        <v>0.11</v>
      </c>
      <c r="F344" s="101">
        <v>0.0</v>
      </c>
      <c r="G344" s="87">
        <v>0.0</v>
      </c>
      <c r="H344" s="114">
        <f t="array" ref="H344">_xlfn.XLOOKUP(A344,'Video Database'!L:L,'Video Database'!A:A,"")</f>
        <v>46188</v>
      </c>
      <c r="I344" s="103">
        <v>46201.0</v>
      </c>
      <c r="J344" s="104">
        <v>0.0</v>
      </c>
      <c r="K344" s="105"/>
      <c r="L344" s="105" t="str">
        <f t="shared" si="1"/>
        <v/>
      </c>
      <c r="O344" s="106" t="str">
        <f t="shared" si="2"/>
        <v>#N/A</v>
      </c>
      <c r="P344" s="106" t="str">
        <f t="shared" si="3"/>
        <v>#N/A</v>
      </c>
      <c r="Q344" s="84" t="str">
        <f t="shared" si="4"/>
        <v>#N/A</v>
      </c>
      <c r="R344" s="84" t="str">
        <f t="shared" si="5"/>
        <v>#N/A</v>
      </c>
      <c r="S344" s="107">
        <f t="shared" si="6"/>
        <v>-0.11</v>
      </c>
      <c r="T344" s="108">
        <f t="shared" si="7"/>
        <v>-1</v>
      </c>
      <c r="U344" s="106" t="str">
        <f t="shared" si="8"/>
        <v>#N/A</v>
      </c>
      <c r="V344" s="84" t="str">
        <f t="shared" si="9"/>
        <v/>
      </c>
      <c r="W344" s="109" t="str">
        <f t="shared" si="10"/>
        <v/>
      </c>
      <c r="X344" s="109" t="str">
        <f t="shared" si="11"/>
        <v/>
      </c>
      <c r="Y344" s="110" t="str">
        <f t="array" ref="Y344">_xlfn.XLOOKUP(A344,'Video Database'!L:L,'Video Database'!M:M,"")</f>
        <v>Product Overlay</v>
      </c>
    </row>
    <row r="345" ht="22.5" customHeight="1">
      <c r="A345" s="113">
        <f t="shared" si="12"/>
        <v>344</v>
      </c>
      <c r="B345" s="98" t="str">
        <f t="array" ref="B345">_xlfn.XLOOKUP(A345,'Video Database'!L:L,'Video Database'!D:D,"")</f>
        <v>Blakely</v>
      </c>
      <c r="C345" s="98" t="str">
        <f t="array" ref="C345">_xlfn.XLOOKUP(A345,'Video Database'!L:L,'Video Database'!E:E,"")</f>
        <v>Account 4</v>
      </c>
      <c r="D345" s="99" t="str">
        <f t="array" ref="D345">_xlfn.XLOOKUP(A345,'Video Database'!L:L,'Video Database'!G:G,"")</f>
        <v>Squish Energy Preworkout Jello Shots</v>
      </c>
      <c r="E345" s="100">
        <f t="array" ref="E345">_xlfn.XLOOKUP(A345,'Video Database'!L:L,'Video Database'!H:H,"")</f>
        <v>0.11</v>
      </c>
      <c r="F345" s="101">
        <v>0.0</v>
      </c>
      <c r="G345" s="87">
        <v>0.0</v>
      </c>
      <c r="H345" s="114">
        <f t="array" ref="H345">_xlfn.XLOOKUP(A345,'Video Database'!L:L,'Video Database'!A:A,"")</f>
        <v>46188</v>
      </c>
      <c r="I345" s="103">
        <v>46201.0</v>
      </c>
      <c r="J345" s="104">
        <v>0.0</v>
      </c>
      <c r="K345" s="105"/>
      <c r="L345" s="105" t="str">
        <f t="shared" si="1"/>
        <v/>
      </c>
      <c r="O345" s="106" t="str">
        <f t="shared" si="2"/>
        <v>#N/A</v>
      </c>
      <c r="P345" s="106" t="str">
        <f t="shared" si="3"/>
        <v>#N/A</v>
      </c>
      <c r="Q345" s="84" t="str">
        <f t="shared" si="4"/>
        <v>#N/A</v>
      </c>
      <c r="R345" s="84" t="str">
        <f t="shared" si="5"/>
        <v>#N/A</v>
      </c>
      <c r="S345" s="107">
        <f t="shared" si="6"/>
        <v>-0.11</v>
      </c>
      <c r="T345" s="108">
        <f t="shared" si="7"/>
        <v>-1</v>
      </c>
      <c r="U345" s="106" t="str">
        <f t="shared" si="8"/>
        <v>#N/A</v>
      </c>
      <c r="V345" s="84" t="str">
        <f t="shared" si="9"/>
        <v/>
      </c>
      <c r="W345" s="109" t="str">
        <f t="shared" si="10"/>
        <v/>
      </c>
      <c r="X345" s="109" t="str">
        <f t="shared" si="11"/>
        <v/>
      </c>
      <c r="Y345" s="110" t="str">
        <f t="array" ref="Y345">_xlfn.XLOOKUP(A345,'Video Database'!L:L,'Video Database'!M:M,"")</f>
        <v>Bottom of Funnel</v>
      </c>
    </row>
    <row r="346" ht="22.5" customHeight="1">
      <c r="A346" s="113">
        <f t="shared" si="12"/>
        <v>345</v>
      </c>
      <c r="B346" s="98" t="str">
        <f t="array" ref="B346">_xlfn.XLOOKUP(A346,'Video Database'!L:L,'Video Database'!D:D,"")</f>
        <v>Blakely</v>
      </c>
      <c r="C346" s="98" t="str">
        <f t="array" ref="C346">_xlfn.XLOOKUP(A346,'Video Database'!L:L,'Video Database'!E:E,"")</f>
        <v>Account 4</v>
      </c>
      <c r="D346" s="99" t="str">
        <f t="array" ref="D346">_xlfn.XLOOKUP(A346,'Video Database'!L:L,'Video Database'!G:G,"")</f>
        <v>Nello Supercalm Drink Mix</v>
      </c>
      <c r="E346" s="100">
        <f t="array" ref="E346">_xlfn.XLOOKUP(A346,'Video Database'!L:L,'Video Database'!H:H,"")</f>
        <v>0.11</v>
      </c>
      <c r="F346" s="101">
        <v>0.0</v>
      </c>
      <c r="G346" s="87">
        <v>0.0</v>
      </c>
      <c r="H346" s="114">
        <f t="array" ref="H346">_xlfn.XLOOKUP(A346,'Video Database'!L:L,'Video Database'!A:A,"")</f>
        <v>46188</v>
      </c>
      <c r="I346" s="103">
        <v>46201.0</v>
      </c>
      <c r="J346" s="104">
        <v>0.0</v>
      </c>
      <c r="K346" s="105"/>
      <c r="L346" s="105" t="str">
        <f t="shared" si="1"/>
        <v/>
      </c>
      <c r="O346" s="106" t="str">
        <f t="shared" si="2"/>
        <v>#N/A</v>
      </c>
      <c r="P346" s="106" t="str">
        <f t="shared" si="3"/>
        <v>#N/A</v>
      </c>
      <c r="Q346" s="84" t="str">
        <f t="shared" si="4"/>
        <v>#N/A</v>
      </c>
      <c r="R346" s="84" t="str">
        <f t="shared" si="5"/>
        <v>#N/A</v>
      </c>
      <c r="S346" s="107">
        <f t="shared" si="6"/>
        <v>-0.11</v>
      </c>
      <c r="T346" s="108">
        <f t="shared" si="7"/>
        <v>-1</v>
      </c>
      <c r="U346" s="106" t="str">
        <f t="shared" si="8"/>
        <v>#N/A</v>
      </c>
      <c r="V346" s="84" t="str">
        <f t="shared" si="9"/>
        <v/>
      </c>
      <c r="W346" s="109" t="str">
        <f t="shared" si="10"/>
        <v/>
      </c>
      <c r="X346" s="109" t="str">
        <f t="shared" si="11"/>
        <v/>
      </c>
      <c r="Y346" s="110" t="str">
        <f t="array" ref="Y346">_xlfn.XLOOKUP(A346,'Video Database'!L:L,'Video Database'!M:M,"")</f>
        <v>Bottom of Funnel</v>
      </c>
    </row>
    <row r="347" ht="22.5" customHeight="1">
      <c r="A347" s="113">
        <f t="shared" si="12"/>
        <v>346</v>
      </c>
      <c r="B347" s="98" t="str">
        <f t="array" ref="B347">_xlfn.XLOOKUP(A347,'Video Database'!L:L,'Video Database'!D:D,"")</f>
        <v>Blakely</v>
      </c>
      <c r="C347" s="98" t="str">
        <f t="array" ref="C347">_xlfn.XLOOKUP(A347,'Video Database'!L:L,'Video Database'!E:E,"")</f>
        <v>Account 4</v>
      </c>
      <c r="D347" s="99" t="str">
        <f t="array" ref="D347">_xlfn.XLOOKUP(A347,'Video Database'!L:L,'Video Database'!G:G,"")</f>
        <v>Beast Bites Creatine Gummies</v>
      </c>
      <c r="E347" s="100">
        <f t="array" ref="E347">_xlfn.XLOOKUP(A347,'Video Database'!L:L,'Video Database'!H:H,"")</f>
        <v>0.11</v>
      </c>
      <c r="F347" s="101">
        <v>0.0</v>
      </c>
      <c r="G347" s="87">
        <v>0.0</v>
      </c>
      <c r="H347" s="114">
        <f t="array" ref="H347">_xlfn.XLOOKUP(A347,'Video Database'!L:L,'Video Database'!A:A,"")</f>
        <v>46188</v>
      </c>
      <c r="I347" s="103">
        <v>46201.0</v>
      </c>
      <c r="J347" s="104">
        <v>0.0</v>
      </c>
      <c r="K347" s="105"/>
      <c r="L347" s="105" t="str">
        <f t="shared" si="1"/>
        <v/>
      </c>
      <c r="O347" s="106" t="str">
        <f t="shared" si="2"/>
        <v>#N/A</v>
      </c>
      <c r="P347" s="106" t="str">
        <f t="shared" si="3"/>
        <v>#N/A</v>
      </c>
      <c r="Q347" s="84" t="str">
        <f t="shared" si="4"/>
        <v>#N/A</v>
      </c>
      <c r="R347" s="84" t="str">
        <f t="shared" si="5"/>
        <v>#N/A</v>
      </c>
      <c r="S347" s="107">
        <f t="shared" si="6"/>
        <v>-0.11</v>
      </c>
      <c r="T347" s="108">
        <f t="shared" si="7"/>
        <v>-1</v>
      </c>
      <c r="U347" s="106" t="str">
        <f t="shared" si="8"/>
        <v>#N/A</v>
      </c>
      <c r="V347" s="84" t="str">
        <f t="shared" si="9"/>
        <v/>
      </c>
      <c r="W347" s="109" t="str">
        <f t="shared" si="10"/>
        <v/>
      </c>
      <c r="X347" s="109" t="str">
        <f t="shared" si="11"/>
        <v/>
      </c>
      <c r="Y347" s="110" t="str">
        <f t="array" ref="Y347">_xlfn.XLOOKUP(A347,'Video Database'!L:L,'Video Database'!M:M,"")</f>
        <v>Bottom of Funnel</v>
      </c>
    </row>
    <row r="348" ht="22.5" customHeight="1">
      <c r="A348" s="113">
        <f t="shared" si="12"/>
        <v>347</v>
      </c>
      <c r="B348" s="98" t="str">
        <f t="array" ref="B348">_xlfn.XLOOKUP(A348,'Video Database'!L:L,'Video Database'!D:D,"")</f>
        <v>Blakely</v>
      </c>
      <c r="C348" s="98" t="str">
        <f t="array" ref="C348">_xlfn.XLOOKUP(A348,'Video Database'!L:L,'Video Database'!E:E,"")</f>
        <v>Account 4</v>
      </c>
      <c r="D348" s="99" t="str">
        <f t="array" ref="D348">_xlfn.XLOOKUP(A348,'Video Database'!L:L,'Video Database'!G:G,"")</f>
        <v>Mushroom Coffee</v>
      </c>
      <c r="E348" s="100">
        <f t="array" ref="E348">_xlfn.XLOOKUP(A348,'Video Database'!L:L,'Video Database'!H:H,"")</f>
        <v>0.11</v>
      </c>
      <c r="F348" s="101">
        <v>0.0</v>
      </c>
      <c r="G348" s="87">
        <v>0.0</v>
      </c>
      <c r="H348" s="114">
        <f t="array" ref="H348">_xlfn.XLOOKUP(A348,'Video Database'!L:L,'Video Database'!A:A,"")</f>
        <v>46188</v>
      </c>
      <c r="I348" s="103">
        <v>46201.0</v>
      </c>
      <c r="J348" s="104">
        <v>0.0</v>
      </c>
      <c r="K348" s="105"/>
      <c r="L348" s="105" t="str">
        <f t="shared" si="1"/>
        <v/>
      </c>
      <c r="O348" s="106" t="str">
        <f t="shared" si="2"/>
        <v>#N/A</v>
      </c>
      <c r="P348" s="106" t="str">
        <f t="shared" si="3"/>
        <v>#N/A</v>
      </c>
      <c r="Q348" s="84" t="str">
        <f t="shared" si="4"/>
        <v>#N/A</v>
      </c>
      <c r="R348" s="84" t="str">
        <f t="shared" si="5"/>
        <v>#N/A</v>
      </c>
      <c r="S348" s="107">
        <f t="shared" si="6"/>
        <v>-0.11</v>
      </c>
      <c r="T348" s="108">
        <f t="shared" si="7"/>
        <v>-1</v>
      </c>
      <c r="U348" s="106" t="str">
        <f t="shared" si="8"/>
        <v>#N/A</v>
      </c>
      <c r="V348" s="84" t="str">
        <f t="shared" si="9"/>
        <v/>
      </c>
      <c r="W348" s="109" t="str">
        <f t="shared" si="10"/>
        <v/>
      </c>
      <c r="X348" s="109" t="str">
        <f t="shared" si="11"/>
        <v/>
      </c>
      <c r="Y348" s="110" t="str">
        <f t="array" ref="Y348">_xlfn.XLOOKUP(A348,'Video Database'!L:L,'Video Database'!M:M,"")</f>
        <v>Bottom of Funnel</v>
      </c>
    </row>
    <row r="349" ht="22.5" customHeight="1">
      <c r="A349" s="113">
        <f t="shared" si="12"/>
        <v>348</v>
      </c>
      <c r="B349" s="98" t="str">
        <f t="array" ref="B349">_xlfn.XLOOKUP(A349,'Video Database'!L:L,'Video Database'!D:D,"")</f>
        <v>Blakely</v>
      </c>
      <c r="C349" s="98" t="str">
        <f t="array" ref="C349">_xlfn.XLOOKUP(A349,'Video Database'!L:L,'Video Database'!E:E,"")</f>
        <v>Account 4</v>
      </c>
      <c r="D349" s="99" t="str">
        <f t="array" ref="D349">_xlfn.XLOOKUP(A349,'Video Database'!L:L,'Video Database'!G:G,"")</f>
        <v>Physician's Choice Probiotic Gummies</v>
      </c>
      <c r="E349" s="100">
        <f t="array" ref="E349">_xlfn.XLOOKUP(A349,'Video Database'!L:L,'Video Database'!H:H,"")</f>
        <v>0.11</v>
      </c>
      <c r="F349" s="101">
        <v>0.0</v>
      </c>
      <c r="G349" s="87">
        <v>0.0</v>
      </c>
      <c r="H349" s="114">
        <f t="array" ref="H349">_xlfn.XLOOKUP(A349,'Video Database'!L:L,'Video Database'!A:A,"")</f>
        <v>46188</v>
      </c>
      <c r="I349" s="103">
        <v>46201.0</v>
      </c>
      <c r="J349" s="104">
        <v>0.0</v>
      </c>
      <c r="K349" s="105"/>
      <c r="L349" s="105" t="str">
        <f t="shared" si="1"/>
        <v/>
      </c>
      <c r="O349" s="106" t="str">
        <f t="shared" si="2"/>
        <v>#N/A</v>
      </c>
      <c r="P349" s="106" t="str">
        <f t="shared" si="3"/>
        <v>#N/A</v>
      </c>
      <c r="Q349" s="84" t="str">
        <f t="shared" si="4"/>
        <v>#N/A</v>
      </c>
      <c r="R349" s="84" t="str">
        <f t="shared" si="5"/>
        <v>#N/A</v>
      </c>
      <c r="S349" s="107">
        <f t="shared" si="6"/>
        <v>-0.11</v>
      </c>
      <c r="T349" s="108">
        <f t="shared" si="7"/>
        <v>-1</v>
      </c>
      <c r="U349" s="106" t="str">
        <f t="shared" si="8"/>
        <v>#N/A</v>
      </c>
      <c r="V349" s="84" t="str">
        <f t="shared" si="9"/>
        <v/>
      </c>
      <c r="W349" s="109" t="str">
        <f t="shared" si="10"/>
        <v/>
      </c>
      <c r="X349" s="109" t="str">
        <f t="shared" si="11"/>
        <v/>
      </c>
      <c r="Y349" s="110" t="str">
        <f t="array" ref="Y349">_xlfn.XLOOKUP(A349,'Video Database'!L:L,'Video Database'!M:M,"")</f>
        <v>Bottom of Funnel</v>
      </c>
    </row>
    <row r="350" ht="22.5" customHeight="1">
      <c r="A350" s="113">
        <f t="shared" si="12"/>
        <v>349</v>
      </c>
      <c r="B350" s="98" t="str">
        <f t="array" ref="B350">_xlfn.XLOOKUP(A350,'Video Database'!L:L,'Video Database'!D:D,"")</f>
        <v>Blakely</v>
      </c>
      <c r="C350" s="98" t="str">
        <f t="array" ref="C350">_xlfn.XLOOKUP(A350,'Video Database'!L:L,'Video Database'!E:E,"")</f>
        <v>Account 4</v>
      </c>
      <c r="D350" s="99" t="str">
        <f t="array" ref="D350">_xlfn.XLOOKUP(A350,'Video Database'!L:L,'Video Database'!G:G,"")</f>
        <v>BetterAlt Shilajit Honey Sticks</v>
      </c>
      <c r="E350" s="100">
        <f t="array" ref="E350">_xlfn.XLOOKUP(A350,'Video Database'!L:L,'Video Database'!H:H,"")</f>
        <v>0.11</v>
      </c>
      <c r="F350" s="101">
        <v>0.0</v>
      </c>
      <c r="G350" s="87">
        <v>0.0</v>
      </c>
      <c r="H350" s="114">
        <f t="array" ref="H350">_xlfn.XLOOKUP(A350,'Video Database'!L:L,'Video Database'!A:A,"")</f>
        <v>46188</v>
      </c>
      <c r="I350" s="103">
        <v>46201.0</v>
      </c>
      <c r="J350" s="104">
        <v>0.0</v>
      </c>
      <c r="K350" s="105"/>
      <c r="L350" s="105" t="str">
        <f t="shared" si="1"/>
        <v/>
      </c>
      <c r="O350" s="106" t="str">
        <f t="shared" si="2"/>
        <v>#N/A</v>
      </c>
      <c r="P350" s="106" t="str">
        <f t="shared" si="3"/>
        <v>#N/A</v>
      </c>
      <c r="Q350" s="84" t="str">
        <f t="shared" si="4"/>
        <v>#N/A</v>
      </c>
      <c r="R350" s="84" t="str">
        <f t="shared" si="5"/>
        <v>#N/A</v>
      </c>
      <c r="S350" s="107">
        <f t="shared" si="6"/>
        <v>-0.11</v>
      </c>
      <c r="T350" s="108">
        <f t="shared" si="7"/>
        <v>-1</v>
      </c>
      <c r="U350" s="106" t="str">
        <f t="shared" si="8"/>
        <v>#N/A</v>
      </c>
      <c r="V350" s="84" t="str">
        <f t="shared" si="9"/>
        <v/>
      </c>
      <c r="W350" s="109" t="str">
        <f t="shared" si="10"/>
        <v/>
      </c>
      <c r="X350" s="109" t="str">
        <f t="shared" si="11"/>
        <v/>
      </c>
      <c r="Y350" s="110" t="str">
        <f t="array" ref="Y350">_xlfn.XLOOKUP(A350,'Video Database'!L:L,'Video Database'!M:M,"")</f>
        <v>Bottom of Funnel</v>
      </c>
    </row>
    <row r="351" ht="22.5" customHeight="1">
      <c r="A351" s="113">
        <f t="shared" si="12"/>
        <v>350</v>
      </c>
      <c r="B351" s="98" t="str">
        <f t="array" ref="B351">_xlfn.XLOOKUP(A351,'Video Database'!L:L,'Video Database'!D:D,"")</f>
        <v>Blakely</v>
      </c>
      <c r="C351" s="98" t="str">
        <f t="array" ref="C351">_xlfn.XLOOKUP(A351,'Video Database'!L:L,'Video Database'!E:E,"")</f>
        <v>Account 4</v>
      </c>
      <c r="D351" s="99" t="str">
        <f t="array" ref="D351">_xlfn.XLOOKUP(A351,'Video Database'!L:L,'Video Database'!G:G,"")</f>
        <v>Nutricost Creatine Monohydrate</v>
      </c>
      <c r="E351" s="100">
        <f t="array" ref="E351">_xlfn.XLOOKUP(A351,'Video Database'!L:L,'Video Database'!H:H,"")</f>
        <v>0.11</v>
      </c>
      <c r="F351" s="101">
        <v>0.0</v>
      </c>
      <c r="G351" s="87">
        <v>0.0</v>
      </c>
      <c r="H351" s="114">
        <f t="array" ref="H351">_xlfn.XLOOKUP(A351,'Video Database'!L:L,'Video Database'!A:A,"")</f>
        <v>46188</v>
      </c>
      <c r="I351" s="103">
        <v>46201.0</v>
      </c>
      <c r="J351" s="104">
        <v>0.0</v>
      </c>
      <c r="K351" s="105"/>
      <c r="L351" s="105" t="str">
        <f t="shared" si="1"/>
        <v/>
      </c>
      <c r="O351" s="106" t="str">
        <f t="shared" si="2"/>
        <v>#N/A</v>
      </c>
      <c r="P351" s="106" t="str">
        <f t="shared" si="3"/>
        <v>#N/A</v>
      </c>
      <c r="Q351" s="84" t="str">
        <f t="shared" si="4"/>
        <v>#N/A</v>
      </c>
      <c r="R351" s="84" t="str">
        <f t="shared" si="5"/>
        <v>#N/A</v>
      </c>
      <c r="S351" s="107">
        <f t="shared" si="6"/>
        <v>-0.11</v>
      </c>
      <c r="T351" s="108">
        <f t="shared" si="7"/>
        <v>-1</v>
      </c>
      <c r="U351" s="106" t="str">
        <f t="shared" si="8"/>
        <v>#N/A</v>
      </c>
      <c r="V351" s="84" t="str">
        <f t="shared" si="9"/>
        <v/>
      </c>
      <c r="W351" s="109" t="str">
        <f t="shared" si="10"/>
        <v/>
      </c>
      <c r="X351" s="109" t="str">
        <f t="shared" si="11"/>
        <v/>
      </c>
      <c r="Y351" s="110" t="str">
        <f t="array" ref="Y351">_xlfn.XLOOKUP(A351,'Video Database'!L:L,'Video Database'!M:M,"")</f>
        <v>Bottom of Funnel</v>
      </c>
    </row>
    <row r="352" ht="22.5" customHeight="1">
      <c r="A352" s="113">
        <f t="shared" si="12"/>
        <v>351</v>
      </c>
      <c r="B352" s="98" t="str">
        <f t="array" ref="B352">_xlfn.XLOOKUP(A352,'Video Database'!L:L,'Video Database'!D:D,"")</f>
        <v>Blakely</v>
      </c>
      <c r="C352" s="98" t="str">
        <f t="array" ref="C352">_xlfn.XLOOKUP(A352,'Video Database'!L:L,'Video Database'!E:E,"")</f>
        <v>Account 4</v>
      </c>
      <c r="D352" s="99" t="str">
        <f t="array" ref="D352">_xlfn.XLOOKUP(A352,'Video Database'!L:L,'Video Database'!G:G,"")</f>
        <v>Neurogum Watermelon</v>
      </c>
      <c r="E352" s="100">
        <f t="array" ref="E352">_xlfn.XLOOKUP(A352,'Video Database'!L:L,'Video Database'!H:H,"")</f>
        <v>0.11</v>
      </c>
      <c r="F352" s="101">
        <v>0.0</v>
      </c>
      <c r="G352" s="87">
        <v>0.0</v>
      </c>
      <c r="H352" s="114">
        <f t="array" ref="H352">_xlfn.XLOOKUP(A352,'Video Database'!L:L,'Video Database'!A:A,"")</f>
        <v>46188</v>
      </c>
      <c r="I352" s="103">
        <v>46201.0</v>
      </c>
      <c r="J352" s="104">
        <v>0.0</v>
      </c>
      <c r="K352" s="105"/>
      <c r="L352" s="105" t="str">
        <f t="shared" si="1"/>
        <v/>
      </c>
      <c r="O352" s="106" t="str">
        <f t="shared" si="2"/>
        <v>#N/A</v>
      </c>
      <c r="P352" s="106" t="str">
        <f t="shared" si="3"/>
        <v>#N/A</v>
      </c>
      <c r="Q352" s="84" t="str">
        <f t="shared" si="4"/>
        <v>#N/A</v>
      </c>
      <c r="R352" s="84" t="str">
        <f t="shared" si="5"/>
        <v>#N/A</v>
      </c>
      <c r="S352" s="107">
        <f t="shared" si="6"/>
        <v>-0.11</v>
      </c>
      <c r="T352" s="108">
        <f t="shared" si="7"/>
        <v>-1</v>
      </c>
      <c r="U352" s="106" t="str">
        <f t="shared" si="8"/>
        <v>#N/A</v>
      </c>
      <c r="V352" s="84" t="str">
        <f t="shared" si="9"/>
        <v/>
      </c>
      <c r="W352" s="109" t="str">
        <f t="shared" si="10"/>
        <v/>
      </c>
      <c r="X352" s="109" t="str">
        <f t="shared" si="11"/>
        <v/>
      </c>
      <c r="Y352" s="110" t="str">
        <f t="array" ref="Y352">_xlfn.XLOOKUP(A352,'Video Database'!L:L,'Video Database'!M:M,"")</f>
        <v>Bottom of Funnel</v>
      </c>
    </row>
    <row r="353" ht="22.5" customHeight="1">
      <c r="A353" s="113">
        <f t="shared" si="12"/>
        <v>352</v>
      </c>
      <c r="B353" s="98" t="str">
        <f t="array" ref="B353">_xlfn.XLOOKUP(A353,'Video Database'!L:L,'Video Database'!D:D,"")</f>
        <v>Blakely</v>
      </c>
      <c r="C353" s="98" t="str">
        <f t="array" ref="C353">_xlfn.XLOOKUP(A353,'Video Database'!L:L,'Video Database'!E:E,"")</f>
        <v>Account 4</v>
      </c>
      <c r="D353" s="99" t="str">
        <f t="array" ref="D353">_xlfn.XLOOKUP(A353,'Video Database'!L:L,'Video Database'!G:G,"")</f>
        <v>BioEmblem Magnesium</v>
      </c>
      <c r="E353" s="100">
        <f t="array" ref="E353">_xlfn.XLOOKUP(A353,'Video Database'!L:L,'Video Database'!H:H,"")</f>
        <v>0.11</v>
      </c>
      <c r="F353" s="101">
        <v>0.0</v>
      </c>
      <c r="G353" s="87">
        <v>0.0</v>
      </c>
      <c r="H353" s="114">
        <f t="array" ref="H353">_xlfn.XLOOKUP(A353,'Video Database'!L:L,'Video Database'!A:A,"")</f>
        <v>46188</v>
      </c>
      <c r="I353" s="103">
        <v>46201.0</v>
      </c>
      <c r="J353" s="104">
        <v>0.0</v>
      </c>
      <c r="K353" s="105"/>
      <c r="L353" s="105" t="str">
        <f t="shared" si="1"/>
        <v/>
      </c>
      <c r="O353" s="106" t="str">
        <f t="shared" si="2"/>
        <v>#N/A</v>
      </c>
      <c r="P353" s="106" t="str">
        <f t="shared" si="3"/>
        <v>#N/A</v>
      </c>
      <c r="Q353" s="84" t="str">
        <f t="shared" si="4"/>
        <v>#N/A</v>
      </c>
      <c r="R353" s="84" t="str">
        <f t="shared" si="5"/>
        <v>#N/A</v>
      </c>
      <c r="S353" s="107">
        <f t="shared" si="6"/>
        <v>-0.11</v>
      </c>
      <c r="T353" s="108">
        <f t="shared" si="7"/>
        <v>-1</v>
      </c>
      <c r="U353" s="106" t="str">
        <f t="shared" si="8"/>
        <v>#N/A</v>
      </c>
      <c r="V353" s="84" t="str">
        <f t="shared" si="9"/>
        <v/>
      </c>
      <c r="W353" s="109" t="str">
        <f t="shared" si="10"/>
        <v/>
      </c>
      <c r="X353" s="109" t="str">
        <f t="shared" si="11"/>
        <v/>
      </c>
      <c r="Y353" s="110" t="str">
        <f t="array" ref="Y353">_xlfn.XLOOKUP(A353,'Video Database'!L:L,'Video Database'!M:M,"")</f>
        <v>Bottom of Funnel</v>
      </c>
    </row>
    <row r="354" ht="22.5" customHeight="1">
      <c r="A354" s="113">
        <f t="shared" si="12"/>
        <v>353</v>
      </c>
      <c r="B354" s="98" t="str">
        <f t="array" ref="B354">_xlfn.XLOOKUP(A354,'Video Database'!L:L,'Video Database'!D:D,"")</f>
        <v>Blakely</v>
      </c>
      <c r="C354" s="98" t="str">
        <f t="array" ref="C354">_xlfn.XLOOKUP(A354,'Video Database'!L:L,'Video Database'!E:E,"")</f>
        <v>Account 4</v>
      </c>
      <c r="D354" s="99" t="str">
        <f t="array" ref="D354">_xlfn.XLOOKUP(A354,'Video Database'!L:L,'Video Database'!G:G,"")</f>
        <v>Goli Women's Complete Multi Gummy</v>
      </c>
      <c r="E354" s="100">
        <f t="array" ref="E354">_xlfn.XLOOKUP(A354,'Video Database'!L:L,'Video Database'!H:H,"")</f>
        <v>0.11</v>
      </c>
      <c r="F354" s="101">
        <v>0.0</v>
      </c>
      <c r="G354" s="87">
        <v>0.0</v>
      </c>
      <c r="H354" s="114">
        <f t="array" ref="H354">_xlfn.XLOOKUP(A354,'Video Database'!L:L,'Video Database'!A:A,"")</f>
        <v>46188</v>
      </c>
      <c r="I354" s="103">
        <v>46201.0</v>
      </c>
      <c r="J354" s="104">
        <v>0.0</v>
      </c>
      <c r="K354" s="105"/>
      <c r="L354" s="105" t="str">
        <f t="shared" si="1"/>
        <v/>
      </c>
      <c r="O354" s="106" t="str">
        <f t="shared" si="2"/>
        <v>#N/A</v>
      </c>
      <c r="P354" s="106" t="str">
        <f t="shared" si="3"/>
        <v>#N/A</v>
      </c>
      <c r="Q354" s="84" t="str">
        <f t="shared" si="4"/>
        <v>#N/A</v>
      </c>
      <c r="R354" s="84" t="str">
        <f t="shared" si="5"/>
        <v>#N/A</v>
      </c>
      <c r="S354" s="107">
        <f t="shared" si="6"/>
        <v>-0.11</v>
      </c>
      <c r="T354" s="108">
        <f t="shared" si="7"/>
        <v>-1</v>
      </c>
      <c r="U354" s="106" t="str">
        <f t="shared" si="8"/>
        <v>#N/A</v>
      </c>
      <c r="V354" s="84" t="str">
        <f t="shared" si="9"/>
        <v/>
      </c>
      <c r="W354" s="109" t="str">
        <f t="shared" si="10"/>
        <v/>
      </c>
      <c r="X354" s="109" t="str">
        <f t="shared" si="11"/>
        <v/>
      </c>
      <c r="Y354" s="110" t="str">
        <f t="array" ref="Y354">_xlfn.XLOOKUP(A354,'Video Database'!L:L,'Video Database'!M:M,"")</f>
        <v>Bottom of Funnel</v>
      </c>
    </row>
    <row r="355" ht="22.5" customHeight="1">
      <c r="A355" s="113">
        <f t="shared" si="12"/>
        <v>354</v>
      </c>
      <c r="B355" s="98" t="str">
        <f t="array" ref="B355">_xlfn.XLOOKUP(A355,'Video Database'!L:L,'Video Database'!D:D,"")</f>
        <v>Blakely</v>
      </c>
      <c r="C355" s="98" t="str">
        <f t="array" ref="C355">_xlfn.XLOOKUP(A355,'Video Database'!L:L,'Video Database'!E:E,"")</f>
        <v>Account 4</v>
      </c>
      <c r="D355" s="99" t="str">
        <f t="array" ref="D355">_xlfn.XLOOKUP(A355,'Video Database'!L:L,'Video Database'!G:G,"")</f>
        <v>Olov Electric Shaver</v>
      </c>
      <c r="E355" s="100">
        <f t="array" ref="E355">_xlfn.XLOOKUP(A355,'Video Database'!L:L,'Video Database'!H:H,"")</f>
        <v>0.11</v>
      </c>
      <c r="F355" s="101">
        <v>0.0</v>
      </c>
      <c r="G355" s="87">
        <v>0.0</v>
      </c>
      <c r="H355" s="114">
        <f t="array" ref="H355">_xlfn.XLOOKUP(A355,'Video Database'!L:L,'Video Database'!A:A,"")</f>
        <v>46188</v>
      </c>
      <c r="I355" s="103">
        <v>46201.0</v>
      </c>
      <c r="J355" s="104">
        <v>0.0</v>
      </c>
      <c r="K355" s="105"/>
      <c r="L355" s="105" t="str">
        <f t="shared" si="1"/>
        <v/>
      </c>
      <c r="O355" s="106" t="str">
        <f t="shared" si="2"/>
        <v>#N/A</v>
      </c>
      <c r="P355" s="106" t="str">
        <f t="shared" si="3"/>
        <v>#N/A</v>
      </c>
      <c r="Q355" s="84" t="str">
        <f t="shared" si="4"/>
        <v>#N/A</v>
      </c>
      <c r="R355" s="84" t="str">
        <f t="shared" si="5"/>
        <v>#N/A</v>
      </c>
      <c r="S355" s="107">
        <f t="shared" si="6"/>
        <v>-0.11</v>
      </c>
      <c r="T355" s="108">
        <f t="shared" si="7"/>
        <v>-1</v>
      </c>
      <c r="U355" s="106" t="str">
        <f t="shared" si="8"/>
        <v>#N/A</v>
      </c>
      <c r="V355" s="84" t="str">
        <f t="shared" si="9"/>
        <v/>
      </c>
      <c r="W355" s="109" t="str">
        <f t="shared" si="10"/>
        <v/>
      </c>
      <c r="X355" s="109" t="str">
        <f t="shared" si="11"/>
        <v/>
      </c>
      <c r="Y355" s="110" t="str">
        <f t="array" ref="Y355">_xlfn.XLOOKUP(A355,'Video Database'!L:L,'Video Database'!M:M,"")</f>
        <v>Bottom of Funnel</v>
      </c>
    </row>
    <row r="356" ht="22.5" customHeight="1">
      <c r="A356" s="113">
        <f t="shared" si="12"/>
        <v>355</v>
      </c>
      <c r="B356" s="98" t="str">
        <f t="array" ref="B356">_xlfn.XLOOKUP(A356,'Video Database'!L:L,'Video Database'!D:D,"")</f>
        <v>Blakely</v>
      </c>
      <c r="C356" s="98" t="str">
        <f t="array" ref="C356">_xlfn.XLOOKUP(A356,'Video Database'!L:L,'Video Database'!E:E,"")</f>
        <v>Account 4</v>
      </c>
      <c r="D356" s="99" t="str">
        <f t="array" ref="D356">_xlfn.XLOOKUP(A356,'Video Database'!L:L,'Video Database'!G:G,"")</f>
        <v>Squish Energy Preworkout Jello Shots</v>
      </c>
      <c r="E356" s="100">
        <f t="array" ref="E356">_xlfn.XLOOKUP(A356,'Video Database'!L:L,'Video Database'!H:H,"")</f>
        <v>0.11</v>
      </c>
      <c r="F356" s="101">
        <v>0.0</v>
      </c>
      <c r="G356" s="87">
        <v>0.0</v>
      </c>
      <c r="H356" s="114">
        <f t="array" ref="H356">_xlfn.XLOOKUP(A356,'Video Database'!L:L,'Video Database'!A:A,"")</f>
        <v>46188</v>
      </c>
      <c r="I356" s="103">
        <v>46201.0</v>
      </c>
      <c r="J356" s="104">
        <v>0.0</v>
      </c>
      <c r="K356" s="105"/>
      <c r="L356" s="105" t="str">
        <f t="shared" si="1"/>
        <v/>
      </c>
      <c r="O356" s="106" t="str">
        <f t="shared" si="2"/>
        <v>#N/A</v>
      </c>
      <c r="P356" s="106" t="str">
        <f t="shared" si="3"/>
        <v>#N/A</v>
      </c>
      <c r="Q356" s="84" t="str">
        <f t="shared" si="4"/>
        <v>#N/A</v>
      </c>
      <c r="R356" s="84" t="str">
        <f t="shared" si="5"/>
        <v>#N/A</v>
      </c>
      <c r="S356" s="107">
        <f t="shared" si="6"/>
        <v>-0.11</v>
      </c>
      <c r="T356" s="108">
        <f t="shared" si="7"/>
        <v>-1</v>
      </c>
      <c r="U356" s="106" t="str">
        <f t="shared" si="8"/>
        <v>#N/A</v>
      </c>
      <c r="V356" s="84" t="str">
        <f t="shared" si="9"/>
        <v/>
      </c>
      <c r="W356" s="109" t="str">
        <f t="shared" si="10"/>
        <v/>
      </c>
      <c r="X356" s="109" t="str">
        <f t="shared" si="11"/>
        <v/>
      </c>
      <c r="Y356" s="110" t="str">
        <f t="array" ref="Y356">_xlfn.XLOOKUP(A356,'Video Database'!L:L,'Video Database'!M:M,"")</f>
        <v>Bottom of Funnel</v>
      </c>
    </row>
    <row r="357" ht="22.5" customHeight="1">
      <c r="A357" s="113">
        <f t="shared" si="12"/>
        <v>356</v>
      </c>
      <c r="B357" s="98" t="str">
        <f t="array" ref="B357">_xlfn.XLOOKUP(A357,'Video Database'!L:L,'Video Database'!D:D,"")</f>
        <v>Blakely</v>
      </c>
      <c r="C357" s="98" t="str">
        <f t="array" ref="C357">_xlfn.XLOOKUP(A357,'Video Database'!L:L,'Video Database'!E:E,"")</f>
        <v>Account 4</v>
      </c>
      <c r="D357" s="99" t="str">
        <f t="array" ref="D357">_xlfn.XLOOKUP(A357,'Video Database'!L:L,'Video Database'!G:G,"")</f>
        <v>BetterAlt Shilajit Honey Sticks</v>
      </c>
      <c r="E357" s="100">
        <f t="array" ref="E357">_xlfn.XLOOKUP(A357,'Video Database'!L:L,'Video Database'!H:H,"")</f>
        <v>0.11</v>
      </c>
      <c r="F357" s="101">
        <v>0.0</v>
      </c>
      <c r="G357" s="87">
        <v>0.0</v>
      </c>
      <c r="H357" s="114">
        <f t="array" ref="H357">_xlfn.XLOOKUP(A357,'Video Database'!L:L,'Video Database'!A:A,"")</f>
        <v>46188</v>
      </c>
      <c r="I357" s="103">
        <v>46201.0</v>
      </c>
      <c r="J357" s="104">
        <v>0.0</v>
      </c>
      <c r="K357" s="105"/>
      <c r="L357" s="105" t="str">
        <f t="shared" si="1"/>
        <v/>
      </c>
      <c r="O357" s="106" t="str">
        <f t="shared" si="2"/>
        <v>#N/A</v>
      </c>
      <c r="P357" s="106" t="str">
        <f t="shared" si="3"/>
        <v>#N/A</v>
      </c>
      <c r="Q357" s="84" t="str">
        <f t="shared" si="4"/>
        <v>#N/A</v>
      </c>
      <c r="R357" s="84" t="str">
        <f t="shared" si="5"/>
        <v>#N/A</v>
      </c>
      <c r="S357" s="107">
        <f t="shared" si="6"/>
        <v>-0.11</v>
      </c>
      <c r="T357" s="108">
        <f t="shared" si="7"/>
        <v>-1</v>
      </c>
      <c r="U357" s="106" t="str">
        <f t="shared" si="8"/>
        <v>#N/A</v>
      </c>
      <c r="V357" s="84" t="str">
        <f t="shared" si="9"/>
        <v/>
      </c>
      <c r="W357" s="109" t="str">
        <f t="shared" si="10"/>
        <v/>
      </c>
      <c r="X357" s="109" t="str">
        <f t="shared" si="11"/>
        <v/>
      </c>
      <c r="Y357" s="110" t="str">
        <f t="array" ref="Y357">_xlfn.XLOOKUP(A357,'Video Database'!L:L,'Video Database'!M:M,"")</f>
        <v>Bottom of Funnel</v>
      </c>
    </row>
    <row r="358" ht="22.5" customHeight="1">
      <c r="A358" s="113">
        <f t="shared" si="12"/>
        <v>357</v>
      </c>
      <c r="B358" s="98" t="str">
        <f t="array" ref="B358">_xlfn.XLOOKUP(A358,'Video Database'!L:L,'Video Database'!D:D,"")</f>
        <v>Blakely</v>
      </c>
      <c r="C358" s="98" t="str">
        <f t="array" ref="C358">_xlfn.XLOOKUP(A358,'Video Database'!L:L,'Video Database'!E:E,"")</f>
        <v>Account 4</v>
      </c>
      <c r="D358" s="99" t="str">
        <f t="array" ref="D358">_xlfn.XLOOKUP(A358,'Video Database'!L:L,'Video Database'!G:G,"")</f>
        <v>Nutricost Creatine Monohydrate</v>
      </c>
      <c r="E358" s="100">
        <f t="array" ref="E358">_xlfn.XLOOKUP(A358,'Video Database'!L:L,'Video Database'!H:H,"")</f>
        <v>0.11</v>
      </c>
      <c r="F358" s="101">
        <v>0.0</v>
      </c>
      <c r="G358" s="87">
        <v>0.0</v>
      </c>
      <c r="H358" s="114">
        <f t="array" ref="H358">_xlfn.XLOOKUP(A358,'Video Database'!L:L,'Video Database'!A:A,"")</f>
        <v>46188</v>
      </c>
      <c r="I358" s="103">
        <v>46201.0</v>
      </c>
      <c r="J358" s="104">
        <v>0.0</v>
      </c>
      <c r="K358" s="105"/>
      <c r="L358" s="105" t="str">
        <f t="shared" si="1"/>
        <v/>
      </c>
      <c r="O358" s="106" t="str">
        <f t="shared" si="2"/>
        <v>#N/A</v>
      </c>
      <c r="P358" s="106" t="str">
        <f t="shared" si="3"/>
        <v>#N/A</v>
      </c>
      <c r="Q358" s="84" t="str">
        <f t="shared" si="4"/>
        <v>#N/A</v>
      </c>
      <c r="R358" s="84" t="str">
        <f t="shared" si="5"/>
        <v>#N/A</v>
      </c>
      <c r="S358" s="107">
        <f t="shared" si="6"/>
        <v>-0.11</v>
      </c>
      <c r="T358" s="108">
        <f t="shared" si="7"/>
        <v>-1</v>
      </c>
      <c r="U358" s="106" t="str">
        <f t="shared" si="8"/>
        <v>#N/A</v>
      </c>
      <c r="V358" s="84" t="str">
        <f t="shared" si="9"/>
        <v/>
      </c>
      <c r="W358" s="109" t="str">
        <f t="shared" si="10"/>
        <v/>
      </c>
      <c r="X358" s="109" t="str">
        <f t="shared" si="11"/>
        <v/>
      </c>
      <c r="Y358" s="110" t="str">
        <f t="array" ref="Y358">_xlfn.XLOOKUP(A358,'Video Database'!L:L,'Video Database'!M:M,"")</f>
        <v>Bottom of Funnel</v>
      </c>
    </row>
    <row r="359" ht="22.5" customHeight="1">
      <c r="A359" s="113">
        <f t="shared" si="12"/>
        <v>358</v>
      </c>
      <c r="B359" s="98" t="str">
        <f t="array" ref="B359">_xlfn.XLOOKUP(A359,'Video Database'!L:L,'Video Database'!D:D,"")</f>
        <v>Blakely</v>
      </c>
      <c r="C359" s="98" t="str">
        <f t="array" ref="C359">_xlfn.XLOOKUP(A359,'Video Database'!L:L,'Video Database'!E:E,"")</f>
        <v>Account 4</v>
      </c>
      <c r="D359" s="99" t="str">
        <f t="array" ref="D359">_xlfn.XLOOKUP(A359,'Video Database'!L:L,'Video Database'!G:G,"")</f>
        <v>Beast Bites Creatine Gummies</v>
      </c>
      <c r="E359" s="100">
        <f t="array" ref="E359">_xlfn.XLOOKUP(A359,'Video Database'!L:L,'Video Database'!H:H,"")</f>
        <v>0.11</v>
      </c>
      <c r="F359" s="101">
        <v>0.0</v>
      </c>
      <c r="G359" s="87">
        <v>0.0</v>
      </c>
      <c r="H359" s="114">
        <f t="array" ref="H359">_xlfn.XLOOKUP(A359,'Video Database'!L:L,'Video Database'!A:A,"")</f>
        <v>46188</v>
      </c>
      <c r="I359" s="103">
        <v>46201.0</v>
      </c>
      <c r="J359" s="104">
        <v>0.0</v>
      </c>
      <c r="K359" s="105"/>
      <c r="L359" s="105" t="str">
        <f t="shared" si="1"/>
        <v/>
      </c>
      <c r="O359" s="106" t="str">
        <f t="shared" si="2"/>
        <v>#N/A</v>
      </c>
      <c r="P359" s="106" t="str">
        <f t="shared" si="3"/>
        <v>#N/A</v>
      </c>
      <c r="Q359" s="84" t="str">
        <f t="shared" si="4"/>
        <v>#N/A</v>
      </c>
      <c r="R359" s="84" t="str">
        <f t="shared" si="5"/>
        <v>#N/A</v>
      </c>
      <c r="S359" s="107">
        <f t="shared" si="6"/>
        <v>-0.11</v>
      </c>
      <c r="T359" s="108">
        <f t="shared" si="7"/>
        <v>-1</v>
      </c>
      <c r="U359" s="106" t="str">
        <f t="shared" si="8"/>
        <v>#N/A</v>
      </c>
      <c r="V359" s="84" t="str">
        <f t="shared" si="9"/>
        <v/>
      </c>
      <c r="W359" s="109" t="str">
        <f t="shared" si="10"/>
        <v/>
      </c>
      <c r="X359" s="109" t="str">
        <f t="shared" si="11"/>
        <v/>
      </c>
      <c r="Y359" s="110" t="str">
        <f t="array" ref="Y359">_xlfn.XLOOKUP(A359,'Video Database'!L:L,'Video Database'!M:M,"")</f>
        <v>Bottom of Funnel</v>
      </c>
    </row>
    <row r="360" ht="22.5" customHeight="1">
      <c r="A360" s="113">
        <f t="shared" si="12"/>
        <v>359</v>
      </c>
      <c r="B360" s="98" t="str">
        <f t="array" ref="B360">_xlfn.XLOOKUP(A360,'Video Database'!L:L,'Video Database'!D:D,"")</f>
        <v>Blakely</v>
      </c>
      <c r="C360" s="98" t="str">
        <f t="array" ref="C360">_xlfn.XLOOKUP(A360,'Video Database'!L:L,'Video Database'!E:E,"")</f>
        <v>Account 4</v>
      </c>
      <c r="D360" s="99" t="str">
        <f t="array" ref="D360">_xlfn.XLOOKUP(A360,'Video Database'!L:L,'Video Database'!G:G,"")</f>
        <v>Nello Supercalm Drink Mix</v>
      </c>
      <c r="E360" s="100">
        <f t="array" ref="E360">_xlfn.XLOOKUP(A360,'Video Database'!L:L,'Video Database'!H:H,"")</f>
        <v>0.11</v>
      </c>
      <c r="F360" s="101">
        <v>0.0</v>
      </c>
      <c r="G360" s="87">
        <v>0.0</v>
      </c>
      <c r="H360" s="114">
        <f t="array" ref="H360">_xlfn.XLOOKUP(A360,'Video Database'!L:L,'Video Database'!A:A,"")</f>
        <v>46188</v>
      </c>
      <c r="I360" s="103">
        <v>46201.0</v>
      </c>
      <c r="J360" s="104">
        <v>0.0</v>
      </c>
      <c r="K360" s="105"/>
      <c r="L360" s="105" t="str">
        <f t="shared" si="1"/>
        <v/>
      </c>
      <c r="O360" s="106" t="str">
        <f t="shared" si="2"/>
        <v>#N/A</v>
      </c>
      <c r="P360" s="106" t="str">
        <f t="shared" si="3"/>
        <v>#N/A</v>
      </c>
      <c r="Q360" s="84" t="str">
        <f t="shared" si="4"/>
        <v>#N/A</v>
      </c>
      <c r="R360" s="84" t="str">
        <f t="shared" si="5"/>
        <v>#N/A</v>
      </c>
      <c r="S360" s="107">
        <f t="shared" si="6"/>
        <v>-0.11</v>
      </c>
      <c r="T360" s="108">
        <f t="shared" si="7"/>
        <v>-1</v>
      </c>
      <c r="U360" s="106" t="str">
        <f t="shared" si="8"/>
        <v>#N/A</v>
      </c>
      <c r="V360" s="84" t="str">
        <f t="shared" si="9"/>
        <v/>
      </c>
      <c r="W360" s="109" t="str">
        <f t="shared" si="10"/>
        <v/>
      </c>
      <c r="X360" s="109" t="str">
        <f t="shared" si="11"/>
        <v/>
      </c>
      <c r="Y360" s="110" t="str">
        <f t="array" ref="Y360">_xlfn.XLOOKUP(A360,'Video Database'!L:L,'Video Database'!M:M,"")</f>
        <v>Bottom of Funnel</v>
      </c>
    </row>
    <row r="361" ht="22.5" customHeight="1">
      <c r="A361" s="113">
        <f t="shared" si="12"/>
        <v>360</v>
      </c>
      <c r="B361" s="98" t="str">
        <f t="array" ref="B361">_xlfn.XLOOKUP(A361,'Video Database'!L:L,'Video Database'!D:D,"")</f>
        <v>Blakely</v>
      </c>
      <c r="C361" s="98" t="str">
        <f t="array" ref="C361">_xlfn.XLOOKUP(A361,'Video Database'!L:L,'Video Database'!E:E,"")</f>
        <v>Account 4</v>
      </c>
      <c r="D361" s="99" t="str">
        <f t="array" ref="D361">_xlfn.XLOOKUP(A361,'Video Database'!L:L,'Video Database'!G:G,"")</f>
        <v>Neurogum Watermelon</v>
      </c>
      <c r="E361" s="100">
        <f t="array" ref="E361">_xlfn.XLOOKUP(A361,'Video Database'!L:L,'Video Database'!H:H,"")</f>
        <v>0.11</v>
      </c>
      <c r="F361" s="101">
        <v>0.0</v>
      </c>
      <c r="G361" s="87">
        <v>0.0</v>
      </c>
      <c r="H361" s="114">
        <f t="array" ref="H361">_xlfn.XLOOKUP(A361,'Video Database'!L:L,'Video Database'!A:A,"")</f>
        <v>46188</v>
      </c>
      <c r="I361" s="103">
        <v>46201.0</v>
      </c>
      <c r="J361" s="104">
        <v>0.0</v>
      </c>
      <c r="K361" s="105"/>
      <c r="L361" s="105" t="str">
        <f t="shared" si="1"/>
        <v/>
      </c>
      <c r="O361" s="106" t="str">
        <f t="shared" si="2"/>
        <v>#N/A</v>
      </c>
      <c r="P361" s="106" t="str">
        <f t="shared" si="3"/>
        <v>#N/A</v>
      </c>
      <c r="Q361" s="84" t="str">
        <f t="shared" si="4"/>
        <v>#N/A</v>
      </c>
      <c r="R361" s="84" t="str">
        <f t="shared" si="5"/>
        <v>#N/A</v>
      </c>
      <c r="S361" s="107">
        <f t="shared" si="6"/>
        <v>-0.11</v>
      </c>
      <c r="T361" s="108">
        <f t="shared" si="7"/>
        <v>-1</v>
      </c>
      <c r="U361" s="106" t="str">
        <f t="shared" si="8"/>
        <v>#N/A</v>
      </c>
      <c r="V361" s="84" t="str">
        <f t="shared" si="9"/>
        <v/>
      </c>
      <c r="W361" s="109" t="str">
        <f t="shared" si="10"/>
        <v/>
      </c>
      <c r="X361" s="109" t="str">
        <f t="shared" si="11"/>
        <v/>
      </c>
      <c r="Y361" s="110" t="str">
        <f t="array" ref="Y361">_xlfn.XLOOKUP(A361,'Video Database'!L:L,'Video Database'!M:M,"")</f>
        <v>Bottom of Funnel</v>
      </c>
    </row>
    <row r="362" ht="22.5" customHeight="1">
      <c r="A362" s="113">
        <f t="shared" si="12"/>
        <v>361</v>
      </c>
      <c r="B362" s="98" t="str">
        <f t="array" ref="B362">_xlfn.XLOOKUP(A362,'Video Database'!L:L,'Video Database'!D:D,"")</f>
        <v>Blakely</v>
      </c>
      <c r="C362" s="98" t="str">
        <f t="array" ref="C362">_xlfn.XLOOKUP(A362,'Video Database'!L:L,'Video Database'!E:E,"")</f>
        <v>Account 4</v>
      </c>
      <c r="D362" s="99" t="str">
        <f t="array" ref="D362">_xlfn.XLOOKUP(A362,'Video Database'!L:L,'Video Database'!G:G,"")</f>
        <v>Goli Women's Complete Multi Gummy</v>
      </c>
      <c r="E362" s="100">
        <f t="array" ref="E362">_xlfn.XLOOKUP(A362,'Video Database'!L:L,'Video Database'!H:H,"")</f>
        <v>0.11</v>
      </c>
      <c r="F362" s="101">
        <v>0.0</v>
      </c>
      <c r="G362" s="87">
        <v>0.0</v>
      </c>
      <c r="H362" s="114">
        <f t="array" ref="H362">_xlfn.XLOOKUP(A362,'Video Database'!L:L,'Video Database'!A:A,"")</f>
        <v>46188</v>
      </c>
      <c r="I362" s="103">
        <v>46201.0</v>
      </c>
      <c r="J362" s="104">
        <v>0.0</v>
      </c>
      <c r="K362" s="105"/>
      <c r="L362" s="105" t="str">
        <f t="shared" si="1"/>
        <v/>
      </c>
      <c r="O362" s="106" t="str">
        <f t="shared" si="2"/>
        <v>#N/A</v>
      </c>
      <c r="P362" s="106" t="str">
        <f t="shared" si="3"/>
        <v>#N/A</v>
      </c>
      <c r="Q362" s="84" t="str">
        <f t="shared" si="4"/>
        <v>#N/A</v>
      </c>
      <c r="R362" s="84" t="str">
        <f t="shared" si="5"/>
        <v>#N/A</v>
      </c>
      <c r="S362" s="107">
        <f t="shared" si="6"/>
        <v>-0.11</v>
      </c>
      <c r="T362" s="108">
        <f t="shared" si="7"/>
        <v>-1</v>
      </c>
      <c r="U362" s="106" t="str">
        <f t="shared" si="8"/>
        <v>#N/A</v>
      </c>
      <c r="V362" s="84" t="str">
        <f t="shared" si="9"/>
        <v/>
      </c>
      <c r="W362" s="109" t="str">
        <f t="shared" si="10"/>
        <v/>
      </c>
      <c r="X362" s="109" t="str">
        <f t="shared" si="11"/>
        <v/>
      </c>
      <c r="Y362" s="110" t="str">
        <f t="array" ref="Y362">_xlfn.XLOOKUP(A362,'Video Database'!L:L,'Video Database'!M:M,"")</f>
        <v>Bottom of Funnel</v>
      </c>
    </row>
    <row r="363" ht="22.5" customHeight="1">
      <c r="A363" s="113">
        <f t="shared" si="12"/>
        <v>362</v>
      </c>
      <c r="B363" s="98" t="str">
        <f t="array" ref="B363">_xlfn.XLOOKUP(A363,'Video Database'!L:L,'Video Database'!D:D,"")</f>
        <v>Blakely</v>
      </c>
      <c r="C363" s="98" t="str">
        <f t="array" ref="C363">_xlfn.XLOOKUP(A363,'Video Database'!L:L,'Video Database'!E:E,"")</f>
        <v>Account 4</v>
      </c>
      <c r="D363" s="99" t="str">
        <f t="array" ref="D363">_xlfn.XLOOKUP(A363,'Video Database'!L:L,'Video Database'!G:G,"")</f>
        <v>Physician's Choice Probiotic Gummies</v>
      </c>
      <c r="E363" s="100">
        <f t="array" ref="E363">_xlfn.XLOOKUP(A363,'Video Database'!L:L,'Video Database'!H:H,"")</f>
        <v>0.11</v>
      </c>
      <c r="F363" s="101">
        <v>0.0</v>
      </c>
      <c r="G363" s="87">
        <v>0.0</v>
      </c>
      <c r="H363" s="114">
        <f t="array" ref="H363">_xlfn.XLOOKUP(A363,'Video Database'!L:L,'Video Database'!A:A,"")</f>
        <v>46188</v>
      </c>
      <c r="I363" s="103">
        <v>46201.0</v>
      </c>
      <c r="J363" s="104">
        <v>0.0</v>
      </c>
      <c r="K363" s="105"/>
      <c r="L363" s="105" t="str">
        <f t="shared" si="1"/>
        <v/>
      </c>
      <c r="O363" s="106" t="str">
        <f t="shared" si="2"/>
        <v>#N/A</v>
      </c>
      <c r="P363" s="106" t="str">
        <f t="shared" si="3"/>
        <v>#N/A</v>
      </c>
      <c r="Q363" s="84" t="str">
        <f t="shared" si="4"/>
        <v>#N/A</v>
      </c>
      <c r="R363" s="84" t="str">
        <f t="shared" si="5"/>
        <v>#N/A</v>
      </c>
      <c r="S363" s="107">
        <f t="shared" si="6"/>
        <v>-0.11</v>
      </c>
      <c r="T363" s="108">
        <f t="shared" si="7"/>
        <v>-1</v>
      </c>
      <c r="U363" s="106" t="str">
        <f t="shared" si="8"/>
        <v>#N/A</v>
      </c>
      <c r="V363" s="84" t="str">
        <f t="shared" si="9"/>
        <v/>
      </c>
      <c r="W363" s="109" t="str">
        <f t="shared" si="10"/>
        <v/>
      </c>
      <c r="X363" s="109" t="str">
        <f t="shared" si="11"/>
        <v/>
      </c>
      <c r="Y363" s="110" t="str">
        <f t="array" ref="Y363">_xlfn.XLOOKUP(A363,'Video Database'!L:L,'Video Database'!M:M,"")</f>
        <v>Bottom of Funnel</v>
      </c>
    </row>
    <row r="364" ht="22.5" customHeight="1">
      <c r="A364" s="113">
        <f t="shared" si="12"/>
        <v>363</v>
      </c>
      <c r="B364" s="98" t="str">
        <f t="array" ref="B364">_xlfn.XLOOKUP(A364,'Video Database'!L:L,'Video Database'!D:D,"")</f>
        <v>Blakely</v>
      </c>
      <c r="C364" s="98" t="str">
        <f t="array" ref="C364">_xlfn.XLOOKUP(A364,'Video Database'!L:L,'Video Database'!E:E,"")</f>
        <v>Account 4</v>
      </c>
      <c r="D364" s="99" t="str">
        <f t="array" ref="D364">_xlfn.XLOOKUP(A364,'Video Database'!L:L,'Video Database'!G:G,"")</f>
        <v>Mushroom Coffee</v>
      </c>
      <c r="E364" s="100">
        <f t="array" ref="E364">_xlfn.XLOOKUP(A364,'Video Database'!L:L,'Video Database'!H:H,"")</f>
        <v>0.11</v>
      </c>
      <c r="F364" s="101">
        <v>0.0</v>
      </c>
      <c r="G364" s="87">
        <v>0.0</v>
      </c>
      <c r="H364" s="114">
        <f t="array" ref="H364">_xlfn.XLOOKUP(A364,'Video Database'!L:L,'Video Database'!A:A,"")</f>
        <v>46188</v>
      </c>
      <c r="I364" s="103">
        <v>46201.0</v>
      </c>
      <c r="J364" s="104">
        <v>0.0</v>
      </c>
      <c r="K364" s="105"/>
      <c r="L364" s="105" t="str">
        <f t="shared" si="1"/>
        <v/>
      </c>
      <c r="O364" s="106" t="str">
        <f t="shared" si="2"/>
        <v>#N/A</v>
      </c>
      <c r="P364" s="106" t="str">
        <f t="shared" si="3"/>
        <v>#N/A</v>
      </c>
      <c r="Q364" s="84" t="str">
        <f t="shared" si="4"/>
        <v>#N/A</v>
      </c>
      <c r="R364" s="84" t="str">
        <f t="shared" si="5"/>
        <v>#N/A</v>
      </c>
      <c r="S364" s="107">
        <f t="shared" si="6"/>
        <v>-0.11</v>
      </c>
      <c r="T364" s="108">
        <f t="shared" si="7"/>
        <v>-1</v>
      </c>
      <c r="U364" s="106" t="str">
        <f t="shared" si="8"/>
        <v>#N/A</v>
      </c>
      <c r="V364" s="84" t="str">
        <f t="shared" si="9"/>
        <v/>
      </c>
      <c r="W364" s="109" t="str">
        <f t="shared" si="10"/>
        <v/>
      </c>
      <c r="X364" s="109" t="str">
        <f t="shared" si="11"/>
        <v/>
      </c>
      <c r="Y364" s="110" t="str">
        <f t="array" ref="Y364">_xlfn.XLOOKUP(A364,'Video Database'!L:L,'Video Database'!M:M,"")</f>
        <v>Bottom of Funnel</v>
      </c>
    </row>
    <row r="365" ht="22.5" customHeight="1">
      <c r="A365" s="113">
        <f t="shared" si="12"/>
        <v>364</v>
      </c>
      <c r="B365" s="98" t="str">
        <f t="array" ref="B365">_xlfn.XLOOKUP(A365,'Video Database'!L:L,'Video Database'!D:D,"")</f>
        <v>Blakely</v>
      </c>
      <c r="C365" s="98" t="str">
        <f t="array" ref="C365">_xlfn.XLOOKUP(A365,'Video Database'!L:L,'Video Database'!E:E,"")</f>
        <v>Account 4</v>
      </c>
      <c r="D365" s="99" t="str">
        <f t="array" ref="D365">_xlfn.XLOOKUP(A365,'Video Database'!L:L,'Video Database'!G:G,"")</f>
        <v>BioEmblem Magnesium</v>
      </c>
      <c r="E365" s="100">
        <f t="array" ref="E365">_xlfn.XLOOKUP(A365,'Video Database'!L:L,'Video Database'!H:H,"")</f>
        <v>0.11</v>
      </c>
      <c r="F365" s="101">
        <v>0.0</v>
      </c>
      <c r="G365" s="87">
        <v>0.0</v>
      </c>
      <c r="H365" s="114">
        <f t="array" ref="H365">_xlfn.XLOOKUP(A365,'Video Database'!L:L,'Video Database'!A:A,"")</f>
        <v>46188</v>
      </c>
      <c r="I365" s="103">
        <v>46201.0</v>
      </c>
      <c r="J365" s="104">
        <v>0.0</v>
      </c>
      <c r="K365" s="105"/>
      <c r="L365" s="105" t="str">
        <f t="shared" si="1"/>
        <v/>
      </c>
      <c r="O365" s="106" t="str">
        <f t="shared" si="2"/>
        <v>#N/A</v>
      </c>
      <c r="P365" s="106" t="str">
        <f t="shared" si="3"/>
        <v>#N/A</v>
      </c>
      <c r="Q365" s="84" t="str">
        <f t="shared" si="4"/>
        <v>#N/A</v>
      </c>
      <c r="R365" s="84" t="str">
        <f t="shared" si="5"/>
        <v>#N/A</v>
      </c>
      <c r="S365" s="107">
        <f t="shared" si="6"/>
        <v>-0.11</v>
      </c>
      <c r="T365" s="108">
        <f t="shared" si="7"/>
        <v>-1</v>
      </c>
      <c r="U365" s="106" t="str">
        <f t="shared" si="8"/>
        <v>#N/A</v>
      </c>
      <c r="V365" s="84" t="str">
        <f t="shared" si="9"/>
        <v/>
      </c>
      <c r="W365" s="109" t="str">
        <f t="shared" si="10"/>
        <v/>
      </c>
      <c r="X365" s="109" t="str">
        <f t="shared" si="11"/>
        <v/>
      </c>
      <c r="Y365" s="110" t="str">
        <f t="array" ref="Y365">_xlfn.XLOOKUP(A365,'Video Database'!L:L,'Video Database'!M:M,"")</f>
        <v>Bottom of Funnel</v>
      </c>
    </row>
    <row r="366" ht="22.5" customHeight="1">
      <c r="A366" s="113">
        <f t="shared" si="12"/>
        <v>365</v>
      </c>
      <c r="B366" s="98" t="str">
        <f t="array" ref="B366">_xlfn.XLOOKUP(A366,'Video Database'!L:L,'Video Database'!D:D,"")</f>
        <v>Erin</v>
      </c>
      <c r="C366" s="98" t="str">
        <f t="array" ref="C366">_xlfn.XLOOKUP(A366,'Video Database'!L:L,'Video Database'!E:E,"")</f>
        <v>Account 4</v>
      </c>
      <c r="D366" s="99" t="str">
        <f t="array" ref="D366">_xlfn.XLOOKUP(A366,'Video Database'!L:L,'Video Database'!G:G,"")</f>
        <v>Peta Jane Self-Tan Starter Kit Medium</v>
      </c>
      <c r="E366" s="100">
        <f t="array" ref="E366">_xlfn.XLOOKUP(A366,'Video Database'!L:L,'Video Database'!H:H,"")</f>
        <v>1.1</v>
      </c>
      <c r="F366" s="101">
        <v>0.0</v>
      </c>
      <c r="G366" s="87">
        <v>0.0</v>
      </c>
      <c r="H366" s="114">
        <f t="array" ref="H366">_xlfn.XLOOKUP(A366,'Video Database'!L:L,'Video Database'!A:A,"")</f>
        <v>46188</v>
      </c>
      <c r="I366" s="103">
        <v>46201.0</v>
      </c>
      <c r="J366" s="104">
        <v>0.0</v>
      </c>
      <c r="K366" s="105"/>
      <c r="L366" s="105" t="str">
        <f t="shared" si="1"/>
        <v/>
      </c>
      <c r="O366" s="106" t="str">
        <f t="shared" si="2"/>
        <v>#N/A</v>
      </c>
      <c r="P366" s="106" t="str">
        <f t="shared" si="3"/>
        <v>#N/A</v>
      </c>
      <c r="Q366" s="84" t="str">
        <f t="shared" si="4"/>
        <v>#N/A</v>
      </c>
      <c r="R366" s="84" t="str">
        <f t="shared" si="5"/>
        <v>#N/A</v>
      </c>
      <c r="S366" s="107">
        <f t="shared" si="6"/>
        <v>-1.1</v>
      </c>
      <c r="T366" s="108">
        <f t="shared" si="7"/>
        <v>-1</v>
      </c>
      <c r="U366" s="106" t="str">
        <f t="shared" si="8"/>
        <v>#N/A</v>
      </c>
      <c r="V366" s="84" t="str">
        <f t="shared" si="9"/>
        <v/>
      </c>
      <c r="W366" s="109" t="str">
        <f t="shared" si="10"/>
        <v/>
      </c>
      <c r="X366" s="109" t="str">
        <f t="shared" si="11"/>
        <v/>
      </c>
      <c r="Y366" s="110" t="str">
        <f t="array" ref="Y366">_xlfn.XLOOKUP(A366,'Video Database'!L:L,'Video Database'!M:M,"")</f>
        <v>Bottom of Funnel</v>
      </c>
    </row>
    <row r="367" ht="22.5" customHeight="1">
      <c r="A367" s="113">
        <f t="shared" si="12"/>
        <v>366</v>
      </c>
      <c r="B367" s="98" t="str">
        <f t="array" ref="B367">_xlfn.XLOOKUP(A367,'Video Database'!L:L,'Video Database'!D:D,"")</f>
        <v>Blakely</v>
      </c>
      <c r="C367" s="98" t="str">
        <f t="array" ref="C367">_xlfn.XLOOKUP(A367,'Video Database'!L:L,'Video Database'!E:E,"")</f>
        <v>Account 4</v>
      </c>
      <c r="D367" s="99" t="str">
        <f t="array" ref="D367">_xlfn.XLOOKUP(A367,'Video Database'!L:L,'Video Database'!G:G,"")</f>
        <v>Neurogum Watermelon</v>
      </c>
      <c r="E367" s="100">
        <f t="array" ref="E367">_xlfn.XLOOKUP(A367,'Video Database'!L:L,'Video Database'!H:H,"")</f>
        <v>0.11</v>
      </c>
      <c r="F367" s="101">
        <v>11.49</v>
      </c>
      <c r="G367" s="87">
        <v>1.0</v>
      </c>
      <c r="H367" s="114">
        <f t="array" ref="H367">_xlfn.XLOOKUP(A367,'Video Database'!L:L,'Video Database'!A:A,"")</f>
        <v>46188</v>
      </c>
      <c r="I367" s="103">
        <v>46201.0</v>
      </c>
      <c r="J367" s="104">
        <v>1.2</v>
      </c>
      <c r="K367" s="87">
        <v>8.0</v>
      </c>
      <c r="L367" s="105">
        <f t="shared" si="1"/>
        <v>1600</v>
      </c>
      <c r="M367" s="87">
        <v>1600.0</v>
      </c>
      <c r="O367" s="106">
        <f t="shared" si="2"/>
        <v>0.005</v>
      </c>
      <c r="P367" s="106">
        <f t="shared" si="3"/>
        <v>0.125</v>
      </c>
      <c r="Q367" s="84">
        <f t="shared" si="4"/>
        <v>1.2</v>
      </c>
      <c r="R367" s="84">
        <f t="shared" si="5"/>
        <v>11.49</v>
      </c>
      <c r="S367" s="107">
        <f t="shared" si="6"/>
        <v>1.09</v>
      </c>
      <c r="T367" s="108">
        <f t="shared" si="7"/>
        <v>9.909090909</v>
      </c>
      <c r="U367" s="106">
        <f t="shared" si="8"/>
        <v>0.9083333333</v>
      </c>
      <c r="V367" s="129">
        <f t="shared" si="9"/>
        <v>0.11</v>
      </c>
      <c r="W367" s="109">
        <f t="shared" si="10"/>
        <v>0.01375</v>
      </c>
      <c r="X367" s="109">
        <f t="shared" si="11"/>
        <v>0.9573542211</v>
      </c>
      <c r="Y367" s="110" t="str">
        <f t="array" ref="Y367">_xlfn.XLOOKUP(A367,'Video Database'!L:L,'Video Database'!M:M,"")</f>
        <v>Product Overlay</v>
      </c>
    </row>
    <row r="368" ht="22.5" customHeight="1">
      <c r="A368" s="113">
        <f t="shared" si="12"/>
        <v>367</v>
      </c>
      <c r="B368" s="98" t="str">
        <f t="array" ref="B368">_xlfn.XLOOKUP(A368,'Video Database'!L:L,'Video Database'!D:D,"")</f>
        <v>Blakely</v>
      </c>
      <c r="C368" s="98" t="str">
        <f t="array" ref="C368">_xlfn.XLOOKUP(A368,'Video Database'!L:L,'Video Database'!E:E,"")</f>
        <v>Account 4</v>
      </c>
      <c r="D368" s="99" t="str">
        <f t="array" ref="D368">_xlfn.XLOOKUP(A368,'Video Database'!L:L,'Video Database'!G:G,"")</f>
        <v>Beast Bites Creatine Gummies</v>
      </c>
      <c r="E368" s="100">
        <f t="array" ref="E368">_xlfn.XLOOKUP(A368,'Video Database'!L:L,'Video Database'!H:H,"")</f>
        <v>0.11</v>
      </c>
      <c r="F368" s="101">
        <v>0.0</v>
      </c>
      <c r="G368" s="87">
        <v>0.0</v>
      </c>
      <c r="H368" s="114">
        <f t="array" ref="H368">_xlfn.XLOOKUP(A368,'Video Database'!L:L,'Video Database'!A:A,"")</f>
        <v>46188</v>
      </c>
      <c r="I368" s="103">
        <v>46201.0</v>
      </c>
      <c r="J368" s="104">
        <v>0.0</v>
      </c>
      <c r="K368" s="105"/>
      <c r="L368" s="105" t="str">
        <f t="shared" si="1"/>
        <v/>
      </c>
      <c r="O368" s="106" t="str">
        <f t="shared" si="2"/>
        <v>#N/A</v>
      </c>
      <c r="P368" s="106" t="str">
        <f t="shared" si="3"/>
        <v>#N/A</v>
      </c>
      <c r="Q368" s="84" t="str">
        <f t="shared" si="4"/>
        <v>#N/A</v>
      </c>
      <c r="R368" s="84" t="str">
        <f t="shared" si="5"/>
        <v>#N/A</v>
      </c>
      <c r="S368" s="107">
        <f t="shared" si="6"/>
        <v>-0.11</v>
      </c>
      <c r="T368" s="108">
        <f t="shared" si="7"/>
        <v>-1</v>
      </c>
      <c r="U368" s="106" t="str">
        <f t="shared" si="8"/>
        <v>#N/A</v>
      </c>
      <c r="V368" s="84" t="str">
        <f t="shared" si="9"/>
        <v/>
      </c>
      <c r="W368" s="109" t="str">
        <f t="shared" si="10"/>
        <v/>
      </c>
      <c r="X368" s="109" t="str">
        <f t="shared" si="11"/>
        <v/>
      </c>
      <c r="Y368" s="110" t="str">
        <f t="array" ref="Y368">_xlfn.XLOOKUP(A368,'Video Database'!L:L,'Video Database'!M:M,"")</f>
        <v>Product Overlay</v>
      </c>
    </row>
    <row r="369" ht="22.5" customHeight="1">
      <c r="A369" s="113">
        <f t="shared" si="12"/>
        <v>368</v>
      </c>
      <c r="B369" s="98" t="str">
        <f t="array" ref="B369">_xlfn.XLOOKUP(A369,'Video Database'!L:L,'Video Database'!D:D,"")</f>
        <v>Erin</v>
      </c>
      <c r="C369" s="98" t="str">
        <f t="array" ref="C369">_xlfn.XLOOKUP(A369,'Video Database'!L:L,'Video Database'!E:E,"")</f>
        <v>Account 1</v>
      </c>
      <c r="D369" s="99" t="str">
        <f t="array" ref="D369">_xlfn.XLOOKUP(A369,'Video Database'!L:L,'Video Database'!G:G,"")</f>
        <v>Peta Jane Self-Tan Starter Kit Medium</v>
      </c>
      <c r="E369" s="100">
        <f t="array" ref="E369">_xlfn.XLOOKUP(A369,'Video Database'!L:L,'Video Database'!H:H,"")</f>
        <v>1.1</v>
      </c>
      <c r="F369" s="101">
        <v>0.0</v>
      </c>
      <c r="G369" s="87">
        <v>0.0</v>
      </c>
      <c r="H369" s="114">
        <f t="array" ref="H369">_xlfn.XLOOKUP(A369,'Video Database'!L:L,'Video Database'!A:A,"")</f>
        <v>46189</v>
      </c>
      <c r="I369" s="103">
        <v>46201.0</v>
      </c>
      <c r="J369" s="104">
        <v>0.0</v>
      </c>
      <c r="K369" s="105"/>
      <c r="L369" s="105" t="str">
        <f t="shared" si="1"/>
        <v/>
      </c>
      <c r="O369" s="106" t="str">
        <f t="shared" si="2"/>
        <v>#N/A</v>
      </c>
      <c r="P369" s="106" t="str">
        <f t="shared" si="3"/>
        <v>#N/A</v>
      </c>
      <c r="Q369" s="84" t="str">
        <f t="shared" si="4"/>
        <v>#N/A</v>
      </c>
      <c r="R369" s="84" t="str">
        <f t="shared" si="5"/>
        <v>#N/A</v>
      </c>
      <c r="S369" s="107">
        <f t="shared" si="6"/>
        <v>-1.1</v>
      </c>
      <c r="T369" s="108">
        <f t="shared" si="7"/>
        <v>-1</v>
      </c>
      <c r="U369" s="106" t="str">
        <f t="shared" si="8"/>
        <v>#N/A</v>
      </c>
      <c r="V369" s="84" t="str">
        <f t="shared" si="9"/>
        <v/>
      </c>
      <c r="W369" s="109" t="str">
        <f t="shared" si="10"/>
        <v/>
      </c>
      <c r="X369" s="109" t="str">
        <f t="shared" si="11"/>
        <v/>
      </c>
      <c r="Y369" s="110" t="str">
        <f t="array" ref="Y369">_xlfn.XLOOKUP(A369,'Video Database'!L:L,'Video Database'!M:M,"")</f>
        <v>Bottom of Funnel</v>
      </c>
    </row>
    <row r="370" ht="22.5" customHeight="1">
      <c r="A370" s="113">
        <f t="shared" si="12"/>
        <v>369</v>
      </c>
      <c r="B370" s="98" t="str">
        <f t="array" ref="B370">_xlfn.XLOOKUP(A370,'Video Database'!L:L,'Video Database'!D:D,"")</f>
        <v>Blakely</v>
      </c>
      <c r="C370" s="98" t="str">
        <f t="array" ref="C370">_xlfn.XLOOKUP(A370,'Video Database'!L:L,'Video Database'!E:E,"")</f>
        <v>Account 1</v>
      </c>
      <c r="D370" s="99" t="str">
        <f t="array" ref="D370">_xlfn.XLOOKUP(A370,'Video Database'!L:L,'Video Database'!G:G,"")</f>
        <v>Nutricost Creatine Monohydrate</v>
      </c>
      <c r="E370" s="100">
        <f t="array" ref="E370">_xlfn.XLOOKUP(A370,'Video Database'!L:L,'Video Database'!H:H,"")</f>
        <v>0.11</v>
      </c>
      <c r="F370" s="101">
        <v>0.0</v>
      </c>
      <c r="G370" s="87">
        <v>0.0</v>
      </c>
      <c r="H370" s="114">
        <f t="array" ref="H370">_xlfn.XLOOKUP(A370,'Video Database'!L:L,'Video Database'!A:A,"")</f>
        <v>46189</v>
      </c>
      <c r="I370" s="103">
        <v>46201.0</v>
      </c>
      <c r="J370" s="104">
        <v>0.0</v>
      </c>
      <c r="K370" s="105"/>
      <c r="L370" s="105" t="str">
        <f t="shared" si="1"/>
        <v/>
      </c>
      <c r="O370" s="106" t="str">
        <f t="shared" si="2"/>
        <v>#N/A</v>
      </c>
      <c r="P370" s="106" t="str">
        <f t="shared" si="3"/>
        <v>#N/A</v>
      </c>
      <c r="Q370" s="84" t="str">
        <f t="shared" si="4"/>
        <v>#N/A</v>
      </c>
      <c r="R370" s="84" t="str">
        <f t="shared" si="5"/>
        <v>#N/A</v>
      </c>
      <c r="S370" s="107">
        <f t="shared" si="6"/>
        <v>-0.11</v>
      </c>
      <c r="T370" s="108">
        <f t="shared" si="7"/>
        <v>-1</v>
      </c>
      <c r="U370" s="106" t="str">
        <f t="shared" si="8"/>
        <v>#N/A</v>
      </c>
      <c r="V370" s="84" t="str">
        <f t="shared" si="9"/>
        <v/>
      </c>
      <c r="W370" s="109" t="str">
        <f t="shared" si="10"/>
        <v/>
      </c>
      <c r="X370" s="109" t="str">
        <f t="shared" si="11"/>
        <v/>
      </c>
      <c r="Y370" s="110" t="str">
        <f t="array" ref="Y370">_xlfn.XLOOKUP(A370,'Video Database'!L:L,'Video Database'!M:M,"")</f>
        <v>Product Overlay</v>
      </c>
    </row>
    <row r="371" ht="22.5" customHeight="1">
      <c r="A371" s="113">
        <f t="shared" si="12"/>
        <v>370</v>
      </c>
      <c r="B371" s="98" t="str">
        <f t="array" ref="B371">_xlfn.XLOOKUP(A371,'Video Database'!L:L,'Video Database'!D:D,"")</f>
        <v>Blakely</v>
      </c>
      <c r="C371" s="98" t="str">
        <f t="array" ref="C371">_xlfn.XLOOKUP(A371,'Video Database'!L:L,'Video Database'!E:E,"")</f>
        <v>Account 1</v>
      </c>
      <c r="D371" s="99" t="str">
        <f t="array" ref="D371">_xlfn.XLOOKUP(A371,'Video Database'!L:L,'Video Database'!G:G,"")</f>
        <v>BetterAlt Shilajit Honey Sticks</v>
      </c>
      <c r="E371" s="100">
        <f t="array" ref="E371">_xlfn.XLOOKUP(A371,'Video Database'!L:L,'Video Database'!H:H,"")</f>
        <v>0.11</v>
      </c>
      <c r="F371" s="101">
        <v>0.0</v>
      </c>
      <c r="G371" s="87">
        <v>0.0</v>
      </c>
      <c r="H371" s="114">
        <f t="array" ref="H371">_xlfn.XLOOKUP(A371,'Video Database'!L:L,'Video Database'!A:A,"")</f>
        <v>46189</v>
      </c>
      <c r="I371" s="103">
        <v>46201.0</v>
      </c>
      <c r="J371" s="104">
        <v>0.0</v>
      </c>
      <c r="K371" s="105"/>
      <c r="L371" s="105" t="str">
        <f t="shared" si="1"/>
        <v/>
      </c>
      <c r="O371" s="106" t="str">
        <f t="shared" si="2"/>
        <v>#N/A</v>
      </c>
      <c r="P371" s="106" t="str">
        <f t="shared" si="3"/>
        <v>#N/A</v>
      </c>
      <c r="Q371" s="84" t="str">
        <f t="shared" si="4"/>
        <v>#N/A</v>
      </c>
      <c r="R371" s="84" t="str">
        <f t="shared" si="5"/>
        <v>#N/A</v>
      </c>
      <c r="S371" s="107">
        <f t="shared" si="6"/>
        <v>-0.11</v>
      </c>
      <c r="T371" s="108">
        <f t="shared" si="7"/>
        <v>-1</v>
      </c>
      <c r="U371" s="106" t="str">
        <f t="shared" si="8"/>
        <v>#N/A</v>
      </c>
      <c r="V371" s="84" t="str">
        <f t="shared" si="9"/>
        <v/>
      </c>
      <c r="W371" s="109" t="str">
        <f t="shared" si="10"/>
        <v/>
      </c>
      <c r="X371" s="109" t="str">
        <f t="shared" si="11"/>
        <v/>
      </c>
      <c r="Y371" s="110" t="str">
        <f t="array" ref="Y371">_xlfn.XLOOKUP(A371,'Video Database'!L:L,'Video Database'!M:M,"")</f>
        <v>Product Overlay</v>
      </c>
    </row>
    <row r="372" ht="22.5" customHeight="1">
      <c r="A372" s="113">
        <f t="shared" si="12"/>
        <v>371</v>
      </c>
      <c r="B372" s="98" t="str">
        <f t="array" ref="B372">_xlfn.XLOOKUP(A372,'Video Database'!L:L,'Video Database'!D:D,"")</f>
        <v>Blakely</v>
      </c>
      <c r="C372" s="98" t="str">
        <f t="array" ref="C372">_xlfn.XLOOKUP(A372,'Video Database'!L:L,'Video Database'!E:E,"")</f>
        <v>Account 1</v>
      </c>
      <c r="D372" s="99" t="str">
        <f t="array" ref="D372">_xlfn.XLOOKUP(A372,'Video Database'!L:L,'Video Database'!G:G,"")</f>
        <v>Goli Women's Complete Multi Gummy</v>
      </c>
      <c r="E372" s="100">
        <f t="array" ref="E372">_xlfn.XLOOKUP(A372,'Video Database'!L:L,'Video Database'!H:H,"")</f>
        <v>0.11</v>
      </c>
      <c r="F372" s="101">
        <v>0.0</v>
      </c>
      <c r="G372" s="87">
        <v>0.0</v>
      </c>
      <c r="H372" s="114">
        <f t="array" ref="H372">_xlfn.XLOOKUP(A372,'Video Database'!L:L,'Video Database'!A:A,"")</f>
        <v>46189</v>
      </c>
      <c r="I372" s="103">
        <v>46201.0</v>
      </c>
      <c r="J372" s="104">
        <v>0.0</v>
      </c>
      <c r="K372" s="105"/>
      <c r="L372" s="105" t="str">
        <f t="shared" si="1"/>
        <v/>
      </c>
      <c r="O372" s="106" t="str">
        <f t="shared" si="2"/>
        <v>#N/A</v>
      </c>
      <c r="P372" s="106" t="str">
        <f t="shared" si="3"/>
        <v>#N/A</v>
      </c>
      <c r="Q372" s="84" t="str">
        <f t="shared" si="4"/>
        <v>#N/A</v>
      </c>
      <c r="R372" s="84" t="str">
        <f t="shared" si="5"/>
        <v>#N/A</v>
      </c>
      <c r="S372" s="107">
        <f t="shared" si="6"/>
        <v>-0.11</v>
      </c>
      <c r="T372" s="108">
        <f t="shared" si="7"/>
        <v>-1</v>
      </c>
      <c r="U372" s="106" t="str">
        <f t="shared" si="8"/>
        <v>#N/A</v>
      </c>
      <c r="V372" s="84" t="str">
        <f t="shared" si="9"/>
        <v/>
      </c>
      <c r="W372" s="109" t="str">
        <f t="shared" si="10"/>
        <v/>
      </c>
      <c r="X372" s="109" t="str">
        <f t="shared" si="11"/>
        <v/>
      </c>
      <c r="Y372" s="110" t="str">
        <f t="array" ref="Y372">_xlfn.XLOOKUP(A372,'Video Database'!L:L,'Video Database'!M:M,"")</f>
        <v>Product Overlay</v>
      </c>
    </row>
    <row r="373" ht="22.5" customHeight="1">
      <c r="A373" s="113">
        <f t="shared" si="12"/>
        <v>372</v>
      </c>
      <c r="B373" s="98" t="str">
        <f t="array" ref="B373">_xlfn.XLOOKUP(A373,'Video Database'!L:L,'Video Database'!D:D,"")</f>
        <v>Blakely</v>
      </c>
      <c r="C373" s="98" t="str">
        <f t="array" ref="C373">_xlfn.XLOOKUP(A373,'Video Database'!L:L,'Video Database'!E:E,"")</f>
        <v>Account 1</v>
      </c>
      <c r="D373" s="99" t="str">
        <f t="array" ref="D373">_xlfn.XLOOKUP(A373,'Video Database'!L:L,'Video Database'!G:G,"")</f>
        <v>Squish Energy Preworkout Jello Shots</v>
      </c>
      <c r="E373" s="100">
        <f t="array" ref="E373">_xlfn.XLOOKUP(A373,'Video Database'!L:L,'Video Database'!H:H,"")</f>
        <v>0.11</v>
      </c>
      <c r="F373" s="101">
        <v>0.0</v>
      </c>
      <c r="G373" s="87">
        <v>0.0</v>
      </c>
      <c r="H373" s="114">
        <f t="array" ref="H373">_xlfn.XLOOKUP(A373,'Video Database'!L:L,'Video Database'!A:A,"")</f>
        <v>46189</v>
      </c>
      <c r="I373" s="103">
        <v>46201.0</v>
      </c>
      <c r="J373" s="104">
        <v>0.0</v>
      </c>
      <c r="K373" s="105"/>
      <c r="L373" s="105" t="str">
        <f t="shared" si="1"/>
        <v/>
      </c>
      <c r="O373" s="106" t="str">
        <f t="shared" si="2"/>
        <v>#N/A</v>
      </c>
      <c r="P373" s="106" t="str">
        <f t="shared" si="3"/>
        <v>#N/A</v>
      </c>
      <c r="Q373" s="84" t="str">
        <f t="shared" si="4"/>
        <v>#N/A</v>
      </c>
      <c r="R373" s="84" t="str">
        <f t="shared" si="5"/>
        <v>#N/A</v>
      </c>
      <c r="S373" s="107">
        <f t="shared" si="6"/>
        <v>-0.11</v>
      </c>
      <c r="T373" s="108">
        <f t="shared" si="7"/>
        <v>-1</v>
      </c>
      <c r="U373" s="106" t="str">
        <f t="shared" si="8"/>
        <v>#N/A</v>
      </c>
      <c r="V373" s="84" t="str">
        <f t="shared" si="9"/>
        <v/>
      </c>
      <c r="W373" s="109" t="str">
        <f t="shared" si="10"/>
        <v/>
      </c>
      <c r="X373" s="109" t="str">
        <f t="shared" si="11"/>
        <v/>
      </c>
      <c r="Y373" s="110" t="str">
        <f t="array" ref="Y373">_xlfn.XLOOKUP(A373,'Video Database'!L:L,'Video Database'!M:M,"")</f>
        <v>Product Overlay</v>
      </c>
    </row>
    <row r="374" ht="22.5" customHeight="1">
      <c r="A374" s="113">
        <f t="shared" si="12"/>
        <v>373</v>
      </c>
      <c r="B374" s="98" t="str">
        <f t="array" ref="B374">_xlfn.XLOOKUP(A374,'Video Database'!L:L,'Video Database'!D:D,"")</f>
        <v>Blakely</v>
      </c>
      <c r="C374" s="98" t="str">
        <f t="array" ref="C374">_xlfn.XLOOKUP(A374,'Video Database'!L:L,'Video Database'!E:E,"")</f>
        <v>Account 1</v>
      </c>
      <c r="D374" s="99" t="str">
        <f t="array" ref="D374">_xlfn.XLOOKUP(A374,'Video Database'!L:L,'Video Database'!G:G,"")</f>
        <v>Nello Supercalm Drink Mix</v>
      </c>
      <c r="E374" s="100">
        <f t="array" ref="E374">_xlfn.XLOOKUP(A374,'Video Database'!L:L,'Video Database'!H:H,"")</f>
        <v>0.11</v>
      </c>
      <c r="F374" s="101">
        <v>0.0</v>
      </c>
      <c r="G374" s="87">
        <v>0.0</v>
      </c>
      <c r="H374" s="114">
        <f t="array" ref="H374">_xlfn.XLOOKUP(A374,'Video Database'!L:L,'Video Database'!A:A,"")</f>
        <v>46189</v>
      </c>
      <c r="I374" s="103">
        <v>46201.0</v>
      </c>
      <c r="J374" s="104">
        <v>0.0</v>
      </c>
      <c r="K374" s="105"/>
      <c r="L374" s="105" t="str">
        <f t="shared" si="1"/>
        <v/>
      </c>
      <c r="O374" s="106" t="str">
        <f t="shared" si="2"/>
        <v>#N/A</v>
      </c>
      <c r="P374" s="106" t="str">
        <f t="shared" si="3"/>
        <v>#N/A</v>
      </c>
      <c r="Q374" s="84" t="str">
        <f t="shared" si="4"/>
        <v>#N/A</v>
      </c>
      <c r="R374" s="84" t="str">
        <f t="shared" si="5"/>
        <v>#N/A</v>
      </c>
      <c r="S374" s="107">
        <f t="shared" si="6"/>
        <v>-0.11</v>
      </c>
      <c r="T374" s="108">
        <f t="shared" si="7"/>
        <v>-1</v>
      </c>
      <c r="U374" s="106" t="str">
        <f t="shared" si="8"/>
        <v>#N/A</v>
      </c>
      <c r="V374" s="84" t="str">
        <f t="shared" si="9"/>
        <v/>
      </c>
      <c r="W374" s="109" t="str">
        <f t="shared" si="10"/>
        <v/>
      </c>
      <c r="X374" s="109" t="str">
        <f t="shared" si="11"/>
        <v/>
      </c>
      <c r="Y374" s="110" t="str">
        <f t="array" ref="Y374">_xlfn.XLOOKUP(A374,'Video Database'!L:L,'Video Database'!M:M,"")</f>
        <v>Product Overlay</v>
      </c>
    </row>
    <row r="375" ht="22.5" customHeight="1">
      <c r="A375" s="113">
        <f t="shared" si="12"/>
        <v>374</v>
      </c>
      <c r="B375" s="98" t="str">
        <f t="array" ref="B375">_xlfn.XLOOKUP(A375,'Video Database'!L:L,'Video Database'!D:D,"")</f>
        <v>Blakely</v>
      </c>
      <c r="C375" s="98" t="str">
        <f t="array" ref="C375">_xlfn.XLOOKUP(A375,'Video Database'!L:L,'Video Database'!E:E,"")</f>
        <v>Account 1</v>
      </c>
      <c r="D375" s="99" t="str">
        <f t="array" ref="D375">_xlfn.XLOOKUP(A375,'Video Database'!L:L,'Video Database'!G:G,"")</f>
        <v>BetterAlt Shilajit Honey Sticks</v>
      </c>
      <c r="E375" s="100">
        <f t="array" ref="E375">_xlfn.XLOOKUP(A375,'Video Database'!L:L,'Video Database'!H:H,"")</f>
        <v>0.11</v>
      </c>
      <c r="F375" s="101">
        <v>0.0</v>
      </c>
      <c r="G375" s="87">
        <v>0.0</v>
      </c>
      <c r="H375" s="114">
        <f t="array" ref="H375">_xlfn.XLOOKUP(A375,'Video Database'!L:L,'Video Database'!A:A,"")</f>
        <v>46189</v>
      </c>
      <c r="I375" s="103">
        <v>46201.0</v>
      </c>
      <c r="J375" s="104">
        <v>0.0</v>
      </c>
      <c r="K375" s="105"/>
      <c r="L375" s="105" t="str">
        <f t="shared" si="1"/>
        <v/>
      </c>
      <c r="O375" s="106" t="str">
        <f t="shared" si="2"/>
        <v>#N/A</v>
      </c>
      <c r="P375" s="106" t="str">
        <f t="shared" si="3"/>
        <v>#N/A</v>
      </c>
      <c r="Q375" s="84" t="str">
        <f t="shared" si="4"/>
        <v>#N/A</v>
      </c>
      <c r="R375" s="84" t="str">
        <f t="shared" si="5"/>
        <v>#N/A</v>
      </c>
      <c r="S375" s="107">
        <f t="shared" si="6"/>
        <v>-0.11</v>
      </c>
      <c r="T375" s="108">
        <f t="shared" si="7"/>
        <v>-1</v>
      </c>
      <c r="U375" s="106" t="str">
        <f t="shared" si="8"/>
        <v>#N/A</v>
      </c>
      <c r="V375" s="84" t="str">
        <f t="shared" si="9"/>
        <v/>
      </c>
      <c r="W375" s="109" t="str">
        <f t="shared" si="10"/>
        <v/>
      </c>
      <c r="X375" s="109" t="str">
        <f t="shared" si="11"/>
        <v/>
      </c>
      <c r="Y375" s="110" t="str">
        <f t="array" ref="Y375">_xlfn.XLOOKUP(A375,'Video Database'!L:L,'Video Database'!M:M,"")</f>
        <v>Bottom of Funnel</v>
      </c>
    </row>
    <row r="376" ht="22.5" customHeight="1">
      <c r="A376" s="113">
        <f t="shared" si="12"/>
        <v>375</v>
      </c>
      <c r="B376" s="98" t="str">
        <f t="array" ref="B376">_xlfn.XLOOKUP(A376,'Video Database'!L:L,'Video Database'!D:D,"")</f>
        <v>Blakely</v>
      </c>
      <c r="C376" s="98" t="str">
        <f t="array" ref="C376">_xlfn.XLOOKUP(A376,'Video Database'!L:L,'Video Database'!E:E,"")</f>
        <v>Account 1</v>
      </c>
      <c r="D376" s="99" t="str">
        <f t="array" ref="D376">_xlfn.XLOOKUP(A376,'Video Database'!L:L,'Video Database'!G:G,"")</f>
        <v>Nutricost Creatine Monohydrate</v>
      </c>
      <c r="E376" s="100">
        <f t="array" ref="E376">_xlfn.XLOOKUP(A376,'Video Database'!L:L,'Video Database'!H:H,"")</f>
        <v>0.11</v>
      </c>
      <c r="F376" s="101">
        <v>0.0</v>
      </c>
      <c r="G376" s="87">
        <v>0.0</v>
      </c>
      <c r="H376" s="114">
        <f t="array" ref="H376">_xlfn.XLOOKUP(A376,'Video Database'!L:L,'Video Database'!A:A,"")</f>
        <v>46189</v>
      </c>
      <c r="I376" s="103">
        <v>46201.0</v>
      </c>
      <c r="J376" s="104">
        <v>0.0</v>
      </c>
      <c r="K376" s="105"/>
      <c r="L376" s="105" t="str">
        <f t="shared" si="1"/>
        <v/>
      </c>
      <c r="O376" s="106" t="str">
        <f t="shared" si="2"/>
        <v>#N/A</v>
      </c>
      <c r="P376" s="106" t="str">
        <f t="shared" si="3"/>
        <v>#N/A</v>
      </c>
      <c r="Q376" s="84" t="str">
        <f t="shared" si="4"/>
        <v>#N/A</v>
      </c>
      <c r="R376" s="84" t="str">
        <f t="shared" si="5"/>
        <v>#N/A</v>
      </c>
      <c r="S376" s="107">
        <f t="shared" si="6"/>
        <v>-0.11</v>
      </c>
      <c r="T376" s="108">
        <f t="shared" si="7"/>
        <v>-1</v>
      </c>
      <c r="U376" s="106" t="str">
        <f t="shared" si="8"/>
        <v>#N/A</v>
      </c>
      <c r="V376" s="84" t="str">
        <f t="shared" si="9"/>
        <v/>
      </c>
      <c r="W376" s="109" t="str">
        <f t="shared" si="10"/>
        <v/>
      </c>
      <c r="X376" s="109" t="str">
        <f t="shared" si="11"/>
        <v/>
      </c>
      <c r="Y376" s="110" t="str">
        <f t="array" ref="Y376">_xlfn.XLOOKUP(A376,'Video Database'!L:L,'Video Database'!M:M,"")</f>
        <v>Bottom of Funnel</v>
      </c>
    </row>
    <row r="377" ht="22.5" customHeight="1">
      <c r="A377" s="113">
        <f t="shared" si="12"/>
        <v>376</v>
      </c>
      <c r="B377" s="98" t="str">
        <f t="array" ref="B377">_xlfn.XLOOKUP(A377,'Video Database'!L:L,'Video Database'!D:D,"")</f>
        <v>Blakely</v>
      </c>
      <c r="C377" s="98" t="str">
        <f t="array" ref="C377">_xlfn.XLOOKUP(A377,'Video Database'!L:L,'Video Database'!E:E,"")</f>
        <v>Account 1</v>
      </c>
      <c r="D377" s="99" t="str">
        <f t="array" ref="D377">_xlfn.XLOOKUP(A377,'Video Database'!L:L,'Video Database'!G:G,"")</f>
        <v>Neurogum Watermelon</v>
      </c>
      <c r="E377" s="100">
        <f t="array" ref="E377">_xlfn.XLOOKUP(A377,'Video Database'!L:L,'Video Database'!H:H,"")</f>
        <v>0.11</v>
      </c>
      <c r="F377" s="101">
        <v>0.0</v>
      </c>
      <c r="G377" s="87">
        <v>0.0</v>
      </c>
      <c r="H377" s="114">
        <f t="array" ref="H377">_xlfn.XLOOKUP(A377,'Video Database'!L:L,'Video Database'!A:A,"")</f>
        <v>46189</v>
      </c>
      <c r="I377" s="103">
        <v>46201.0</v>
      </c>
      <c r="J377" s="104">
        <v>0.0</v>
      </c>
      <c r="K377" s="105"/>
      <c r="L377" s="105" t="str">
        <f t="shared" si="1"/>
        <v/>
      </c>
      <c r="O377" s="106" t="str">
        <f t="shared" si="2"/>
        <v>#N/A</v>
      </c>
      <c r="P377" s="106" t="str">
        <f t="shared" si="3"/>
        <v>#N/A</v>
      </c>
      <c r="Q377" s="84" t="str">
        <f t="shared" si="4"/>
        <v>#N/A</v>
      </c>
      <c r="R377" s="84" t="str">
        <f t="shared" si="5"/>
        <v>#N/A</v>
      </c>
      <c r="S377" s="107">
        <f t="shared" si="6"/>
        <v>-0.11</v>
      </c>
      <c r="T377" s="108">
        <f t="shared" si="7"/>
        <v>-1</v>
      </c>
      <c r="U377" s="106" t="str">
        <f t="shared" si="8"/>
        <v>#N/A</v>
      </c>
      <c r="V377" s="84" t="str">
        <f t="shared" si="9"/>
        <v/>
      </c>
      <c r="W377" s="109" t="str">
        <f t="shared" si="10"/>
        <v/>
      </c>
      <c r="X377" s="109" t="str">
        <f t="shared" si="11"/>
        <v/>
      </c>
      <c r="Y377" s="110" t="str">
        <f t="array" ref="Y377">_xlfn.XLOOKUP(A377,'Video Database'!L:L,'Video Database'!M:M,"")</f>
        <v>Bottom of Funnel</v>
      </c>
    </row>
    <row r="378" ht="22.5" customHeight="1">
      <c r="A378" s="113">
        <f t="shared" si="12"/>
        <v>377</v>
      </c>
      <c r="B378" s="98" t="str">
        <f t="array" ref="B378">_xlfn.XLOOKUP(A378,'Video Database'!L:L,'Video Database'!D:D,"")</f>
        <v>Blakely</v>
      </c>
      <c r="C378" s="98" t="str">
        <f t="array" ref="C378">_xlfn.XLOOKUP(A378,'Video Database'!L:L,'Video Database'!E:E,"")</f>
        <v>Account 1</v>
      </c>
      <c r="D378" s="99" t="str">
        <f t="array" ref="D378">_xlfn.XLOOKUP(A378,'Video Database'!L:L,'Video Database'!G:G,"")</f>
        <v>Physician's Choice Probiotic Gummies</v>
      </c>
      <c r="E378" s="100">
        <f t="array" ref="E378">_xlfn.XLOOKUP(A378,'Video Database'!L:L,'Video Database'!H:H,"")</f>
        <v>0.11</v>
      </c>
      <c r="F378" s="101">
        <v>0.0</v>
      </c>
      <c r="G378" s="87">
        <v>0.0</v>
      </c>
      <c r="H378" s="114">
        <f t="array" ref="H378">_xlfn.XLOOKUP(A378,'Video Database'!L:L,'Video Database'!A:A,"")</f>
        <v>46189</v>
      </c>
      <c r="I378" s="103">
        <v>46201.0</v>
      </c>
      <c r="J378" s="104">
        <v>0.0</v>
      </c>
      <c r="K378" s="105"/>
      <c r="L378" s="105" t="str">
        <f t="shared" si="1"/>
        <v/>
      </c>
      <c r="O378" s="106" t="str">
        <f t="shared" si="2"/>
        <v>#N/A</v>
      </c>
      <c r="P378" s="106" t="str">
        <f t="shared" si="3"/>
        <v>#N/A</v>
      </c>
      <c r="Q378" s="84" t="str">
        <f t="shared" si="4"/>
        <v>#N/A</v>
      </c>
      <c r="R378" s="84" t="str">
        <f t="shared" si="5"/>
        <v>#N/A</v>
      </c>
      <c r="S378" s="107">
        <f t="shared" si="6"/>
        <v>-0.11</v>
      </c>
      <c r="T378" s="108">
        <f t="shared" si="7"/>
        <v>-1</v>
      </c>
      <c r="U378" s="106" t="str">
        <f t="shared" si="8"/>
        <v>#N/A</v>
      </c>
      <c r="V378" s="84" t="str">
        <f t="shared" si="9"/>
        <v/>
      </c>
      <c r="W378" s="109" t="str">
        <f t="shared" si="10"/>
        <v/>
      </c>
      <c r="X378" s="109" t="str">
        <f t="shared" si="11"/>
        <v/>
      </c>
      <c r="Y378" s="110" t="str">
        <f t="array" ref="Y378">_xlfn.XLOOKUP(A378,'Video Database'!L:L,'Video Database'!M:M,"")</f>
        <v>Bottom of Funnel</v>
      </c>
    </row>
    <row r="379" ht="22.5" customHeight="1">
      <c r="A379" s="113">
        <f t="shared" si="12"/>
        <v>378</v>
      </c>
      <c r="B379" s="98" t="str">
        <f t="array" ref="B379">_xlfn.XLOOKUP(A379,'Video Database'!L:L,'Video Database'!D:D,"")</f>
        <v>Blakely</v>
      </c>
      <c r="C379" s="98" t="str">
        <f t="array" ref="C379">_xlfn.XLOOKUP(A379,'Video Database'!L:L,'Video Database'!E:E,"")</f>
        <v>Account 1</v>
      </c>
      <c r="D379" s="99" t="str">
        <f t="array" ref="D379">_xlfn.XLOOKUP(A379,'Video Database'!L:L,'Video Database'!G:G,"")</f>
        <v>Mushroom Coffee</v>
      </c>
      <c r="E379" s="100">
        <f t="array" ref="E379">_xlfn.XLOOKUP(A379,'Video Database'!L:L,'Video Database'!H:H,"")</f>
        <v>0.11</v>
      </c>
      <c r="F379" s="101">
        <v>0.0</v>
      </c>
      <c r="G379" s="87">
        <v>0.0</v>
      </c>
      <c r="H379" s="114">
        <f t="array" ref="H379">_xlfn.XLOOKUP(A379,'Video Database'!L:L,'Video Database'!A:A,"")</f>
        <v>46189</v>
      </c>
      <c r="I379" s="103">
        <v>46201.0</v>
      </c>
      <c r="J379" s="104">
        <v>0.0</v>
      </c>
      <c r="K379" s="105"/>
      <c r="L379" s="105" t="str">
        <f t="shared" si="1"/>
        <v/>
      </c>
      <c r="O379" s="106" t="str">
        <f t="shared" si="2"/>
        <v>#N/A</v>
      </c>
      <c r="P379" s="106" t="str">
        <f t="shared" si="3"/>
        <v>#N/A</v>
      </c>
      <c r="Q379" s="84" t="str">
        <f t="shared" si="4"/>
        <v>#N/A</v>
      </c>
      <c r="R379" s="84" t="str">
        <f t="shared" si="5"/>
        <v>#N/A</v>
      </c>
      <c r="S379" s="107">
        <f t="shared" si="6"/>
        <v>-0.11</v>
      </c>
      <c r="T379" s="108">
        <f t="shared" si="7"/>
        <v>-1</v>
      </c>
      <c r="U379" s="106" t="str">
        <f t="shared" si="8"/>
        <v>#N/A</v>
      </c>
      <c r="V379" s="84" t="str">
        <f t="shared" si="9"/>
        <v/>
      </c>
      <c r="W379" s="109" t="str">
        <f t="shared" si="10"/>
        <v/>
      </c>
      <c r="X379" s="109" t="str">
        <f t="shared" si="11"/>
        <v/>
      </c>
      <c r="Y379" s="110" t="str">
        <f t="array" ref="Y379">_xlfn.XLOOKUP(A379,'Video Database'!L:L,'Video Database'!M:M,"")</f>
        <v>Bottom of Funnel</v>
      </c>
    </row>
    <row r="380" ht="22.5" customHeight="1">
      <c r="A380" s="113">
        <f t="shared" si="12"/>
        <v>379</v>
      </c>
      <c r="B380" s="98" t="str">
        <f t="array" ref="B380">_xlfn.XLOOKUP(A380,'Video Database'!L:L,'Video Database'!D:D,"")</f>
        <v>Blakely</v>
      </c>
      <c r="C380" s="98" t="str">
        <f t="array" ref="C380">_xlfn.XLOOKUP(A380,'Video Database'!L:L,'Video Database'!E:E,"")</f>
        <v>Account 1</v>
      </c>
      <c r="D380" s="99" t="str">
        <f t="array" ref="D380">_xlfn.XLOOKUP(A380,'Video Database'!L:L,'Video Database'!G:G,"")</f>
        <v>Squish Energy Preworkout Jello Shots</v>
      </c>
      <c r="E380" s="100">
        <f t="array" ref="E380">_xlfn.XLOOKUP(A380,'Video Database'!L:L,'Video Database'!H:H,"")</f>
        <v>0.11</v>
      </c>
      <c r="F380" s="101">
        <v>0.0</v>
      </c>
      <c r="G380" s="87">
        <v>0.0</v>
      </c>
      <c r="H380" s="114">
        <f t="array" ref="H380">_xlfn.XLOOKUP(A380,'Video Database'!L:L,'Video Database'!A:A,"")</f>
        <v>46189</v>
      </c>
      <c r="I380" s="103">
        <v>46201.0</v>
      </c>
      <c r="J380" s="104">
        <v>0.0</v>
      </c>
      <c r="K380" s="105"/>
      <c r="L380" s="105" t="str">
        <f t="shared" si="1"/>
        <v/>
      </c>
      <c r="O380" s="106" t="str">
        <f t="shared" si="2"/>
        <v>#N/A</v>
      </c>
      <c r="P380" s="106" t="str">
        <f t="shared" si="3"/>
        <v>#N/A</v>
      </c>
      <c r="Q380" s="84" t="str">
        <f t="shared" si="4"/>
        <v>#N/A</v>
      </c>
      <c r="R380" s="84" t="str">
        <f t="shared" si="5"/>
        <v>#N/A</v>
      </c>
      <c r="S380" s="107">
        <f t="shared" si="6"/>
        <v>-0.11</v>
      </c>
      <c r="T380" s="108">
        <f t="shared" si="7"/>
        <v>-1</v>
      </c>
      <c r="U380" s="106" t="str">
        <f t="shared" si="8"/>
        <v>#N/A</v>
      </c>
      <c r="V380" s="84" t="str">
        <f t="shared" si="9"/>
        <v/>
      </c>
      <c r="W380" s="109" t="str">
        <f t="shared" si="10"/>
        <v/>
      </c>
      <c r="X380" s="109" t="str">
        <f t="shared" si="11"/>
        <v/>
      </c>
      <c r="Y380" s="110" t="str">
        <f t="array" ref="Y380">_xlfn.XLOOKUP(A380,'Video Database'!L:L,'Video Database'!M:M,"")</f>
        <v>Bottom of Funnel</v>
      </c>
    </row>
    <row r="381" ht="22.5" customHeight="1">
      <c r="A381" s="113">
        <f t="shared" si="12"/>
        <v>380</v>
      </c>
      <c r="B381" s="98" t="str">
        <f t="array" ref="B381">_xlfn.XLOOKUP(A381,'Video Database'!L:L,'Video Database'!D:D,"")</f>
        <v>Blakely</v>
      </c>
      <c r="C381" s="98" t="str">
        <f t="array" ref="C381">_xlfn.XLOOKUP(A381,'Video Database'!L:L,'Video Database'!E:E,"")</f>
        <v>Account 1</v>
      </c>
      <c r="D381" s="99" t="str">
        <f t="array" ref="D381">_xlfn.XLOOKUP(A381,'Video Database'!L:L,'Video Database'!G:G,"")</f>
        <v>Mushroom Coffee</v>
      </c>
      <c r="E381" s="100">
        <f t="array" ref="E381">_xlfn.XLOOKUP(A381,'Video Database'!L:L,'Video Database'!H:H,"")</f>
        <v>0.11</v>
      </c>
      <c r="F381" s="101">
        <v>0.0</v>
      </c>
      <c r="G381" s="87">
        <v>0.0</v>
      </c>
      <c r="H381" s="114">
        <f t="array" ref="H381">_xlfn.XLOOKUP(A381,'Video Database'!L:L,'Video Database'!A:A,"")</f>
        <v>46189</v>
      </c>
      <c r="I381" s="103">
        <v>46201.0</v>
      </c>
      <c r="J381" s="104">
        <v>0.0</v>
      </c>
      <c r="K381" s="105"/>
      <c r="L381" s="105" t="str">
        <f t="shared" si="1"/>
        <v/>
      </c>
      <c r="O381" s="106" t="str">
        <f t="shared" si="2"/>
        <v>#N/A</v>
      </c>
      <c r="P381" s="106" t="str">
        <f t="shared" si="3"/>
        <v>#N/A</v>
      </c>
      <c r="Q381" s="84" t="str">
        <f t="shared" si="4"/>
        <v>#N/A</v>
      </c>
      <c r="R381" s="84" t="str">
        <f t="shared" si="5"/>
        <v>#N/A</v>
      </c>
      <c r="S381" s="107">
        <f t="shared" si="6"/>
        <v>-0.11</v>
      </c>
      <c r="T381" s="108">
        <f t="shared" si="7"/>
        <v>-1</v>
      </c>
      <c r="U381" s="106" t="str">
        <f t="shared" si="8"/>
        <v>#N/A</v>
      </c>
      <c r="V381" s="84" t="str">
        <f t="shared" si="9"/>
        <v/>
      </c>
      <c r="W381" s="109" t="str">
        <f t="shared" si="10"/>
        <v/>
      </c>
      <c r="X381" s="109" t="str">
        <f t="shared" si="11"/>
        <v/>
      </c>
      <c r="Y381" s="110" t="str">
        <f t="array" ref="Y381">_xlfn.XLOOKUP(A381,'Video Database'!L:L,'Video Database'!M:M,"")</f>
        <v>Product Overlay</v>
      </c>
    </row>
    <row r="382" ht="22.5" customHeight="1">
      <c r="A382" s="113">
        <f t="shared" si="12"/>
        <v>381</v>
      </c>
      <c r="B382" s="98" t="str">
        <f t="array" ref="B382">_xlfn.XLOOKUP(A382,'Video Database'!L:L,'Video Database'!D:D,"")</f>
        <v>Blakely</v>
      </c>
      <c r="C382" s="98" t="str">
        <f t="array" ref="C382">_xlfn.XLOOKUP(A382,'Video Database'!L:L,'Video Database'!E:E,"")</f>
        <v>Account 1</v>
      </c>
      <c r="D382" s="99" t="str">
        <f t="array" ref="D382">_xlfn.XLOOKUP(A382,'Video Database'!L:L,'Video Database'!G:G,"")</f>
        <v>Physician's Choice Probiotic Gummies</v>
      </c>
      <c r="E382" s="100">
        <f t="array" ref="E382">_xlfn.XLOOKUP(A382,'Video Database'!L:L,'Video Database'!H:H,"")</f>
        <v>0.11</v>
      </c>
      <c r="F382" s="101">
        <v>0.0</v>
      </c>
      <c r="G382" s="87">
        <v>0.0</v>
      </c>
      <c r="H382" s="114">
        <f t="array" ref="H382">_xlfn.XLOOKUP(A382,'Video Database'!L:L,'Video Database'!A:A,"")</f>
        <v>46189</v>
      </c>
      <c r="I382" s="103">
        <v>46201.0</v>
      </c>
      <c r="J382" s="104">
        <v>0.0</v>
      </c>
      <c r="K382" s="105"/>
      <c r="L382" s="105" t="str">
        <f t="shared" si="1"/>
        <v/>
      </c>
      <c r="O382" s="106" t="str">
        <f t="shared" si="2"/>
        <v>#N/A</v>
      </c>
      <c r="P382" s="106" t="str">
        <f t="shared" si="3"/>
        <v>#N/A</v>
      </c>
      <c r="Q382" s="84" t="str">
        <f t="shared" si="4"/>
        <v>#N/A</v>
      </c>
      <c r="R382" s="84" t="str">
        <f t="shared" si="5"/>
        <v>#N/A</v>
      </c>
      <c r="S382" s="107">
        <f t="shared" si="6"/>
        <v>-0.11</v>
      </c>
      <c r="T382" s="108">
        <f t="shared" si="7"/>
        <v>-1</v>
      </c>
      <c r="U382" s="106" t="str">
        <f t="shared" si="8"/>
        <v>#N/A</v>
      </c>
      <c r="V382" s="84" t="str">
        <f t="shared" si="9"/>
        <v/>
      </c>
      <c r="W382" s="109" t="str">
        <f t="shared" si="10"/>
        <v/>
      </c>
      <c r="X382" s="109" t="str">
        <f t="shared" si="11"/>
        <v/>
      </c>
      <c r="Y382" s="110" t="str">
        <f t="array" ref="Y382">_xlfn.XLOOKUP(A382,'Video Database'!L:L,'Video Database'!M:M,"")</f>
        <v>Product Overlay</v>
      </c>
    </row>
    <row r="383" ht="22.5" customHeight="1">
      <c r="A383" s="113">
        <f t="shared" si="12"/>
        <v>382</v>
      </c>
      <c r="B383" s="98" t="str">
        <f t="array" ref="B383">_xlfn.XLOOKUP(A383,'Video Database'!L:L,'Video Database'!D:D,"")</f>
        <v>Blakely</v>
      </c>
      <c r="C383" s="98" t="str">
        <f t="array" ref="C383">_xlfn.XLOOKUP(A383,'Video Database'!L:L,'Video Database'!E:E,"")</f>
        <v>Account 1</v>
      </c>
      <c r="D383" s="99" t="str">
        <f t="array" ref="D383">_xlfn.XLOOKUP(A383,'Video Database'!L:L,'Video Database'!G:G,"")</f>
        <v>Hats - A Baseball Cap</v>
      </c>
      <c r="E383" s="100">
        <f t="array" ref="E383">_xlfn.XLOOKUP(A383,'Video Database'!L:L,'Video Database'!H:H,"")</f>
        <v>0.11</v>
      </c>
      <c r="F383" s="101">
        <v>0.0</v>
      </c>
      <c r="G383" s="87">
        <v>0.0</v>
      </c>
      <c r="H383" s="114">
        <f t="array" ref="H383">_xlfn.XLOOKUP(A383,'Video Database'!L:L,'Video Database'!A:A,"")</f>
        <v>46189</v>
      </c>
      <c r="I383" s="103">
        <v>46201.0</v>
      </c>
      <c r="J383" s="104">
        <v>0.0</v>
      </c>
      <c r="K383" s="105"/>
      <c r="L383" s="105" t="str">
        <f t="shared" si="1"/>
        <v/>
      </c>
      <c r="O383" s="106" t="str">
        <f t="shared" si="2"/>
        <v>#N/A</v>
      </c>
      <c r="P383" s="106" t="str">
        <f t="shared" si="3"/>
        <v>#N/A</v>
      </c>
      <c r="Q383" s="84" t="str">
        <f t="shared" si="4"/>
        <v>#N/A</v>
      </c>
      <c r="R383" s="84" t="str">
        <f t="shared" si="5"/>
        <v>#N/A</v>
      </c>
      <c r="S383" s="107">
        <f t="shared" si="6"/>
        <v>-0.11</v>
      </c>
      <c r="T383" s="108">
        <f t="shared" si="7"/>
        <v>-1</v>
      </c>
      <c r="U383" s="106" t="str">
        <f t="shared" si="8"/>
        <v>#N/A</v>
      </c>
      <c r="V383" s="84" t="str">
        <f t="shared" si="9"/>
        <v/>
      </c>
      <c r="W383" s="109" t="str">
        <f t="shared" si="10"/>
        <v/>
      </c>
      <c r="X383" s="109" t="str">
        <f t="shared" si="11"/>
        <v/>
      </c>
      <c r="Y383" s="110" t="str">
        <f t="array" ref="Y383">_xlfn.XLOOKUP(A383,'Video Database'!L:L,'Video Database'!M:M,"")</f>
        <v>Product Overlay</v>
      </c>
    </row>
    <row r="384" ht="22.5" customHeight="1">
      <c r="A384" s="113">
        <f t="shared" si="12"/>
        <v>383</v>
      </c>
      <c r="B384" s="98" t="str">
        <f t="array" ref="B384">_xlfn.XLOOKUP(A384,'Video Database'!L:L,'Video Database'!D:D,"")</f>
        <v>Blakely</v>
      </c>
      <c r="C384" s="98" t="str">
        <f t="array" ref="C384">_xlfn.XLOOKUP(A384,'Video Database'!L:L,'Video Database'!E:E,"")</f>
        <v>Account 1</v>
      </c>
      <c r="D384" s="99" t="str">
        <f t="array" ref="D384">_xlfn.XLOOKUP(A384,'Video Database'!L:L,'Video Database'!G:G,"")</f>
        <v>Beast Bites Creatine Gummies</v>
      </c>
      <c r="E384" s="100">
        <f t="array" ref="E384">_xlfn.XLOOKUP(A384,'Video Database'!L:L,'Video Database'!H:H,"")</f>
        <v>0.11</v>
      </c>
      <c r="F384" s="101">
        <v>0.0</v>
      </c>
      <c r="G384" s="87">
        <v>0.0</v>
      </c>
      <c r="H384" s="114">
        <f t="array" ref="H384">_xlfn.XLOOKUP(A384,'Video Database'!L:L,'Video Database'!A:A,"")</f>
        <v>46189</v>
      </c>
      <c r="I384" s="103">
        <v>46201.0</v>
      </c>
      <c r="J384" s="104">
        <v>0.0</v>
      </c>
      <c r="K384" s="105"/>
      <c r="L384" s="105" t="str">
        <f t="shared" si="1"/>
        <v/>
      </c>
      <c r="O384" s="106" t="str">
        <f t="shared" si="2"/>
        <v>#N/A</v>
      </c>
      <c r="P384" s="106" t="str">
        <f t="shared" si="3"/>
        <v>#N/A</v>
      </c>
      <c r="Q384" s="84" t="str">
        <f t="shared" si="4"/>
        <v>#N/A</v>
      </c>
      <c r="R384" s="84" t="str">
        <f t="shared" si="5"/>
        <v>#N/A</v>
      </c>
      <c r="S384" s="107">
        <f t="shared" si="6"/>
        <v>-0.11</v>
      </c>
      <c r="T384" s="108">
        <f t="shared" si="7"/>
        <v>-1</v>
      </c>
      <c r="U384" s="106" t="str">
        <f t="shared" si="8"/>
        <v>#N/A</v>
      </c>
      <c r="V384" s="84" t="str">
        <f t="shared" si="9"/>
        <v/>
      </c>
      <c r="W384" s="109" t="str">
        <f t="shared" si="10"/>
        <v/>
      </c>
      <c r="X384" s="109" t="str">
        <f t="shared" si="11"/>
        <v/>
      </c>
      <c r="Y384" s="110" t="str">
        <f t="array" ref="Y384">_xlfn.XLOOKUP(A384,'Video Database'!L:L,'Video Database'!M:M,"")</f>
        <v>Bottom of Funnel</v>
      </c>
    </row>
    <row r="385" ht="22.5" customHeight="1">
      <c r="A385" s="113">
        <f t="shared" si="12"/>
        <v>384</v>
      </c>
      <c r="B385" s="98" t="str">
        <f t="array" ref="B385">_xlfn.XLOOKUP(A385,'Video Database'!L:L,'Video Database'!D:D,"")</f>
        <v>Blakely</v>
      </c>
      <c r="C385" s="98" t="str">
        <f t="array" ref="C385">_xlfn.XLOOKUP(A385,'Video Database'!L:L,'Video Database'!E:E,"")</f>
        <v>Account 1</v>
      </c>
      <c r="D385" s="99" t="str">
        <f t="array" ref="D385">_xlfn.XLOOKUP(A385,'Video Database'!L:L,'Video Database'!G:G,"")</f>
        <v>AmpDaddy Charger Bundle</v>
      </c>
      <c r="E385" s="100">
        <f t="array" ref="E385">_xlfn.XLOOKUP(A385,'Video Database'!L:L,'Video Database'!H:H,"")</f>
        <v>0.11</v>
      </c>
      <c r="F385" s="101">
        <v>0.0</v>
      </c>
      <c r="G385" s="87">
        <v>0.0</v>
      </c>
      <c r="H385" s="114">
        <f t="array" ref="H385">_xlfn.XLOOKUP(A385,'Video Database'!L:L,'Video Database'!A:A,"")</f>
        <v>46189</v>
      </c>
      <c r="I385" s="103">
        <v>46201.0</v>
      </c>
      <c r="J385" s="104">
        <v>0.0</v>
      </c>
      <c r="K385" s="105"/>
      <c r="L385" s="105" t="str">
        <f t="shared" si="1"/>
        <v/>
      </c>
      <c r="O385" s="106" t="str">
        <f t="shared" si="2"/>
        <v>#N/A</v>
      </c>
      <c r="P385" s="106" t="str">
        <f t="shared" si="3"/>
        <v>#N/A</v>
      </c>
      <c r="Q385" s="84" t="str">
        <f t="shared" si="4"/>
        <v>#N/A</v>
      </c>
      <c r="R385" s="84" t="str">
        <f t="shared" si="5"/>
        <v>#N/A</v>
      </c>
      <c r="S385" s="107">
        <f t="shared" si="6"/>
        <v>-0.11</v>
      </c>
      <c r="T385" s="108">
        <f t="shared" si="7"/>
        <v>-1</v>
      </c>
      <c r="U385" s="106" t="str">
        <f t="shared" si="8"/>
        <v>#N/A</v>
      </c>
      <c r="V385" s="84" t="str">
        <f t="shared" si="9"/>
        <v/>
      </c>
      <c r="W385" s="109" t="str">
        <f t="shared" si="10"/>
        <v/>
      </c>
      <c r="X385" s="109" t="str">
        <f t="shared" si="11"/>
        <v/>
      </c>
      <c r="Y385" s="110" t="str">
        <f t="array" ref="Y385">_xlfn.XLOOKUP(A385,'Video Database'!L:L,'Video Database'!M:M,"")</f>
        <v>Product Overlay</v>
      </c>
    </row>
    <row r="386" ht="22.5" customHeight="1">
      <c r="A386" s="113">
        <f t="shared" si="12"/>
        <v>385</v>
      </c>
      <c r="B386" s="98" t="str">
        <f t="array" ref="B386">_xlfn.XLOOKUP(A386,'Video Database'!L:L,'Video Database'!D:D,"")</f>
        <v>Erin</v>
      </c>
      <c r="C386" s="98" t="str">
        <f t="array" ref="C386">_xlfn.XLOOKUP(A386,'Video Database'!L:L,'Video Database'!E:E,"")</f>
        <v>Account 2</v>
      </c>
      <c r="D386" s="99" t="str">
        <f t="array" ref="D386">_xlfn.XLOOKUP(A386,'Video Database'!L:L,'Video Database'!G:G,"")</f>
        <v>Peta Jane Self-Tan Starter Kit Medium</v>
      </c>
      <c r="E386" s="100">
        <f t="array" ref="E386">_xlfn.XLOOKUP(A386,'Video Database'!L:L,'Video Database'!H:H,"")</f>
        <v>1.1</v>
      </c>
      <c r="F386" s="101">
        <v>0.0</v>
      </c>
      <c r="G386" s="87">
        <v>0.0</v>
      </c>
      <c r="H386" s="114">
        <f t="array" ref="H386">_xlfn.XLOOKUP(A386,'Video Database'!L:L,'Video Database'!A:A,"")</f>
        <v>46189</v>
      </c>
      <c r="I386" s="103">
        <v>46201.0</v>
      </c>
      <c r="J386" s="104">
        <v>0.0</v>
      </c>
      <c r="K386" s="105"/>
      <c r="L386" s="105" t="str">
        <f t="shared" si="1"/>
        <v/>
      </c>
      <c r="O386" s="106" t="str">
        <f t="shared" si="2"/>
        <v>#N/A</v>
      </c>
      <c r="P386" s="106" t="str">
        <f t="shared" si="3"/>
        <v>#N/A</v>
      </c>
      <c r="Q386" s="84" t="str">
        <f t="shared" si="4"/>
        <v>#N/A</v>
      </c>
      <c r="R386" s="84" t="str">
        <f t="shared" si="5"/>
        <v>#N/A</v>
      </c>
      <c r="S386" s="107">
        <f t="shared" si="6"/>
        <v>-1.1</v>
      </c>
      <c r="T386" s="108">
        <f t="shared" si="7"/>
        <v>-1</v>
      </c>
      <c r="U386" s="106" t="str">
        <f t="shared" si="8"/>
        <v>#N/A</v>
      </c>
      <c r="V386" s="84" t="str">
        <f t="shared" si="9"/>
        <v/>
      </c>
      <c r="W386" s="109" t="str">
        <f t="shared" si="10"/>
        <v/>
      </c>
      <c r="X386" s="109" t="str">
        <f t="shared" si="11"/>
        <v/>
      </c>
      <c r="Y386" s="110" t="str">
        <f t="array" ref="Y386">_xlfn.XLOOKUP(A386,'Video Database'!L:L,'Video Database'!M:M,"")</f>
        <v>Bottom of Funnel</v>
      </c>
    </row>
    <row r="387" ht="22.5" customHeight="1">
      <c r="A387" s="113">
        <f t="shared" si="12"/>
        <v>386</v>
      </c>
      <c r="B387" s="98" t="str">
        <f t="array" ref="B387">_xlfn.XLOOKUP(A387,'Video Database'!L:L,'Video Database'!D:D,"")</f>
        <v>Blakely</v>
      </c>
      <c r="C387" s="98" t="str">
        <f t="array" ref="C387">_xlfn.XLOOKUP(A387,'Video Database'!L:L,'Video Database'!E:E,"")</f>
        <v>Account 2</v>
      </c>
      <c r="D387" s="99" t="str">
        <f t="array" ref="D387">_xlfn.XLOOKUP(A387,'Video Database'!L:L,'Video Database'!G:G,"")</f>
        <v>Cutler Nutrition Liquid Carnitine 3000</v>
      </c>
      <c r="E387" s="100">
        <f t="array" ref="E387">_xlfn.XLOOKUP(A387,'Video Database'!L:L,'Video Database'!H:H,"")</f>
        <v>0.11</v>
      </c>
      <c r="F387" s="101">
        <v>0.0</v>
      </c>
      <c r="G387" s="87">
        <v>0.0</v>
      </c>
      <c r="H387" s="114">
        <f t="array" ref="H387">_xlfn.XLOOKUP(A387,'Video Database'!L:L,'Video Database'!A:A,"")</f>
        <v>46189</v>
      </c>
      <c r="I387" s="103">
        <v>46201.0</v>
      </c>
      <c r="J387" s="104">
        <v>0.0</v>
      </c>
      <c r="K387" s="105"/>
      <c r="L387" s="105" t="str">
        <f t="shared" si="1"/>
        <v/>
      </c>
      <c r="O387" s="106" t="str">
        <f t="shared" si="2"/>
        <v>#N/A</v>
      </c>
      <c r="P387" s="106" t="str">
        <f t="shared" si="3"/>
        <v>#N/A</v>
      </c>
      <c r="Q387" s="84" t="str">
        <f t="shared" si="4"/>
        <v>#N/A</v>
      </c>
      <c r="R387" s="84" t="str">
        <f t="shared" si="5"/>
        <v>#N/A</v>
      </c>
      <c r="S387" s="107">
        <f t="shared" si="6"/>
        <v>-0.11</v>
      </c>
      <c r="T387" s="108">
        <f t="shared" si="7"/>
        <v>-1</v>
      </c>
      <c r="U387" s="106" t="str">
        <f t="shared" si="8"/>
        <v>#N/A</v>
      </c>
      <c r="V387" s="84" t="str">
        <f t="shared" si="9"/>
        <v/>
      </c>
      <c r="W387" s="109" t="str">
        <f t="shared" si="10"/>
        <v/>
      </c>
      <c r="X387" s="109" t="str">
        <f t="shared" si="11"/>
        <v/>
      </c>
      <c r="Y387" s="110" t="str">
        <f t="array" ref="Y387">_xlfn.XLOOKUP(A387,'Video Database'!L:L,'Video Database'!M:M,"")</f>
        <v>Product Overlay</v>
      </c>
    </row>
    <row r="388" ht="22.5" customHeight="1">
      <c r="A388" s="113">
        <f t="shared" si="12"/>
        <v>387</v>
      </c>
      <c r="B388" s="98" t="str">
        <f t="array" ref="B388">_xlfn.XLOOKUP(A388,'Video Database'!L:L,'Video Database'!D:D,"")</f>
        <v>Blakely</v>
      </c>
      <c r="C388" s="98" t="str">
        <f t="array" ref="C388">_xlfn.XLOOKUP(A388,'Video Database'!L:L,'Video Database'!E:E,"")</f>
        <v>Account 2</v>
      </c>
      <c r="D388" s="99" t="str">
        <f t="array" ref="D388">_xlfn.XLOOKUP(A388,'Video Database'!L:L,'Video Database'!G:G,"")</f>
        <v>Goli Women's Complete Multi Gummy</v>
      </c>
      <c r="E388" s="100">
        <f t="array" ref="E388">_xlfn.XLOOKUP(A388,'Video Database'!L:L,'Video Database'!H:H,"")</f>
        <v>0.11</v>
      </c>
      <c r="F388" s="101">
        <v>0.0</v>
      </c>
      <c r="G388" s="87">
        <v>0.0</v>
      </c>
      <c r="H388" s="114">
        <f t="array" ref="H388">_xlfn.XLOOKUP(A388,'Video Database'!L:L,'Video Database'!A:A,"")</f>
        <v>46189</v>
      </c>
      <c r="I388" s="103">
        <v>46201.0</v>
      </c>
      <c r="J388" s="104">
        <v>0.0</v>
      </c>
      <c r="K388" s="105"/>
      <c r="L388" s="105" t="str">
        <f t="shared" si="1"/>
        <v/>
      </c>
      <c r="O388" s="106" t="str">
        <f t="shared" si="2"/>
        <v>#N/A</v>
      </c>
      <c r="P388" s="106" t="str">
        <f t="shared" si="3"/>
        <v>#N/A</v>
      </c>
      <c r="Q388" s="84" t="str">
        <f t="shared" si="4"/>
        <v>#N/A</v>
      </c>
      <c r="R388" s="84" t="str">
        <f t="shared" si="5"/>
        <v>#N/A</v>
      </c>
      <c r="S388" s="107">
        <f t="shared" si="6"/>
        <v>-0.11</v>
      </c>
      <c r="T388" s="108">
        <f t="shared" si="7"/>
        <v>-1</v>
      </c>
      <c r="U388" s="106" t="str">
        <f t="shared" si="8"/>
        <v>#N/A</v>
      </c>
      <c r="V388" s="84" t="str">
        <f t="shared" si="9"/>
        <v/>
      </c>
      <c r="W388" s="109" t="str">
        <f t="shared" si="10"/>
        <v/>
      </c>
      <c r="X388" s="109" t="str">
        <f t="shared" si="11"/>
        <v/>
      </c>
      <c r="Y388" s="110" t="str">
        <f t="array" ref="Y388">_xlfn.XLOOKUP(A388,'Video Database'!L:L,'Video Database'!M:M,"")</f>
        <v>Product Overlay</v>
      </c>
    </row>
    <row r="389" ht="22.5" customHeight="1">
      <c r="A389" s="113">
        <f t="shared" si="12"/>
        <v>388</v>
      </c>
      <c r="B389" s="98" t="str">
        <f t="array" ref="B389">_xlfn.XLOOKUP(A389,'Video Database'!L:L,'Video Database'!D:D,"")</f>
        <v>Blakely</v>
      </c>
      <c r="C389" s="98" t="str">
        <f t="array" ref="C389">_xlfn.XLOOKUP(A389,'Video Database'!L:L,'Video Database'!E:E,"")</f>
        <v>Account 2</v>
      </c>
      <c r="D389" s="99" t="str">
        <f t="array" ref="D389">_xlfn.XLOOKUP(A389,'Video Database'!L:L,'Video Database'!G:G,"")</f>
        <v>Clip Light</v>
      </c>
      <c r="E389" s="100">
        <f t="array" ref="E389">_xlfn.XLOOKUP(A389,'Video Database'!L:L,'Video Database'!H:H,"")</f>
        <v>0.11</v>
      </c>
      <c r="F389" s="101">
        <v>0.0</v>
      </c>
      <c r="G389" s="87">
        <v>0.0</v>
      </c>
      <c r="H389" s="114">
        <f t="array" ref="H389">_xlfn.XLOOKUP(A389,'Video Database'!L:L,'Video Database'!A:A,"")</f>
        <v>46189</v>
      </c>
      <c r="I389" s="103">
        <v>46201.0</v>
      </c>
      <c r="J389" s="104">
        <v>0.0</v>
      </c>
      <c r="K389" s="105"/>
      <c r="L389" s="105" t="str">
        <f t="shared" si="1"/>
        <v/>
      </c>
      <c r="O389" s="106" t="str">
        <f t="shared" si="2"/>
        <v>#N/A</v>
      </c>
      <c r="P389" s="106" t="str">
        <f t="shared" si="3"/>
        <v>#N/A</v>
      </c>
      <c r="Q389" s="84" t="str">
        <f t="shared" si="4"/>
        <v>#N/A</v>
      </c>
      <c r="R389" s="84" t="str">
        <f t="shared" si="5"/>
        <v>#N/A</v>
      </c>
      <c r="S389" s="107">
        <f t="shared" si="6"/>
        <v>-0.11</v>
      </c>
      <c r="T389" s="108">
        <f t="shared" si="7"/>
        <v>-1</v>
      </c>
      <c r="U389" s="106" t="str">
        <f t="shared" si="8"/>
        <v>#N/A</v>
      </c>
      <c r="V389" s="84" t="str">
        <f t="shared" si="9"/>
        <v/>
      </c>
      <c r="W389" s="109" t="str">
        <f t="shared" si="10"/>
        <v/>
      </c>
      <c r="X389" s="109" t="str">
        <f t="shared" si="11"/>
        <v/>
      </c>
      <c r="Y389" s="110" t="str">
        <f t="array" ref="Y389">_xlfn.XLOOKUP(A389,'Video Database'!L:L,'Video Database'!M:M,"")</f>
        <v>Product Overlay</v>
      </c>
    </row>
    <row r="390" ht="22.5" customHeight="1">
      <c r="A390" s="113">
        <f t="shared" si="12"/>
        <v>389</v>
      </c>
      <c r="B390" s="98" t="str">
        <f t="array" ref="B390">_xlfn.XLOOKUP(A390,'Video Database'!L:L,'Video Database'!D:D,"")</f>
        <v>Blakely</v>
      </c>
      <c r="C390" s="98" t="str">
        <f t="array" ref="C390">_xlfn.XLOOKUP(A390,'Video Database'!L:L,'Video Database'!E:E,"")</f>
        <v>Account 2</v>
      </c>
      <c r="D390" s="99" t="str">
        <f t="array" ref="D390">_xlfn.XLOOKUP(A390,'Video Database'!L:L,'Video Database'!G:G,"")</f>
        <v>COSRX US The Copper Peptide Serum</v>
      </c>
      <c r="E390" s="100">
        <f t="array" ref="E390">_xlfn.XLOOKUP(A390,'Video Database'!L:L,'Video Database'!H:H,"")</f>
        <v>0.11</v>
      </c>
      <c r="F390" s="101">
        <v>0.0</v>
      </c>
      <c r="G390" s="87">
        <v>0.0</v>
      </c>
      <c r="H390" s="114">
        <f t="array" ref="H390">_xlfn.XLOOKUP(A390,'Video Database'!L:L,'Video Database'!A:A,"")</f>
        <v>46189</v>
      </c>
      <c r="I390" s="103">
        <v>46201.0</v>
      </c>
      <c r="J390" s="104">
        <v>0.0</v>
      </c>
      <c r="K390" s="105"/>
      <c r="L390" s="105" t="str">
        <f t="shared" si="1"/>
        <v/>
      </c>
      <c r="O390" s="106" t="str">
        <f t="shared" si="2"/>
        <v>#N/A</v>
      </c>
      <c r="P390" s="106" t="str">
        <f t="shared" si="3"/>
        <v>#N/A</v>
      </c>
      <c r="Q390" s="84" t="str">
        <f t="shared" si="4"/>
        <v>#N/A</v>
      </c>
      <c r="R390" s="84" t="str">
        <f t="shared" si="5"/>
        <v>#N/A</v>
      </c>
      <c r="S390" s="107">
        <f t="shared" si="6"/>
        <v>-0.11</v>
      </c>
      <c r="T390" s="108">
        <f t="shared" si="7"/>
        <v>-1</v>
      </c>
      <c r="U390" s="106" t="str">
        <f t="shared" si="8"/>
        <v>#N/A</v>
      </c>
      <c r="V390" s="84" t="str">
        <f t="shared" si="9"/>
        <v/>
      </c>
      <c r="W390" s="109" t="str">
        <f t="shared" si="10"/>
        <v/>
      </c>
      <c r="X390" s="109" t="str">
        <f t="shared" si="11"/>
        <v/>
      </c>
      <c r="Y390" s="110" t="str">
        <f t="array" ref="Y390">_xlfn.XLOOKUP(A390,'Video Database'!L:L,'Video Database'!M:M,"")</f>
        <v>Product Overlay</v>
      </c>
    </row>
    <row r="391" ht="22.5" customHeight="1">
      <c r="A391" s="113">
        <f t="shared" si="12"/>
        <v>390</v>
      </c>
      <c r="B391" s="98" t="str">
        <f t="array" ref="B391">_xlfn.XLOOKUP(A391,'Video Database'!L:L,'Video Database'!D:D,"")</f>
        <v>Blakely</v>
      </c>
      <c r="C391" s="98" t="str">
        <f t="array" ref="C391">_xlfn.XLOOKUP(A391,'Video Database'!L:L,'Video Database'!E:E,"")</f>
        <v>Account 2</v>
      </c>
      <c r="D391" s="99" t="str">
        <f t="array" ref="D391">_xlfn.XLOOKUP(A391,'Video Database'!L:L,'Video Database'!G:G,"")</f>
        <v>SNOW Diamond Tetth Whitening Strips</v>
      </c>
      <c r="E391" s="100">
        <f t="array" ref="E391">_xlfn.XLOOKUP(A391,'Video Database'!L:L,'Video Database'!H:H,"")</f>
        <v>0.11</v>
      </c>
      <c r="F391" s="101">
        <v>0.0</v>
      </c>
      <c r="G391" s="87">
        <v>0.0</v>
      </c>
      <c r="H391" s="114">
        <f t="array" ref="H391">_xlfn.XLOOKUP(A391,'Video Database'!L:L,'Video Database'!A:A,"")</f>
        <v>46189</v>
      </c>
      <c r="I391" s="103">
        <v>46201.0</v>
      </c>
      <c r="J391" s="104">
        <v>0.0</v>
      </c>
      <c r="K391" s="105"/>
      <c r="L391" s="105" t="str">
        <f t="shared" si="1"/>
        <v/>
      </c>
      <c r="O391" s="106" t="str">
        <f t="shared" si="2"/>
        <v>#N/A</v>
      </c>
      <c r="P391" s="106" t="str">
        <f t="shared" si="3"/>
        <v>#N/A</v>
      </c>
      <c r="Q391" s="84" t="str">
        <f t="shared" si="4"/>
        <v>#N/A</v>
      </c>
      <c r="R391" s="84" t="str">
        <f t="shared" si="5"/>
        <v>#N/A</v>
      </c>
      <c r="S391" s="107">
        <f t="shared" si="6"/>
        <v>-0.11</v>
      </c>
      <c r="T391" s="108">
        <f t="shared" si="7"/>
        <v>-1</v>
      </c>
      <c r="U391" s="106" t="str">
        <f t="shared" si="8"/>
        <v>#N/A</v>
      </c>
      <c r="V391" s="84" t="str">
        <f t="shared" si="9"/>
        <v/>
      </c>
      <c r="W391" s="109" t="str">
        <f t="shared" si="10"/>
        <v/>
      </c>
      <c r="X391" s="109" t="str">
        <f t="shared" si="11"/>
        <v/>
      </c>
      <c r="Y391" s="110" t="str">
        <f t="array" ref="Y391">_xlfn.XLOOKUP(A391,'Video Database'!L:L,'Video Database'!M:M,"")</f>
        <v>Product Overlay</v>
      </c>
    </row>
    <row r="392" ht="22.5" customHeight="1">
      <c r="A392" s="113">
        <f t="shared" si="12"/>
        <v>391</v>
      </c>
      <c r="B392" s="98" t="str">
        <f t="array" ref="B392">_xlfn.XLOOKUP(A392,'Video Database'!L:L,'Video Database'!D:D,"")</f>
        <v>Blakely</v>
      </c>
      <c r="C392" s="98" t="str">
        <f t="array" ref="C392">_xlfn.XLOOKUP(A392,'Video Database'!L:L,'Video Database'!E:E,"")</f>
        <v>Account 2</v>
      </c>
      <c r="D392" s="99" t="str">
        <f t="array" ref="D392">_xlfn.XLOOKUP(A392,'Video Database'!L:L,'Video Database'!G:G,"")</f>
        <v>BetterAlt Shilajit Honey Sticks</v>
      </c>
      <c r="E392" s="100">
        <f t="array" ref="E392">_xlfn.XLOOKUP(A392,'Video Database'!L:L,'Video Database'!H:H,"")</f>
        <v>0.11</v>
      </c>
      <c r="F392" s="101">
        <v>0.0</v>
      </c>
      <c r="G392" s="87">
        <v>0.0</v>
      </c>
      <c r="H392" s="114">
        <f t="array" ref="H392">_xlfn.XLOOKUP(A392,'Video Database'!L:L,'Video Database'!A:A,"")</f>
        <v>46189</v>
      </c>
      <c r="I392" s="103">
        <v>46201.0</v>
      </c>
      <c r="J392" s="104">
        <v>0.0</v>
      </c>
      <c r="K392" s="105"/>
      <c r="L392" s="105" t="str">
        <f t="shared" si="1"/>
        <v/>
      </c>
      <c r="O392" s="106" t="str">
        <f t="shared" si="2"/>
        <v>#N/A</v>
      </c>
      <c r="P392" s="106" t="str">
        <f t="shared" si="3"/>
        <v>#N/A</v>
      </c>
      <c r="Q392" s="84" t="str">
        <f t="shared" si="4"/>
        <v>#N/A</v>
      </c>
      <c r="R392" s="84" t="str">
        <f t="shared" si="5"/>
        <v>#N/A</v>
      </c>
      <c r="S392" s="107">
        <f t="shared" si="6"/>
        <v>-0.11</v>
      </c>
      <c r="T392" s="108">
        <f t="shared" si="7"/>
        <v>-1</v>
      </c>
      <c r="U392" s="106" t="str">
        <f t="shared" si="8"/>
        <v>#N/A</v>
      </c>
      <c r="V392" s="84" t="str">
        <f t="shared" si="9"/>
        <v/>
      </c>
      <c r="W392" s="109" t="str">
        <f t="shared" si="10"/>
        <v/>
      </c>
      <c r="X392" s="109" t="str">
        <f t="shared" si="11"/>
        <v/>
      </c>
      <c r="Y392" s="110" t="str">
        <f t="array" ref="Y392">_xlfn.XLOOKUP(A392,'Video Database'!L:L,'Video Database'!M:M,"")</f>
        <v>Bottom of Funnel</v>
      </c>
    </row>
    <row r="393" ht="22.5" customHeight="1">
      <c r="A393" s="113">
        <f t="shared" si="12"/>
        <v>392</v>
      </c>
      <c r="B393" s="98" t="str">
        <f t="array" ref="B393">_xlfn.XLOOKUP(A393,'Video Database'!L:L,'Video Database'!D:D,"")</f>
        <v>Blakely</v>
      </c>
      <c r="C393" s="98" t="str">
        <f t="array" ref="C393">_xlfn.XLOOKUP(A393,'Video Database'!L:L,'Video Database'!E:E,"")</f>
        <v>Account 2</v>
      </c>
      <c r="D393" s="99" t="str">
        <f t="array" ref="D393">_xlfn.XLOOKUP(A393,'Video Database'!L:L,'Video Database'!G:G,"")</f>
        <v>Goli Women's Complete Multi Gummy</v>
      </c>
      <c r="E393" s="100">
        <f t="array" ref="E393">_xlfn.XLOOKUP(A393,'Video Database'!L:L,'Video Database'!H:H,"")</f>
        <v>0.11</v>
      </c>
      <c r="F393" s="101">
        <v>0.0</v>
      </c>
      <c r="G393" s="87">
        <v>0.0</v>
      </c>
      <c r="H393" s="114">
        <f t="array" ref="H393">_xlfn.XLOOKUP(A393,'Video Database'!L:L,'Video Database'!A:A,"")</f>
        <v>46189</v>
      </c>
      <c r="I393" s="103">
        <v>46201.0</v>
      </c>
      <c r="J393" s="104">
        <v>0.0</v>
      </c>
      <c r="K393" s="105"/>
      <c r="L393" s="105" t="str">
        <f t="shared" si="1"/>
        <v/>
      </c>
      <c r="O393" s="106" t="str">
        <f t="shared" si="2"/>
        <v>#N/A</v>
      </c>
      <c r="P393" s="106" t="str">
        <f t="shared" si="3"/>
        <v>#N/A</v>
      </c>
      <c r="Q393" s="84" t="str">
        <f t="shared" si="4"/>
        <v>#N/A</v>
      </c>
      <c r="R393" s="84" t="str">
        <f t="shared" si="5"/>
        <v>#N/A</v>
      </c>
      <c r="S393" s="107">
        <f t="shared" si="6"/>
        <v>-0.11</v>
      </c>
      <c r="T393" s="108">
        <f t="shared" si="7"/>
        <v>-1</v>
      </c>
      <c r="U393" s="106" t="str">
        <f t="shared" si="8"/>
        <v>#N/A</v>
      </c>
      <c r="V393" s="84" t="str">
        <f t="shared" si="9"/>
        <v/>
      </c>
      <c r="W393" s="109" t="str">
        <f t="shared" si="10"/>
        <v/>
      </c>
      <c r="X393" s="109" t="str">
        <f t="shared" si="11"/>
        <v/>
      </c>
      <c r="Y393" s="110" t="str">
        <f t="array" ref="Y393">_xlfn.XLOOKUP(A393,'Video Database'!L:L,'Video Database'!M:M,"")</f>
        <v>Bottom of Funnel</v>
      </c>
    </row>
    <row r="394" ht="22.5" customHeight="1">
      <c r="A394" s="113">
        <f t="shared" si="12"/>
        <v>393</v>
      </c>
      <c r="B394" s="98" t="str">
        <f t="array" ref="B394">_xlfn.XLOOKUP(A394,'Video Database'!L:L,'Video Database'!D:D,"")</f>
        <v>Blakely</v>
      </c>
      <c r="C394" s="98" t="str">
        <f t="array" ref="C394">_xlfn.XLOOKUP(A394,'Video Database'!L:L,'Video Database'!E:E,"")</f>
        <v>Account 2</v>
      </c>
      <c r="D394" s="99" t="str">
        <f t="array" ref="D394">_xlfn.XLOOKUP(A394,'Video Database'!L:L,'Video Database'!G:G,"")</f>
        <v>Nello Supercalm Drink Mix</v>
      </c>
      <c r="E394" s="100">
        <f t="array" ref="E394">_xlfn.XLOOKUP(A394,'Video Database'!L:L,'Video Database'!H:H,"")</f>
        <v>0.11</v>
      </c>
      <c r="F394" s="101">
        <v>0.0</v>
      </c>
      <c r="G394" s="87">
        <v>0.0</v>
      </c>
      <c r="H394" s="114">
        <f t="array" ref="H394">_xlfn.XLOOKUP(A394,'Video Database'!L:L,'Video Database'!A:A,"")</f>
        <v>46189</v>
      </c>
      <c r="I394" s="103">
        <v>46201.0</v>
      </c>
      <c r="J394" s="104">
        <v>0.0</v>
      </c>
      <c r="K394" s="105"/>
      <c r="L394" s="105" t="str">
        <f t="shared" si="1"/>
        <v/>
      </c>
      <c r="O394" s="106" t="str">
        <f t="shared" si="2"/>
        <v>#N/A</v>
      </c>
      <c r="P394" s="106" t="str">
        <f t="shared" si="3"/>
        <v>#N/A</v>
      </c>
      <c r="Q394" s="84" t="str">
        <f t="shared" si="4"/>
        <v>#N/A</v>
      </c>
      <c r="R394" s="84" t="str">
        <f t="shared" si="5"/>
        <v>#N/A</v>
      </c>
      <c r="S394" s="107">
        <f t="shared" si="6"/>
        <v>-0.11</v>
      </c>
      <c r="T394" s="108">
        <f t="shared" si="7"/>
        <v>-1</v>
      </c>
      <c r="U394" s="106" t="str">
        <f t="shared" si="8"/>
        <v>#N/A</v>
      </c>
      <c r="V394" s="84" t="str">
        <f t="shared" si="9"/>
        <v/>
      </c>
      <c r="W394" s="109" t="str">
        <f t="shared" si="10"/>
        <v/>
      </c>
      <c r="X394" s="109" t="str">
        <f t="shared" si="11"/>
        <v/>
      </c>
      <c r="Y394" s="110" t="str">
        <f t="array" ref="Y394">_xlfn.XLOOKUP(A394,'Video Database'!L:L,'Video Database'!M:M,"")</f>
        <v>Product Overlay</v>
      </c>
    </row>
    <row r="395" ht="22.5" customHeight="1">
      <c r="A395" s="113">
        <f t="shared" si="12"/>
        <v>394</v>
      </c>
      <c r="B395" s="98" t="str">
        <f t="array" ref="B395">_xlfn.XLOOKUP(A395,'Video Database'!L:L,'Video Database'!D:D,"")</f>
        <v>Blakely</v>
      </c>
      <c r="C395" s="98" t="str">
        <f t="array" ref="C395">_xlfn.XLOOKUP(A395,'Video Database'!L:L,'Video Database'!E:E,"")</f>
        <v>Account 2</v>
      </c>
      <c r="D395" s="99" t="str">
        <f t="array" ref="D395">_xlfn.XLOOKUP(A395,'Video Database'!L:L,'Video Database'!G:G,"")</f>
        <v>Hats - A Baseball Cap</v>
      </c>
      <c r="E395" s="100">
        <f t="array" ref="E395">_xlfn.XLOOKUP(A395,'Video Database'!L:L,'Video Database'!H:H,"")</f>
        <v>0.11</v>
      </c>
      <c r="F395" s="101">
        <v>0.0</v>
      </c>
      <c r="G395" s="87">
        <v>0.0</v>
      </c>
      <c r="H395" s="114">
        <f t="array" ref="H395">_xlfn.XLOOKUP(A395,'Video Database'!L:L,'Video Database'!A:A,"")</f>
        <v>46189</v>
      </c>
      <c r="I395" s="103">
        <v>46201.0</v>
      </c>
      <c r="J395" s="104">
        <v>0.0</v>
      </c>
      <c r="K395" s="105"/>
      <c r="L395" s="105" t="str">
        <f t="shared" si="1"/>
        <v/>
      </c>
      <c r="O395" s="106" t="str">
        <f t="shared" si="2"/>
        <v>#N/A</v>
      </c>
      <c r="P395" s="106" t="str">
        <f t="shared" si="3"/>
        <v>#N/A</v>
      </c>
      <c r="Q395" s="84" t="str">
        <f t="shared" si="4"/>
        <v>#N/A</v>
      </c>
      <c r="R395" s="84" t="str">
        <f t="shared" si="5"/>
        <v>#N/A</v>
      </c>
      <c r="S395" s="107">
        <f t="shared" si="6"/>
        <v>-0.11</v>
      </c>
      <c r="T395" s="108">
        <f t="shared" si="7"/>
        <v>-1</v>
      </c>
      <c r="U395" s="106" t="str">
        <f t="shared" si="8"/>
        <v>#N/A</v>
      </c>
      <c r="V395" s="84" t="str">
        <f t="shared" si="9"/>
        <v/>
      </c>
      <c r="W395" s="109" t="str">
        <f t="shared" si="10"/>
        <v/>
      </c>
      <c r="X395" s="109" t="str">
        <f t="shared" si="11"/>
        <v/>
      </c>
      <c r="Y395" s="110" t="str">
        <f t="array" ref="Y395">_xlfn.XLOOKUP(A395,'Video Database'!L:L,'Video Database'!M:M,"")</f>
        <v>Product Overlay</v>
      </c>
    </row>
    <row r="396" ht="22.5" customHeight="1">
      <c r="A396" s="113">
        <f t="shared" si="12"/>
        <v>395</v>
      </c>
      <c r="B396" s="98" t="str">
        <f t="array" ref="B396">_xlfn.XLOOKUP(A396,'Video Database'!L:L,'Video Database'!D:D,"")</f>
        <v>Blakely</v>
      </c>
      <c r="C396" s="98" t="str">
        <f t="array" ref="C396">_xlfn.XLOOKUP(A396,'Video Database'!L:L,'Video Database'!E:E,"")</f>
        <v>Account 2</v>
      </c>
      <c r="D396" s="99" t="str">
        <f t="array" ref="D396">_xlfn.XLOOKUP(A396,'Video Database'!L:L,'Video Database'!G:G,"")</f>
        <v>AmpDaddy Charger Bundle</v>
      </c>
      <c r="E396" s="100">
        <f t="array" ref="E396">_xlfn.XLOOKUP(A396,'Video Database'!L:L,'Video Database'!H:H,"")</f>
        <v>0.11</v>
      </c>
      <c r="F396" s="101">
        <v>0.0</v>
      </c>
      <c r="G396" s="87">
        <v>0.0</v>
      </c>
      <c r="H396" s="114">
        <f t="array" ref="H396">_xlfn.XLOOKUP(A396,'Video Database'!L:L,'Video Database'!A:A,"")</f>
        <v>46189</v>
      </c>
      <c r="I396" s="103">
        <v>46201.0</v>
      </c>
      <c r="J396" s="104">
        <v>0.0</v>
      </c>
      <c r="K396" s="105"/>
      <c r="L396" s="105" t="str">
        <f t="shared" si="1"/>
        <v/>
      </c>
      <c r="O396" s="106" t="str">
        <f t="shared" si="2"/>
        <v>#N/A</v>
      </c>
      <c r="P396" s="106" t="str">
        <f t="shared" si="3"/>
        <v>#N/A</v>
      </c>
      <c r="Q396" s="84" t="str">
        <f t="shared" si="4"/>
        <v>#N/A</v>
      </c>
      <c r="R396" s="84" t="str">
        <f t="shared" si="5"/>
        <v>#N/A</v>
      </c>
      <c r="S396" s="107">
        <f t="shared" si="6"/>
        <v>-0.11</v>
      </c>
      <c r="T396" s="108">
        <f t="shared" si="7"/>
        <v>-1</v>
      </c>
      <c r="U396" s="106" t="str">
        <f t="shared" si="8"/>
        <v>#N/A</v>
      </c>
      <c r="V396" s="84" t="str">
        <f t="shared" si="9"/>
        <v/>
      </c>
      <c r="W396" s="109" t="str">
        <f t="shared" si="10"/>
        <v/>
      </c>
      <c r="X396" s="109" t="str">
        <f t="shared" si="11"/>
        <v/>
      </c>
      <c r="Y396" s="110" t="str">
        <f t="array" ref="Y396">_xlfn.XLOOKUP(A396,'Video Database'!L:L,'Video Database'!M:M,"")</f>
        <v>Product Overlay</v>
      </c>
    </row>
    <row r="397" ht="22.5" customHeight="1">
      <c r="A397" s="113">
        <f t="shared" si="12"/>
        <v>396</v>
      </c>
      <c r="B397" s="98" t="str">
        <f t="array" ref="B397">_xlfn.XLOOKUP(A397,'Video Database'!L:L,'Video Database'!D:D,"")</f>
        <v>Blakely</v>
      </c>
      <c r="C397" s="98" t="str">
        <f t="array" ref="C397">_xlfn.XLOOKUP(A397,'Video Database'!L:L,'Video Database'!E:E,"")</f>
        <v>Account 2</v>
      </c>
      <c r="D397" s="99" t="str">
        <f t="array" ref="D397">_xlfn.XLOOKUP(A397,'Video Database'!L:L,'Video Database'!G:G,"")</f>
        <v>Shirts - Can't Wait to Gamble Today</v>
      </c>
      <c r="E397" s="100">
        <f t="array" ref="E397">_xlfn.XLOOKUP(A397,'Video Database'!L:L,'Video Database'!H:H,"")</f>
        <v>0.11</v>
      </c>
      <c r="F397" s="101">
        <v>7.99</v>
      </c>
      <c r="G397" s="87">
        <v>1.0</v>
      </c>
      <c r="H397" s="114">
        <f t="array" ref="H397">_xlfn.XLOOKUP(A397,'Video Database'!L:L,'Video Database'!A:A,"")</f>
        <v>46189</v>
      </c>
      <c r="I397" s="103">
        <v>46201.0</v>
      </c>
      <c r="J397" s="104">
        <v>1.0</v>
      </c>
      <c r="K397" s="87">
        <v>8.0</v>
      </c>
      <c r="L397" s="105">
        <f t="shared" si="1"/>
        <v>943</v>
      </c>
      <c r="M397" s="87">
        <v>943.0</v>
      </c>
      <c r="O397" s="106">
        <f t="shared" si="2"/>
        <v>0.008483563097</v>
      </c>
      <c r="P397" s="106">
        <f t="shared" si="3"/>
        <v>0.125</v>
      </c>
      <c r="Q397" s="84">
        <f t="shared" si="4"/>
        <v>1</v>
      </c>
      <c r="R397" s="84">
        <f t="shared" si="5"/>
        <v>7.99</v>
      </c>
      <c r="S397" s="107">
        <f t="shared" si="6"/>
        <v>0.89</v>
      </c>
      <c r="T397" s="108">
        <f t="shared" si="7"/>
        <v>8.090909091</v>
      </c>
      <c r="U397" s="106">
        <f t="shared" si="8"/>
        <v>0.89</v>
      </c>
      <c r="V397" s="129">
        <f t="shared" si="9"/>
        <v>0.11</v>
      </c>
      <c r="W397" s="109">
        <f t="shared" si="10"/>
        <v>0.01375</v>
      </c>
      <c r="X397" s="109">
        <f t="shared" si="11"/>
        <v>1.376720901</v>
      </c>
      <c r="Y397" s="110" t="str">
        <f t="array" ref="Y397">_xlfn.XLOOKUP(A397,'Video Database'!L:L,'Video Database'!M:M,"")</f>
        <v>Product Overlay</v>
      </c>
    </row>
    <row r="398" ht="22.5" customHeight="1">
      <c r="A398" s="113">
        <f t="shared" si="12"/>
        <v>397</v>
      </c>
      <c r="B398" s="98" t="str">
        <f t="array" ref="B398">_xlfn.XLOOKUP(A398,'Video Database'!L:L,'Video Database'!D:D,"")</f>
        <v>Erin</v>
      </c>
      <c r="C398" s="98" t="str">
        <f t="array" ref="C398">_xlfn.XLOOKUP(A398,'Video Database'!L:L,'Video Database'!E:E,"")</f>
        <v>Account 2</v>
      </c>
      <c r="D398" s="99" t="str">
        <f t="array" ref="D398">_xlfn.XLOOKUP(A398,'Video Database'!L:L,'Video Database'!G:G,"")</f>
        <v>Peta Jane Self-Tan Starter Kit Medium</v>
      </c>
      <c r="E398" s="100">
        <f t="array" ref="E398">_xlfn.XLOOKUP(A398,'Video Database'!L:L,'Video Database'!H:H,"")</f>
        <v>1.1</v>
      </c>
      <c r="F398" s="101">
        <v>0.0</v>
      </c>
      <c r="G398" s="87">
        <v>0.0</v>
      </c>
      <c r="H398" s="114">
        <f t="array" ref="H398">_xlfn.XLOOKUP(A398,'Video Database'!L:L,'Video Database'!A:A,"")</f>
        <v>46189</v>
      </c>
      <c r="I398" s="103">
        <v>46201.0</v>
      </c>
      <c r="J398" s="104">
        <v>0.0</v>
      </c>
      <c r="K398" s="105"/>
      <c r="L398" s="105" t="str">
        <f t="shared" si="1"/>
        <v/>
      </c>
      <c r="O398" s="106" t="str">
        <f t="shared" si="2"/>
        <v>#N/A</v>
      </c>
      <c r="P398" s="106" t="str">
        <f t="shared" si="3"/>
        <v>#N/A</v>
      </c>
      <c r="Q398" s="84" t="str">
        <f t="shared" si="4"/>
        <v>#N/A</v>
      </c>
      <c r="R398" s="84" t="str">
        <f t="shared" si="5"/>
        <v>#N/A</v>
      </c>
      <c r="S398" s="107">
        <f t="shared" si="6"/>
        <v>-1.1</v>
      </c>
      <c r="T398" s="108">
        <f t="shared" si="7"/>
        <v>-1</v>
      </c>
      <c r="U398" s="106" t="str">
        <f t="shared" si="8"/>
        <v>#N/A</v>
      </c>
      <c r="V398" s="84" t="str">
        <f t="shared" si="9"/>
        <v/>
      </c>
      <c r="W398" s="109" t="str">
        <f t="shared" si="10"/>
        <v/>
      </c>
      <c r="X398" s="109" t="str">
        <f t="shared" si="11"/>
        <v/>
      </c>
      <c r="Y398" s="110" t="str">
        <f t="array" ref="Y398">_xlfn.XLOOKUP(A398,'Video Database'!L:L,'Video Database'!M:M,"")</f>
        <v>Bottom of Funnel</v>
      </c>
    </row>
    <row r="399" ht="22.5" customHeight="1">
      <c r="A399" s="113">
        <f t="shared" si="12"/>
        <v>398</v>
      </c>
      <c r="B399" s="98" t="str">
        <f t="array" ref="B399">_xlfn.XLOOKUP(A399,'Video Database'!L:L,'Video Database'!D:D,"")</f>
        <v>Erin</v>
      </c>
      <c r="C399" s="98" t="str">
        <f t="array" ref="C399">_xlfn.XLOOKUP(A399,'Video Database'!L:L,'Video Database'!E:E,"")</f>
        <v>Account 3</v>
      </c>
      <c r="D399" s="99" t="str">
        <f t="array" ref="D399">_xlfn.XLOOKUP(A399,'Video Database'!L:L,'Video Database'!G:G,"")</f>
        <v>Peta Jane Self-Tan Starter Kit Medium</v>
      </c>
      <c r="E399" s="100">
        <f t="array" ref="E399">_xlfn.XLOOKUP(A399,'Video Database'!L:L,'Video Database'!H:H,"")</f>
        <v>1.1</v>
      </c>
      <c r="F399" s="101">
        <v>0.0</v>
      </c>
      <c r="G399" s="87">
        <v>0.0</v>
      </c>
      <c r="H399" s="114">
        <f t="array" ref="H399">_xlfn.XLOOKUP(A399,'Video Database'!L:L,'Video Database'!A:A,"")</f>
        <v>46189</v>
      </c>
      <c r="I399" s="103">
        <v>46201.0</v>
      </c>
      <c r="J399" s="104">
        <v>0.0</v>
      </c>
      <c r="K399" s="105"/>
      <c r="L399" s="105" t="str">
        <f t="shared" si="1"/>
        <v/>
      </c>
      <c r="O399" s="106" t="str">
        <f t="shared" si="2"/>
        <v>#N/A</v>
      </c>
      <c r="P399" s="106" t="str">
        <f t="shared" si="3"/>
        <v>#N/A</v>
      </c>
      <c r="Q399" s="84" t="str">
        <f t="shared" si="4"/>
        <v>#N/A</v>
      </c>
      <c r="R399" s="84" t="str">
        <f t="shared" si="5"/>
        <v>#N/A</v>
      </c>
      <c r="S399" s="107">
        <f t="shared" si="6"/>
        <v>-1.1</v>
      </c>
      <c r="T399" s="108">
        <f t="shared" si="7"/>
        <v>-1</v>
      </c>
      <c r="U399" s="106" t="str">
        <f t="shared" si="8"/>
        <v>#N/A</v>
      </c>
      <c r="V399" s="84" t="str">
        <f t="shared" si="9"/>
        <v/>
      </c>
      <c r="W399" s="109" t="str">
        <f t="shared" si="10"/>
        <v/>
      </c>
      <c r="X399" s="109" t="str">
        <f t="shared" si="11"/>
        <v/>
      </c>
      <c r="Y399" s="110" t="str">
        <f t="array" ref="Y399">_xlfn.XLOOKUP(A399,'Video Database'!L:L,'Video Database'!M:M,"")</f>
        <v>Bottom of Funnel</v>
      </c>
    </row>
    <row r="400" ht="22.5" customHeight="1">
      <c r="A400" s="113">
        <f t="shared" si="12"/>
        <v>399</v>
      </c>
      <c r="B400" s="98" t="str">
        <f t="array" ref="B400">_xlfn.XLOOKUP(A400,'Video Database'!L:L,'Video Database'!D:D,"")</f>
        <v>Blakely</v>
      </c>
      <c r="C400" s="98" t="str">
        <f t="array" ref="C400">_xlfn.XLOOKUP(A400,'Video Database'!L:L,'Video Database'!E:E,"")</f>
        <v>Account 3</v>
      </c>
      <c r="D400" s="99" t="str">
        <f t="array" ref="D400">_xlfn.XLOOKUP(A400,'Video Database'!L:L,'Video Database'!G:G,"")</f>
        <v>DR.DENT Purple Mouthwash</v>
      </c>
      <c r="E400" s="100">
        <f t="array" ref="E400">_xlfn.XLOOKUP(A400,'Video Database'!L:L,'Video Database'!H:H,"")</f>
        <v>0.11</v>
      </c>
      <c r="F400" s="101">
        <v>0.0</v>
      </c>
      <c r="G400" s="87">
        <v>0.0</v>
      </c>
      <c r="H400" s="114">
        <f t="array" ref="H400">_xlfn.XLOOKUP(A400,'Video Database'!L:L,'Video Database'!A:A,"")</f>
        <v>46189</v>
      </c>
      <c r="I400" s="103">
        <v>46201.0</v>
      </c>
      <c r="J400" s="104">
        <v>0.0</v>
      </c>
      <c r="K400" s="105"/>
      <c r="L400" s="105" t="str">
        <f t="shared" si="1"/>
        <v/>
      </c>
      <c r="O400" s="106" t="str">
        <f t="shared" si="2"/>
        <v>#N/A</v>
      </c>
      <c r="P400" s="106" t="str">
        <f t="shared" si="3"/>
        <v>#N/A</v>
      </c>
      <c r="Q400" s="84" t="str">
        <f t="shared" si="4"/>
        <v>#N/A</v>
      </c>
      <c r="R400" s="84" t="str">
        <f t="shared" si="5"/>
        <v>#N/A</v>
      </c>
      <c r="S400" s="107">
        <f t="shared" si="6"/>
        <v>-0.11</v>
      </c>
      <c r="T400" s="108">
        <f t="shared" si="7"/>
        <v>-1</v>
      </c>
      <c r="U400" s="106" t="str">
        <f t="shared" si="8"/>
        <v>#N/A</v>
      </c>
      <c r="V400" s="84" t="str">
        <f t="shared" si="9"/>
        <v/>
      </c>
      <c r="W400" s="109" t="str">
        <f t="shared" si="10"/>
        <v/>
      </c>
      <c r="X400" s="109" t="str">
        <f t="shared" si="11"/>
        <v/>
      </c>
      <c r="Y400" s="110" t="str">
        <f t="array" ref="Y400">_xlfn.XLOOKUP(A400,'Video Database'!L:L,'Video Database'!M:M,"")</f>
        <v>Product Overlay</v>
      </c>
    </row>
    <row r="401" ht="22.5" customHeight="1">
      <c r="A401" s="113">
        <f t="shared" si="12"/>
        <v>400</v>
      </c>
      <c r="B401" s="98" t="str">
        <f t="array" ref="B401">_xlfn.XLOOKUP(A401,'Video Database'!L:L,'Video Database'!D:D,"")</f>
        <v>Blakely</v>
      </c>
      <c r="C401" s="98" t="str">
        <f t="array" ref="C401">_xlfn.XLOOKUP(A401,'Video Database'!L:L,'Video Database'!E:E,"")</f>
        <v>Account 3</v>
      </c>
      <c r="D401" s="99" t="str">
        <f t="array" ref="D401">_xlfn.XLOOKUP(A401,'Video Database'!L:L,'Video Database'!G:G,"")</f>
        <v>BetterAlt All-in-one supplement</v>
      </c>
      <c r="E401" s="100">
        <f t="array" ref="E401">_xlfn.XLOOKUP(A401,'Video Database'!L:L,'Video Database'!H:H,"")</f>
        <v>0.11</v>
      </c>
      <c r="F401" s="101">
        <v>0.0</v>
      </c>
      <c r="G401" s="87">
        <v>0.0</v>
      </c>
      <c r="H401" s="114">
        <f t="array" ref="H401">_xlfn.XLOOKUP(A401,'Video Database'!L:L,'Video Database'!A:A,"")</f>
        <v>46189</v>
      </c>
      <c r="I401" s="103">
        <v>46201.0</v>
      </c>
      <c r="J401" s="104">
        <v>0.0</v>
      </c>
      <c r="K401" s="105"/>
      <c r="L401" s="105" t="str">
        <f t="shared" si="1"/>
        <v/>
      </c>
      <c r="O401" s="106" t="str">
        <f t="shared" si="2"/>
        <v>#N/A</v>
      </c>
      <c r="P401" s="106" t="str">
        <f t="shared" si="3"/>
        <v>#N/A</v>
      </c>
      <c r="Q401" s="84" t="str">
        <f t="shared" si="4"/>
        <v>#N/A</v>
      </c>
      <c r="R401" s="84" t="str">
        <f t="shared" si="5"/>
        <v>#N/A</v>
      </c>
      <c r="S401" s="107">
        <f t="shared" si="6"/>
        <v>-0.11</v>
      </c>
      <c r="T401" s="108">
        <f t="shared" si="7"/>
        <v>-1</v>
      </c>
      <c r="U401" s="106" t="str">
        <f t="shared" si="8"/>
        <v>#N/A</v>
      </c>
      <c r="V401" s="84" t="str">
        <f t="shared" si="9"/>
        <v/>
      </c>
      <c r="W401" s="109" t="str">
        <f t="shared" si="10"/>
        <v/>
      </c>
      <c r="X401" s="109" t="str">
        <f t="shared" si="11"/>
        <v/>
      </c>
      <c r="Y401" s="110" t="str">
        <f t="array" ref="Y401">_xlfn.XLOOKUP(A401,'Video Database'!L:L,'Video Database'!M:M,"")</f>
        <v>Product Overlay</v>
      </c>
    </row>
    <row r="402" ht="22.5" customHeight="1">
      <c r="A402" s="113">
        <f t="shared" si="12"/>
        <v>401</v>
      </c>
      <c r="B402" s="98" t="str">
        <f t="array" ref="B402">_xlfn.XLOOKUP(A402,'Video Database'!L:L,'Video Database'!D:D,"")</f>
        <v>Blakely</v>
      </c>
      <c r="C402" s="98" t="str">
        <f t="array" ref="C402">_xlfn.XLOOKUP(A402,'Video Database'!L:L,'Video Database'!E:E,"")</f>
        <v>Account 3</v>
      </c>
      <c r="D402" s="99" t="str">
        <f t="array" ref="D402">_xlfn.XLOOKUP(A402,'Video Database'!L:L,'Video Database'!G:G,"")</f>
        <v>BioEmblem Magnesium</v>
      </c>
      <c r="E402" s="100">
        <f t="array" ref="E402">_xlfn.XLOOKUP(A402,'Video Database'!L:L,'Video Database'!H:H,"")</f>
        <v>0.11</v>
      </c>
      <c r="F402" s="101">
        <v>0.0</v>
      </c>
      <c r="G402" s="87">
        <v>0.0</v>
      </c>
      <c r="H402" s="114">
        <f t="array" ref="H402">_xlfn.XLOOKUP(A402,'Video Database'!L:L,'Video Database'!A:A,"")</f>
        <v>46189</v>
      </c>
      <c r="I402" s="103">
        <v>46201.0</v>
      </c>
      <c r="J402" s="104">
        <v>0.0</v>
      </c>
      <c r="K402" s="105"/>
      <c r="L402" s="105" t="str">
        <f t="shared" si="1"/>
        <v/>
      </c>
      <c r="O402" s="106" t="str">
        <f t="shared" si="2"/>
        <v>#N/A</v>
      </c>
      <c r="P402" s="106" t="str">
        <f t="shared" si="3"/>
        <v>#N/A</v>
      </c>
      <c r="Q402" s="84" t="str">
        <f t="shared" si="4"/>
        <v>#N/A</v>
      </c>
      <c r="R402" s="84" t="str">
        <f t="shared" si="5"/>
        <v>#N/A</v>
      </c>
      <c r="S402" s="107">
        <f t="shared" si="6"/>
        <v>-0.11</v>
      </c>
      <c r="T402" s="108">
        <f t="shared" si="7"/>
        <v>-1</v>
      </c>
      <c r="U402" s="106" t="str">
        <f t="shared" si="8"/>
        <v>#N/A</v>
      </c>
      <c r="V402" s="84" t="str">
        <f t="shared" si="9"/>
        <v/>
      </c>
      <c r="W402" s="109" t="str">
        <f t="shared" si="10"/>
        <v/>
      </c>
      <c r="X402" s="109" t="str">
        <f t="shared" si="11"/>
        <v/>
      </c>
      <c r="Y402" s="110" t="str">
        <f t="array" ref="Y402">_xlfn.XLOOKUP(A402,'Video Database'!L:L,'Video Database'!M:M,"")</f>
        <v>Product Overlay</v>
      </c>
    </row>
    <row r="403" ht="22.5" customHeight="1">
      <c r="A403" s="113">
        <f t="shared" si="12"/>
        <v>402</v>
      </c>
      <c r="B403" s="98" t="str">
        <f t="array" ref="B403">_xlfn.XLOOKUP(A403,'Video Database'!L:L,'Video Database'!D:D,"")</f>
        <v>Blakely</v>
      </c>
      <c r="C403" s="98" t="str">
        <f t="array" ref="C403">_xlfn.XLOOKUP(A403,'Video Database'!L:L,'Video Database'!E:E,"")</f>
        <v>Account 3</v>
      </c>
      <c r="D403" s="99" t="str">
        <f t="array" ref="D403">_xlfn.XLOOKUP(A403,'Video Database'!L:L,'Video Database'!G:G,"")</f>
        <v>Beast Bites Creatine Gummies</v>
      </c>
      <c r="E403" s="100">
        <f t="array" ref="E403">_xlfn.XLOOKUP(A403,'Video Database'!L:L,'Video Database'!H:H,"")</f>
        <v>0.11</v>
      </c>
      <c r="F403" s="101">
        <v>0.0</v>
      </c>
      <c r="G403" s="87">
        <v>0.0</v>
      </c>
      <c r="H403" s="114">
        <f t="array" ref="H403">_xlfn.XLOOKUP(A403,'Video Database'!L:L,'Video Database'!A:A,"")</f>
        <v>46189</v>
      </c>
      <c r="I403" s="103">
        <v>46201.0</v>
      </c>
      <c r="J403" s="104">
        <v>0.0</v>
      </c>
      <c r="K403" s="105"/>
      <c r="L403" s="105" t="str">
        <f t="shared" si="1"/>
        <v/>
      </c>
      <c r="O403" s="106" t="str">
        <f t="shared" si="2"/>
        <v>#N/A</v>
      </c>
      <c r="P403" s="106" t="str">
        <f t="shared" si="3"/>
        <v>#N/A</v>
      </c>
      <c r="Q403" s="84" t="str">
        <f t="shared" si="4"/>
        <v>#N/A</v>
      </c>
      <c r="R403" s="84" t="str">
        <f t="shared" si="5"/>
        <v>#N/A</v>
      </c>
      <c r="S403" s="107">
        <f t="shared" si="6"/>
        <v>-0.11</v>
      </c>
      <c r="T403" s="108">
        <f t="shared" si="7"/>
        <v>-1</v>
      </c>
      <c r="U403" s="106" t="str">
        <f t="shared" si="8"/>
        <v>#N/A</v>
      </c>
      <c r="V403" s="84" t="str">
        <f t="shared" si="9"/>
        <v/>
      </c>
      <c r="W403" s="109" t="str">
        <f t="shared" si="10"/>
        <v/>
      </c>
      <c r="X403" s="109" t="str">
        <f t="shared" si="11"/>
        <v/>
      </c>
      <c r="Y403" s="110" t="str">
        <f t="array" ref="Y403">_xlfn.XLOOKUP(A403,'Video Database'!L:L,'Video Database'!M:M,"")</f>
        <v>Product Overlay</v>
      </c>
    </row>
    <row r="404" ht="22.5" customHeight="1">
      <c r="A404" s="113">
        <f t="shared" si="12"/>
        <v>403</v>
      </c>
      <c r="B404" s="98" t="str">
        <f t="array" ref="B404">_xlfn.XLOOKUP(A404,'Video Database'!L:L,'Video Database'!D:D,"")</f>
        <v>Blakely</v>
      </c>
      <c r="C404" s="98" t="str">
        <f t="array" ref="C404">_xlfn.XLOOKUP(A404,'Video Database'!L:L,'Video Database'!E:E,"")</f>
        <v>Account 3</v>
      </c>
      <c r="D404" s="99" t="str">
        <f t="array" ref="D404">_xlfn.XLOOKUP(A404,'Video Database'!L:L,'Video Database'!G:G,"")</f>
        <v>Neurogum Watermelon</v>
      </c>
      <c r="E404" s="100">
        <f t="array" ref="E404">_xlfn.XLOOKUP(A404,'Video Database'!L:L,'Video Database'!H:H,"")</f>
        <v>0.11</v>
      </c>
      <c r="F404" s="101">
        <v>0.0</v>
      </c>
      <c r="G404" s="87">
        <v>0.0</v>
      </c>
      <c r="H404" s="114">
        <f t="array" ref="H404">_xlfn.XLOOKUP(A404,'Video Database'!L:L,'Video Database'!A:A,"")</f>
        <v>46189</v>
      </c>
      <c r="I404" s="103">
        <v>46201.0</v>
      </c>
      <c r="J404" s="104">
        <v>0.0</v>
      </c>
      <c r="K404" s="105"/>
      <c r="L404" s="105" t="str">
        <f t="shared" si="1"/>
        <v/>
      </c>
      <c r="O404" s="106" t="str">
        <f t="shared" si="2"/>
        <v>#N/A</v>
      </c>
      <c r="P404" s="106" t="str">
        <f t="shared" si="3"/>
        <v>#N/A</v>
      </c>
      <c r="Q404" s="84" t="str">
        <f t="shared" si="4"/>
        <v>#N/A</v>
      </c>
      <c r="R404" s="84" t="str">
        <f t="shared" si="5"/>
        <v>#N/A</v>
      </c>
      <c r="S404" s="107">
        <f t="shared" si="6"/>
        <v>-0.11</v>
      </c>
      <c r="T404" s="108">
        <f t="shared" si="7"/>
        <v>-1</v>
      </c>
      <c r="U404" s="106" t="str">
        <f t="shared" si="8"/>
        <v>#N/A</v>
      </c>
      <c r="V404" s="84" t="str">
        <f t="shared" si="9"/>
        <v/>
      </c>
      <c r="W404" s="109" t="str">
        <f t="shared" si="10"/>
        <v/>
      </c>
      <c r="X404" s="109" t="str">
        <f t="shared" si="11"/>
        <v/>
      </c>
      <c r="Y404" s="110" t="str">
        <f t="array" ref="Y404">_xlfn.XLOOKUP(A404,'Video Database'!L:L,'Video Database'!M:M,"")</f>
        <v>Bottom of Funnel</v>
      </c>
    </row>
    <row r="405" ht="22.5" customHeight="1">
      <c r="A405" s="113">
        <f t="shared" si="12"/>
        <v>404</v>
      </c>
      <c r="B405" s="98" t="str">
        <f t="array" ref="B405">_xlfn.XLOOKUP(A405,'Video Database'!L:L,'Video Database'!D:D,"")</f>
        <v>Blakely</v>
      </c>
      <c r="C405" s="98" t="str">
        <f t="array" ref="C405">_xlfn.XLOOKUP(A405,'Video Database'!L:L,'Video Database'!E:E,"")</f>
        <v>Account 3</v>
      </c>
      <c r="D405" s="99" t="str">
        <f t="array" ref="D405">_xlfn.XLOOKUP(A405,'Video Database'!L:L,'Video Database'!G:G,"")</f>
        <v>Nello Supercalm Drink Mix</v>
      </c>
      <c r="E405" s="100">
        <f t="array" ref="E405">_xlfn.XLOOKUP(A405,'Video Database'!L:L,'Video Database'!H:H,"")</f>
        <v>0.11</v>
      </c>
      <c r="F405" s="101">
        <v>0.0</v>
      </c>
      <c r="G405" s="87">
        <v>0.0</v>
      </c>
      <c r="H405" s="114">
        <f t="array" ref="H405">_xlfn.XLOOKUP(A405,'Video Database'!L:L,'Video Database'!A:A,"")</f>
        <v>46189</v>
      </c>
      <c r="I405" s="103">
        <v>46201.0</v>
      </c>
      <c r="J405" s="104">
        <v>0.0</v>
      </c>
      <c r="K405" s="105"/>
      <c r="L405" s="105" t="str">
        <f t="shared" si="1"/>
        <v/>
      </c>
      <c r="O405" s="106" t="str">
        <f t="shared" si="2"/>
        <v>#N/A</v>
      </c>
      <c r="P405" s="106" t="str">
        <f t="shared" si="3"/>
        <v>#N/A</v>
      </c>
      <c r="Q405" s="84" t="str">
        <f t="shared" si="4"/>
        <v>#N/A</v>
      </c>
      <c r="R405" s="84" t="str">
        <f t="shared" si="5"/>
        <v>#N/A</v>
      </c>
      <c r="S405" s="107">
        <f t="shared" si="6"/>
        <v>-0.11</v>
      </c>
      <c r="T405" s="108">
        <f t="shared" si="7"/>
        <v>-1</v>
      </c>
      <c r="U405" s="106" t="str">
        <f t="shared" si="8"/>
        <v>#N/A</v>
      </c>
      <c r="V405" s="84" t="str">
        <f t="shared" si="9"/>
        <v/>
      </c>
      <c r="W405" s="109" t="str">
        <f t="shared" si="10"/>
        <v/>
      </c>
      <c r="X405" s="109" t="str">
        <f t="shared" si="11"/>
        <v/>
      </c>
      <c r="Y405" s="110" t="str">
        <f t="array" ref="Y405">_xlfn.XLOOKUP(A405,'Video Database'!L:L,'Video Database'!M:M,"")</f>
        <v>Bottom of Funnel</v>
      </c>
    </row>
    <row r="406" ht="22.5" customHeight="1">
      <c r="A406" s="113">
        <f t="shared" si="12"/>
        <v>405</v>
      </c>
      <c r="B406" s="98" t="str">
        <f t="array" ref="B406">_xlfn.XLOOKUP(A406,'Video Database'!L:L,'Video Database'!D:D,"")</f>
        <v>Erin</v>
      </c>
      <c r="C406" s="98" t="str">
        <f t="array" ref="C406">_xlfn.XLOOKUP(A406,'Video Database'!L:L,'Video Database'!E:E,"")</f>
        <v>Account 3</v>
      </c>
      <c r="D406" s="99" t="str">
        <f t="array" ref="D406">_xlfn.XLOOKUP(A406,'Video Database'!L:L,'Video Database'!G:G,"")</f>
        <v>Peta Jane Self-Tan Starter Kit Medium</v>
      </c>
      <c r="E406" s="100">
        <f t="array" ref="E406">_xlfn.XLOOKUP(A406,'Video Database'!L:L,'Video Database'!H:H,"")</f>
        <v>1.1</v>
      </c>
      <c r="F406" s="101">
        <v>0.0</v>
      </c>
      <c r="G406" s="87">
        <v>0.0</v>
      </c>
      <c r="H406" s="114">
        <f t="array" ref="H406">_xlfn.XLOOKUP(A406,'Video Database'!L:L,'Video Database'!A:A,"")</f>
        <v>46189</v>
      </c>
      <c r="I406" s="103">
        <v>46201.0</v>
      </c>
      <c r="J406" s="104">
        <v>0.0</v>
      </c>
      <c r="K406" s="105"/>
      <c r="L406" s="105" t="str">
        <f t="shared" si="1"/>
        <v/>
      </c>
      <c r="O406" s="106" t="str">
        <f t="shared" si="2"/>
        <v>#N/A</v>
      </c>
      <c r="P406" s="106" t="str">
        <f t="shared" si="3"/>
        <v>#N/A</v>
      </c>
      <c r="Q406" s="84" t="str">
        <f t="shared" si="4"/>
        <v>#N/A</v>
      </c>
      <c r="R406" s="84" t="str">
        <f t="shared" si="5"/>
        <v>#N/A</v>
      </c>
      <c r="S406" s="107">
        <f t="shared" si="6"/>
        <v>-1.1</v>
      </c>
      <c r="T406" s="108">
        <f t="shared" si="7"/>
        <v>-1</v>
      </c>
      <c r="U406" s="106" t="str">
        <f t="shared" si="8"/>
        <v>#N/A</v>
      </c>
      <c r="V406" s="84" t="str">
        <f t="shared" si="9"/>
        <v/>
      </c>
      <c r="W406" s="109" t="str">
        <f t="shared" si="10"/>
        <v/>
      </c>
      <c r="X406" s="109" t="str">
        <f t="shared" si="11"/>
        <v/>
      </c>
      <c r="Y406" s="110" t="str">
        <f t="array" ref="Y406">_xlfn.XLOOKUP(A406,'Video Database'!L:L,'Video Database'!M:M,"")</f>
        <v>Bottom of Funnel</v>
      </c>
    </row>
    <row r="407" ht="22.5" customHeight="1">
      <c r="A407" s="113">
        <f t="shared" si="12"/>
        <v>406</v>
      </c>
      <c r="B407" s="98" t="str">
        <f t="array" ref="B407">_xlfn.XLOOKUP(A407,'Video Database'!L:L,'Video Database'!D:D,"")</f>
        <v>Blakely</v>
      </c>
      <c r="C407" s="98" t="str">
        <f t="array" ref="C407">_xlfn.XLOOKUP(A407,'Video Database'!L:L,'Video Database'!E:E,"")</f>
        <v>Account 3</v>
      </c>
      <c r="D407" s="99" t="str">
        <f t="array" ref="D407">_xlfn.XLOOKUP(A407,'Video Database'!L:L,'Video Database'!G:G,"")</f>
        <v>Squish Energy Preworkout Jello Shots</v>
      </c>
      <c r="E407" s="100">
        <f t="array" ref="E407">_xlfn.XLOOKUP(A407,'Video Database'!L:L,'Video Database'!H:H,"")</f>
        <v>0.11</v>
      </c>
      <c r="F407" s="101">
        <v>0.0</v>
      </c>
      <c r="G407" s="87">
        <v>0.0</v>
      </c>
      <c r="H407" s="114">
        <f t="array" ref="H407">_xlfn.XLOOKUP(A407,'Video Database'!L:L,'Video Database'!A:A,"")</f>
        <v>46189</v>
      </c>
      <c r="I407" s="103">
        <v>46201.0</v>
      </c>
      <c r="J407" s="104">
        <v>0.0</v>
      </c>
      <c r="K407" s="105"/>
      <c r="L407" s="105" t="str">
        <f t="shared" si="1"/>
        <v/>
      </c>
      <c r="O407" s="106" t="str">
        <f t="shared" si="2"/>
        <v>#N/A</v>
      </c>
      <c r="P407" s="106" t="str">
        <f t="shared" si="3"/>
        <v>#N/A</v>
      </c>
      <c r="Q407" s="84" t="str">
        <f t="shared" si="4"/>
        <v>#N/A</v>
      </c>
      <c r="R407" s="84" t="str">
        <f t="shared" si="5"/>
        <v>#N/A</v>
      </c>
      <c r="S407" s="107">
        <f t="shared" si="6"/>
        <v>-0.11</v>
      </c>
      <c r="T407" s="108">
        <f t="shared" si="7"/>
        <v>-1</v>
      </c>
      <c r="U407" s="106" t="str">
        <f t="shared" si="8"/>
        <v>#N/A</v>
      </c>
      <c r="V407" s="84" t="str">
        <f t="shared" si="9"/>
        <v/>
      </c>
      <c r="W407" s="109" t="str">
        <f t="shared" si="10"/>
        <v/>
      </c>
      <c r="X407" s="109" t="str">
        <f t="shared" si="11"/>
        <v/>
      </c>
      <c r="Y407" s="110" t="str">
        <f t="array" ref="Y407">_xlfn.XLOOKUP(A407,'Video Database'!L:L,'Video Database'!M:M,"")</f>
        <v>Bottom of Funnel</v>
      </c>
    </row>
    <row r="408" ht="22.5" customHeight="1">
      <c r="A408" s="113">
        <f t="shared" si="12"/>
        <v>407</v>
      </c>
      <c r="B408" s="98" t="str">
        <f t="array" ref="B408">_xlfn.XLOOKUP(A408,'Video Database'!L:L,'Video Database'!D:D,"")</f>
        <v>Erin</v>
      </c>
      <c r="C408" s="98" t="str">
        <f t="array" ref="C408">_xlfn.XLOOKUP(A408,'Video Database'!L:L,'Video Database'!E:E,"")</f>
        <v>Account 4</v>
      </c>
      <c r="D408" s="99" t="str">
        <f t="array" ref="D408">_xlfn.XLOOKUP(A408,'Video Database'!L:L,'Video Database'!G:G,"")</f>
        <v>Peta Jane Self-Tan Starter Kit Medium</v>
      </c>
      <c r="E408" s="100">
        <f t="array" ref="E408">_xlfn.XLOOKUP(A408,'Video Database'!L:L,'Video Database'!H:H,"")</f>
        <v>1.1</v>
      </c>
      <c r="F408" s="101">
        <v>0.0</v>
      </c>
      <c r="G408" s="87">
        <v>0.0</v>
      </c>
      <c r="H408" s="114">
        <f t="array" ref="H408">_xlfn.XLOOKUP(A408,'Video Database'!L:L,'Video Database'!A:A,"")</f>
        <v>46189</v>
      </c>
      <c r="I408" s="103">
        <v>46201.0</v>
      </c>
      <c r="J408" s="104">
        <v>0.0</v>
      </c>
      <c r="K408" s="105"/>
      <c r="L408" s="105" t="str">
        <f t="shared" si="1"/>
        <v/>
      </c>
      <c r="O408" s="106" t="str">
        <f t="shared" si="2"/>
        <v>#N/A</v>
      </c>
      <c r="P408" s="106" t="str">
        <f t="shared" si="3"/>
        <v>#N/A</v>
      </c>
      <c r="Q408" s="84" t="str">
        <f t="shared" si="4"/>
        <v>#N/A</v>
      </c>
      <c r="R408" s="84" t="str">
        <f t="shared" si="5"/>
        <v>#N/A</v>
      </c>
      <c r="S408" s="107">
        <f t="shared" si="6"/>
        <v>-1.1</v>
      </c>
      <c r="T408" s="108">
        <f t="shared" si="7"/>
        <v>-1</v>
      </c>
      <c r="U408" s="106" t="str">
        <f t="shared" si="8"/>
        <v>#N/A</v>
      </c>
      <c r="V408" s="84" t="str">
        <f t="shared" si="9"/>
        <v/>
      </c>
      <c r="W408" s="109" t="str">
        <f t="shared" si="10"/>
        <v/>
      </c>
      <c r="X408" s="109" t="str">
        <f t="shared" si="11"/>
        <v/>
      </c>
      <c r="Y408" s="110" t="str">
        <f t="array" ref="Y408">_xlfn.XLOOKUP(A408,'Video Database'!L:L,'Video Database'!M:M,"")</f>
        <v>Bottom of Funnel</v>
      </c>
    </row>
    <row r="409" ht="22.5" customHeight="1">
      <c r="A409" s="113">
        <f t="shared" si="12"/>
        <v>408</v>
      </c>
      <c r="B409" s="98" t="str">
        <f t="array" ref="B409">_xlfn.XLOOKUP(A409,'Video Database'!L:L,'Video Database'!D:D,"")</f>
        <v>Blakely</v>
      </c>
      <c r="C409" s="98" t="str">
        <f t="array" ref="C409">_xlfn.XLOOKUP(A409,'Video Database'!L:L,'Video Database'!E:E,"")</f>
        <v>Account 4</v>
      </c>
      <c r="D409" s="99" t="str">
        <f t="array" ref="D409">_xlfn.XLOOKUP(A409,'Video Database'!L:L,'Video Database'!G:G,"")</f>
        <v>BetterAlt All-in-one supplement</v>
      </c>
      <c r="E409" s="100">
        <f t="array" ref="E409">_xlfn.XLOOKUP(A409,'Video Database'!L:L,'Video Database'!H:H,"")</f>
        <v>0.11</v>
      </c>
      <c r="F409" s="101">
        <v>0.0</v>
      </c>
      <c r="G409" s="87">
        <v>0.0</v>
      </c>
      <c r="H409" s="114">
        <f t="array" ref="H409">_xlfn.XLOOKUP(A409,'Video Database'!L:L,'Video Database'!A:A,"")</f>
        <v>46189</v>
      </c>
      <c r="I409" s="103">
        <v>46201.0</v>
      </c>
      <c r="J409" s="104">
        <v>0.0</v>
      </c>
      <c r="K409" s="105"/>
      <c r="L409" s="105" t="str">
        <f t="shared" si="1"/>
        <v/>
      </c>
      <c r="O409" s="106" t="str">
        <f t="shared" si="2"/>
        <v>#N/A</v>
      </c>
      <c r="P409" s="106" t="str">
        <f t="shared" si="3"/>
        <v>#N/A</v>
      </c>
      <c r="Q409" s="84" t="str">
        <f t="shared" si="4"/>
        <v>#N/A</v>
      </c>
      <c r="R409" s="84" t="str">
        <f t="shared" si="5"/>
        <v>#N/A</v>
      </c>
      <c r="S409" s="107">
        <f t="shared" si="6"/>
        <v>-0.11</v>
      </c>
      <c r="T409" s="108">
        <f t="shared" si="7"/>
        <v>-1</v>
      </c>
      <c r="U409" s="106" t="str">
        <f t="shared" si="8"/>
        <v>#N/A</v>
      </c>
      <c r="V409" s="84" t="str">
        <f t="shared" si="9"/>
        <v/>
      </c>
      <c r="W409" s="109" t="str">
        <f t="shared" si="10"/>
        <v/>
      </c>
      <c r="X409" s="109" t="str">
        <f t="shared" si="11"/>
        <v/>
      </c>
      <c r="Y409" s="110" t="str">
        <f t="array" ref="Y409">_xlfn.XLOOKUP(A409,'Video Database'!L:L,'Video Database'!M:M,"")</f>
        <v>Product Overlay</v>
      </c>
    </row>
    <row r="410" ht="22.5" customHeight="1">
      <c r="A410" s="113">
        <f t="shared" si="12"/>
        <v>409</v>
      </c>
      <c r="B410" s="98" t="str">
        <f t="array" ref="B410">_xlfn.XLOOKUP(A410,'Video Database'!L:L,'Video Database'!D:D,"")</f>
        <v>Blakely</v>
      </c>
      <c r="C410" s="98" t="str">
        <f t="array" ref="C410">_xlfn.XLOOKUP(A410,'Video Database'!L:L,'Video Database'!E:E,"")</f>
        <v>Account 4</v>
      </c>
      <c r="D410" s="99" t="str">
        <f t="array" ref="D410">_xlfn.XLOOKUP(A410,'Video Database'!L:L,'Video Database'!G:G,"")</f>
        <v>BioEmblem Magnesium</v>
      </c>
      <c r="E410" s="100">
        <f t="array" ref="E410">_xlfn.XLOOKUP(A410,'Video Database'!L:L,'Video Database'!H:H,"")</f>
        <v>0.11</v>
      </c>
      <c r="F410" s="101">
        <v>0.0</v>
      </c>
      <c r="G410" s="87">
        <v>0.0</v>
      </c>
      <c r="H410" s="114">
        <f t="array" ref="H410">_xlfn.XLOOKUP(A410,'Video Database'!L:L,'Video Database'!A:A,"")</f>
        <v>46189</v>
      </c>
      <c r="I410" s="103">
        <v>46201.0</v>
      </c>
      <c r="J410" s="104">
        <v>0.0</v>
      </c>
      <c r="K410" s="105"/>
      <c r="L410" s="105" t="str">
        <f t="shared" si="1"/>
        <v/>
      </c>
      <c r="O410" s="106" t="str">
        <f t="shared" si="2"/>
        <v>#N/A</v>
      </c>
      <c r="P410" s="106" t="str">
        <f t="shared" si="3"/>
        <v>#N/A</v>
      </c>
      <c r="Q410" s="84" t="str">
        <f t="shared" si="4"/>
        <v>#N/A</v>
      </c>
      <c r="R410" s="84" t="str">
        <f t="shared" si="5"/>
        <v>#N/A</v>
      </c>
      <c r="S410" s="107">
        <f t="shared" si="6"/>
        <v>-0.11</v>
      </c>
      <c r="T410" s="108">
        <f t="shared" si="7"/>
        <v>-1</v>
      </c>
      <c r="U410" s="106" t="str">
        <f t="shared" si="8"/>
        <v>#N/A</v>
      </c>
      <c r="V410" s="84" t="str">
        <f t="shared" si="9"/>
        <v/>
      </c>
      <c r="W410" s="109" t="str">
        <f t="shared" si="10"/>
        <v/>
      </c>
      <c r="X410" s="109" t="str">
        <f t="shared" si="11"/>
        <v/>
      </c>
      <c r="Y410" s="110" t="str">
        <f t="array" ref="Y410">_xlfn.XLOOKUP(A410,'Video Database'!L:L,'Video Database'!M:M,"")</f>
        <v>Product Overlay</v>
      </c>
    </row>
    <row r="411" ht="22.5" customHeight="1">
      <c r="A411" s="113">
        <f t="shared" si="12"/>
        <v>410</v>
      </c>
      <c r="B411" s="98" t="str">
        <f t="array" ref="B411">_xlfn.XLOOKUP(A411,'Video Database'!L:L,'Video Database'!D:D,"")</f>
        <v>Erin</v>
      </c>
      <c r="C411" s="98" t="str">
        <f t="array" ref="C411">_xlfn.XLOOKUP(A411,'Video Database'!L:L,'Video Database'!E:E,"")</f>
        <v>Account 4</v>
      </c>
      <c r="D411" s="99" t="str">
        <f t="array" ref="D411">_xlfn.XLOOKUP(A411,'Video Database'!L:L,'Video Database'!G:G,"")</f>
        <v>Peta Jane Self-Tan Starter Kit Medium</v>
      </c>
      <c r="E411" s="100">
        <f t="array" ref="E411">_xlfn.XLOOKUP(A411,'Video Database'!L:L,'Video Database'!H:H,"")</f>
        <v>1.1</v>
      </c>
      <c r="F411" s="101">
        <v>0.0</v>
      </c>
      <c r="G411" s="87">
        <v>0.0</v>
      </c>
      <c r="H411" s="114">
        <f t="array" ref="H411">_xlfn.XLOOKUP(A411,'Video Database'!L:L,'Video Database'!A:A,"")</f>
        <v>46189</v>
      </c>
      <c r="I411" s="103">
        <v>46201.0</v>
      </c>
      <c r="J411" s="104">
        <v>0.0</v>
      </c>
      <c r="K411" s="105"/>
      <c r="L411" s="105" t="str">
        <f t="shared" si="1"/>
        <v/>
      </c>
      <c r="O411" s="106" t="str">
        <f t="shared" si="2"/>
        <v>#N/A</v>
      </c>
      <c r="P411" s="106" t="str">
        <f t="shared" si="3"/>
        <v>#N/A</v>
      </c>
      <c r="Q411" s="84" t="str">
        <f t="shared" si="4"/>
        <v>#N/A</v>
      </c>
      <c r="R411" s="84" t="str">
        <f t="shared" si="5"/>
        <v>#N/A</v>
      </c>
      <c r="S411" s="107">
        <f t="shared" si="6"/>
        <v>-1.1</v>
      </c>
      <c r="T411" s="108">
        <f t="shared" si="7"/>
        <v>-1</v>
      </c>
      <c r="U411" s="106" t="str">
        <f t="shared" si="8"/>
        <v>#N/A</v>
      </c>
      <c r="V411" s="84" t="str">
        <f t="shared" si="9"/>
        <v/>
      </c>
      <c r="W411" s="109" t="str">
        <f t="shared" si="10"/>
        <v/>
      </c>
      <c r="X411" s="109" t="str">
        <f t="shared" si="11"/>
        <v/>
      </c>
      <c r="Y411" s="110" t="str">
        <f t="array" ref="Y411">_xlfn.XLOOKUP(A411,'Video Database'!L:L,'Video Database'!M:M,"")</f>
        <v>Bottom of Funnel</v>
      </c>
    </row>
    <row r="412" ht="22.5" customHeight="1">
      <c r="A412" s="113">
        <f t="shared" si="12"/>
        <v>411</v>
      </c>
      <c r="B412" s="98" t="str">
        <f t="array" ref="B412">_xlfn.XLOOKUP(A412,'Video Database'!L:L,'Video Database'!D:D,"")</f>
        <v>Blakely</v>
      </c>
      <c r="C412" s="98" t="str">
        <f t="array" ref="C412">_xlfn.XLOOKUP(A412,'Video Database'!L:L,'Video Database'!E:E,"")</f>
        <v>Account 4</v>
      </c>
      <c r="D412" s="99" t="str">
        <f t="array" ref="D412">_xlfn.XLOOKUP(A412,'Video Database'!L:L,'Video Database'!G:G,"")</f>
        <v>Shirts - Can't Wait to Gamble Today</v>
      </c>
      <c r="E412" s="100">
        <f t="array" ref="E412">_xlfn.XLOOKUP(A412,'Video Database'!L:L,'Video Database'!H:H,"")</f>
        <v>0.11</v>
      </c>
      <c r="F412" s="101">
        <v>0.0</v>
      </c>
      <c r="G412" s="87">
        <v>0.0</v>
      </c>
      <c r="H412" s="114">
        <f t="array" ref="H412">_xlfn.XLOOKUP(A412,'Video Database'!L:L,'Video Database'!A:A,"")</f>
        <v>46189</v>
      </c>
      <c r="I412" s="103">
        <v>46201.0</v>
      </c>
      <c r="J412" s="104">
        <v>0.0</v>
      </c>
      <c r="K412" s="105"/>
      <c r="L412" s="105" t="str">
        <f t="shared" si="1"/>
        <v/>
      </c>
      <c r="O412" s="106" t="str">
        <f t="shared" si="2"/>
        <v>#N/A</v>
      </c>
      <c r="P412" s="106" t="str">
        <f t="shared" si="3"/>
        <v>#N/A</v>
      </c>
      <c r="Q412" s="84" t="str">
        <f t="shared" si="4"/>
        <v>#N/A</v>
      </c>
      <c r="R412" s="84" t="str">
        <f t="shared" si="5"/>
        <v>#N/A</v>
      </c>
      <c r="S412" s="107">
        <f t="shared" si="6"/>
        <v>-0.11</v>
      </c>
      <c r="T412" s="108">
        <f t="shared" si="7"/>
        <v>-1</v>
      </c>
      <c r="U412" s="106" t="str">
        <f t="shared" si="8"/>
        <v>#N/A</v>
      </c>
      <c r="V412" s="84" t="str">
        <f t="shared" si="9"/>
        <v/>
      </c>
      <c r="W412" s="109" t="str">
        <f t="shared" si="10"/>
        <v/>
      </c>
      <c r="X412" s="109" t="str">
        <f t="shared" si="11"/>
        <v/>
      </c>
      <c r="Y412" s="110" t="str">
        <f t="array" ref="Y412">_xlfn.XLOOKUP(A412,'Video Database'!L:L,'Video Database'!M:M,"")</f>
        <v>Product Overlay</v>
      </c>
    </row>
    <row r="413" ht="22.5" customHeight="1">
      <c r="A413" s="113">
        <f t="shared" si="12"/>
        <v>412</v>
      </c>
      <c r="B413" s="98" t="str">
        <f t="array" ref="B413">_xlfn.XLOOKUP(A413,'Video Database'!L:L,'Video Database'!D:D,"")</f>
        <v>Blakely</v>
      </c>
      <c r="C413" s="98" t="str">
        <f t="array" ref="C413">_xlfn.XLOOKUP(A413,'Video Database'!L:L,'Video Database'!E:E,"")</f>
        <v>Account 4</v>
      </c>
      <c r="D413" s="99" t="str">
        <f t="array" ref="D413">_xlfn.XLOOKUP(A413,'Video Database'!L:L,'Video Database'!G:G,"")</f>
        <v>Hats - A Baseball Cap</v>
      </c>
      <c r="E413" s="100">
        <f t="array" ref="E413">_xlfn.XLOOKUP(A413,'Video Database'!L:L,'Video Database'!H:H,"")</f>
        <v>0.11</v>
      </c>
      <c r="F413" s="101">
        <v>0.0</v>
      </c>
      <c r="G413" s="87">
        <v>0.0</v>
      </c>
      <c r="H413" s="114">
        <f t="array" ref="H413">_xlfn.XLOOKUP(A413,'Video Database'!L:L,'Video Database'!A:A,"")</f>
        <v>46189</v>
      </c>
      <c r="I413" s="103">
        <v>46201.0</v>
      </c>
      <c r="J413" s="104">
        <v>0.0</v>
      </c>
      <c r="K413" s="105"/>
      <c r="L413" s="105" t="str">
        <f t="shared" si="1"/>
        <v/>
      </c>
      <c r="O413" s="106" t="str">
        <f t="shared" si="2"/>
        <v>#N/A</v>
      </c>
      <c r="P413" s="106" t="str">
        <f t="shared" si="3"/>
        <v>#N/A</v>
      </c>
      <c r="Q413" s="84" t="str">
        <f t="shared" si="4"/>
        <v>#N/A</v>
      </c>
      <c r="R413" s="84" t="str">
        <f t="shared" si="5"/>
        <v>#N/A</v>
      </c>
      <c r="S413" s="107">
        <f t="shared" si="6"/>
        <v>-0.11</v>
      </c>
      <c r="T413" s="108">
        <f t="shared" si="7"/>
        <v>-1</v>
      </c>
      <c r="U413" s="106" t="str">
        <f t="shared" si="8"/>
        <v>#N/A</v>
      </c>
      <c r="V413" s="84" t="str">
        <f t="shared" si="9"/>
        <v/>
      </c>
      <c r="W413" s="109" t="str">
        <f t="shared" si="10"/>
        <v/>
      </c>
      <c r="X413" s="109" t="str">
        <f t="shared" si="11"/>
        <v/>
      </c>
      <c r="Y413" s="110" t="str">
        <f t="array" ref="Y413">_xlfn.XLOOKUP(A413,'Video Database'!L:L,'Video Database'!M:M,"")</f>
        <v>Product Overlay</v>
      </c>
    </row>
    <row r="414" ht="22.5" customHeight="1">
      <c r="A414" s="113">
        <f t="shared" si="12"/>
        <v>413</v>
      </c>
      <c r="B414" s="98" t="str">
        <f t="array" ref="B414">_xlfn.XLOOKUP(A414,'Video Database'!L:L,'Video Database'!D:D,"")</f>
        <v>Blakely</v>
      </c>
      <c r="C414" s="98" t="str">
        <f t="array" ref="C414">_xlfn.XLOOKUP(A414,'Video Database'!L:L,'Video Database'!E:E,"")</f>
        <v>Account 4</v>
      </c>
      <c r="D414" s="99" t="str">
        <f t="array" ref="D414">_xlfn.XLOOKUP(A414,'Video Database'!L:L,'Video Database'!G:G,"")</f>
        <v>Portable Magnetic Phone Mount</v>
      </c>
      <c r="E414" s="100">
        <f t="array" ref="E414">_xlfn.XLOOKUP(A414,'Video Database'!L:L,'Video Database'!H:H,"")</f>
        <v>0.11</v>
      </c>
      <c r="F414" s="101">
        <v>0.0</v>
      </c>
      <c r="G414" s="87">
        <v>0.0</v>
      </c>
      <c r="H414" s="114">
        <f t="array" ref="H414">_xlfn.XLOOKUP(A414,'Video Database'!L:L,'Video Database'!A:A,"")</f>
        <v>46189</v>
      </c>
      <c r="I414" s="103">
        <v>46201.0</v>
      </c>
      <c r="J414" s="104">
        <v>0.0</v>
      </c>
      <c r="K414" s="105"/>
      <c r="L414" s="105" t="str">
        <f t="shared" si="1"/>
        <v/>
      </c>
      <c r="O414" s="106" t="str">
        <f t="shared" si="2"/>
        <v>#N/A</v>
      </c>
      <c r="P414" s="106" t="str">
        <f t="shared" si="3"/>
        <v>#N/A</v>
      </c>
      <c r="Q414" s="84" t="str">
        <f t="shared" si="4"/>
        <v>#N/A</v>
      </c>
      <c r="R414" s="84" t="str">
        <f t="shared" si="5"/>
        <v>#N/A</v>
      </c>
      <c r="S414" s="107">
        <f t="shared" si="6"/>
        <v>-0.11</v>
      </c>
      <c r="T414" s="108">
        <f t="shared" si="7"/>
        <v>-1</v>
      </c>
      <c r="U414" s="106" t="str">
        <f t="shared" si="8"/>
        <v>#N/A</v>
      </c>
      <c r="V414" s="84" t="str">
        <f t="shared" si="9"/>
        <v/>
      </c>
      <c r="W414" s="109" t="str">
        <f t="shared" si="10"/>
        <v/>
      </c>
      <c r="X414" s="109" t="str">
        <f t="shared" si="11"/>
        <v/>
      </c>
      <c r="Y414" s="110" t="str">
        <f t="array" ref="Y414">_xlfn.XLOOKUP(A414,'Video Database'!L:L,'Video Database'!M:M,"")</f>
        <v>Product Overlay</v>
      </c>
    </row>
    <row r="415" ht="22.5" customHeight="1">
      <c r="A415" s="113">
        <f t="shared" si="12"/>
        <v>414</v>
      </c>
      <c r="B415" s="98" t="str">
        <f t="array" ref="B415">_xlfn.XLOOKUP(A415,'Video Database'!L:L,'Video Database'!D:D,"")</f>
        <v>Erin</v>
      </c>
      <c r="C415" s="98" t="str">
        <f t="array" ref="C415">_xlfn.XLOOKUP(A415,'Video Database'!L:L,'Video Database'!E:E,"")</f>
        <v>Account 4</v>
      </c>
      <c r="D415" s="99" t="str">
        <f t="array" ref="D415">_xlfn.XLOOKUP(A415,'Video Database'!L:L,'Video Database'!G:G,"")</f>
        <v>Peta Jane Self-Tan Starter Kit Medium</v>
      </c>
      <c r="E415" s="100">
        <f t="array" ref="E415">_xlfn.XLOOKUP(A415,'Video Database'!L:L,'Video Database'!H:H,"")</f>
        <v>1.1</v>
      </c>
      <c r="F415" s="101">
        <v>0.0</v>
      </c>
      <c r="G415" s="87">
        <v>0.0</v>
      </c>
      <c r="H415" s="114">
        <f t="array" ref="H415">_xlfn.XLOOKUP(A415,'Video Database'!L:L,'Video Database'!A:A,"")</f>
        <v>46189</v>
      </c>
      <c r="I415" s="103">
        <v>46201.0</v>
      </c>
      <c r="J415" s="104">
        <v>0.0</v>
      </c>
      <c r="K415" s="105"/>
      <c r="L415" s="105" t="str">
        <f t="shared" si="1"/>
        <v/>
      </c>
      <c r="O415" s="106" t="str">
        <f t="shared" si="2"/>
        <v>#N/A</v>
      </c>
      <c r="P415" s="106" t="str">
        <f t="shared" si="3"/>
        <v>#N/A</v>
      </c>
      <c r="Q415" s="84" t="str">
        <f t="shared" si="4"/>
        <v>#N/A</v>
      </c>
      <c r="R415" s="84" t="str">
        <f t="shared" si="5"/>
        <v>#N/A</v>
      </c>
      <c r="S415" s="107">
        <f t="shared" si="6"/>
        <v>-1.1</v>
      </c>
      <c r="T415" s="108">
        <f t="shared" si="7"/>
        <v>-1</v>
      </c>
      <c r="U415" s="106" t="str">
        <f t="shared" si="8"/>
        <v>#N/A</v>
      </c>
      <c r="V415" s="84" t="str">
        <f t="shared" si="9"/>
        <v/>
      </c>
      <c r="W415" s="109" t="str">
        <f t="shared" si="10"/>
        <v/>
      </c>
      <c r="X415" s="109" t="str">
        <f t="shared" si="11"/>
        <v/>
      </c>
      <c r="Y415" s="110" t="str">
        <f t="array" ref="Y415">_xlfn.XLOOKUP(A415,'Video Database'!L:L,'Video Database'!M:M,"")</f>
        <v>Bottom of Funnel</v>
      </c>
    </row>
    <row r="416" ht="22.5" customHeight="1">
      <c r="A416" s="113">
        <f t="shared" si="12"/>
        <v>415</v>
      </c>
      <c r="B416" s="98" t="str">
        <f t="array" ref="B416">_xlfn.XLOOKUP(A416,'Video Database'!L:L,'Video Database'!D:D,"")</f>
        <v>Blakely</v>
      </c>
      <c r="C416" s="98" t="str">
        <f t="array" ref="C416">_xlfn.XLOOKUP(A416,'Video Database'!L:L,'Video Database'!E:E,"")</f>
        <v>Account 4</v>
      </c>
      <c r="D416" s="99" t="str">
        <f t="array" ref="D416">_xlfn.XLOOKUP(A416,'Video Database'!L:L,'Video Database'!G:G,"")</f>
        <v>SNOW Diamond Tetth Whitening Strips</v>
      </c>
      <c r="E416" s="100">
        <f t="array" ref="E416">_xlfn.XLOOKUP(A416,'Video Database'!L:L,'Video Database'!H:H,"")</f>
        <v>0.11</v>
      </c>
      <c r="F416" s="101">
        <v>0.0</v>
      </c>
      <c r="G416" s="87">
        <v>0.0</v>
      </c>
      <c r="H416" s="114">
        <f t="array" ref="H416">_xlfn.XLOOKUP(A416,'Video Database'!L:L,'Video Database'!A:A,"")</f>
        <v>46189</v>
      </c>
      <c r="I416" s="103">
        <v>46201.0</v>
      </c>
      <c r="J416" s="104">
        <v>0.0</v>
      </c>
      <c r="K416" s="105"/>
      <c r="L416" s="105" t="str">
        <f t="shared" si="1"/>
        <v/>
      </c>
      <c r="O416" s="106" t="str">
        <f t="shared" si="2"/>
        <v>#N/A</v>
      </c>
      <c r="P416" s="106" t="str">
        <f t="shared" si="3"/>
        <v>#N/A</v>
      </c>
      <c r="Q416" s="84" t="str">
        <f t="shared" si="4"/>
        <v>#N/A</v>
      </c>
      <c r="R416" s="84" t="str">
        <f t="shared" si="5"/>
        <v>#N/A</v>
      </c>
      <c r="S416" s="107">
        <f t="shared" si="6"/>
        <v>-0.11</v>
      </c>
      <c r="T416" s="108">
        <f t="shared" si="7"/>
        <v>-1</v>
      </c>
      <c r="U416" s="106" t="str">
        <f t="shared" si="8"/>
        <v>#N/A</v>
      </c>
      <c r="V416" s="84" t="str">
        <f t="shared" si="9"/>
        <v/>
      </c>
      <c r="W416" s="109" t="str">
        <f t="shared" si="10"/>
        <v/>
      </c>
      <c r="X416" s="109" t="str">
        <f t="shared" si="11"/>
        <v/>
      </c>
      <c r="Y416" s="110" t="str">
        <f t="array" ref="Y416">_xlfn.XLOOKUP(A416,'Video Database'!L:L,'Video Database'!M:M,"")</f>
        <v>Product Overlay</v>
      </c>
    </row>
    <row r="417" ht="22.5" customHeight="1">
      <c r="A417" s="113">
        <f t="shared" si="12"/>
        <v>416</v>
      </c>
      <c r="B417" s="98" t="str">
        <f t="array" ref="B417">_xlfn.XLOOKUP(A417,'Video Database'!L:L,'Video Database'!D:D,"")</f>
        <v>Blakely</v>
      </c>
      <c r="C417" s="98" t="str">
        <f t="array" ref="C417">_xlfn.XLOOKUP(A417,'Video Database'!L:L,'Video Database'!E:E,"")</f>
        <v>Account 4</v>
      </c>
      <c r="D417" s="99" t="str">
        <f t="array" ref="D417">_xlfn.XLOOKUP(A417,'Video Database'!L:L,'Video Database'!G:G,"")</f>
        <v>Mushroom Coffee</v>
      </c>
      <c r="E417" s="100">
        <f t="array" ref="E417">_xlfn.XLOOKUP(A417,'Video Database'!L:L,'Video Database'!H:H,"")</f>
        <v>0.11</v>
      </c>
      <c r="F417" s="101">
        <v>0.0</v>
      </c>
      <c r="G417" s="87">
        <v>0.0</v>
      </c>
      <c r="H417" s="114">
        <f t="array" ref="H417">_xlfn.XLOOKUP(A417,'Video Database'!L:L,'Video Database'!A:A,"")</f>
        <v>46189</v>
      </c>
      <c r="I417" s="103">
        <v>46201.0</v>
      </c>
      <c r="J417" s="104">
        <v>0.0</v>
      </c>
      <c r="K417" s="105"/>
      <c r="L417" s="105" t="str">
        <f t="shared" si="1"/>
        <v/>
      </c>
      <c r="O417" s="106" t="str">
        <f t="shared" si="2"/>
        <v>#N/A</v>
      </c>
      <c r="P417" s="106" t="str">
        <f t="shared" si="3"/>
        <v>#N/A</v>
      </c>
      <c r="Q417" s="84" t="str">
        <f t="shared" si="4"/>
        <v>#N/A</v>
      </c>
      <c r="R417" s="84" t="str">
        <f t="shared" si="5"/>
        <v>#N/A</v>
      </c>
      <c r="S417" s="107">
        <f t="shared" si="6"/>
        <v>-0.11</v>
      </c>
      <c r="T417" s="108">
        <f t="shared" si="7"/>
        <v>-1</v>
      </c>
      <c r="U417" s="106" t="str">
        <f t="shared" si="8"/>
        <v>#N/A</v>
      </c>
      <c r="V417" s="84" t="str">
        <f t="shared" si="9"/>
        <v/>
      </c>
      <c r="W417" s="109" t="str">
        <f t="shared" si="10"/>
        <v/>
      </c>
      <c r="X417" s="109" t="str">
        <f t="shared" si="11"/>
        <v/>
      </c>
      <c r="Y417" s="110" t="str">
        <f t="array" ref="Y417">_xlfn.XLOOKUP(A417,'Video Database'!L:L,'Video Database'!M:M,"")</f>
        <v>Product Overlay</v>
      </c>
    </row>
    <row r="418" ht="22.5" customHeight="1">
      <c r="A418" s="113">
        <f t="shared" si="12"/>
        <v>417</v>
      </c>
      <c r="B418" s="98" t="str">
        <f t="array" ref="B418">_xlfn.XLOOKUP(A418,'Video Database'!L:L,'Video Database'!D:D,"")</f>
        <v>Blakely</v>
      </c>
      <c r="C418" s="98" t="str">
        <f t="array" ref="C418">_xlfn.XLOOKUP(A418,'Video Database'!L:L,'Video Database'!E:E,"")</f>
        <v>Account 4</v>
      </c>
      <c r="D418" s="99" t="str">
        <f t="array" ref="D418">_xlfn.XLOOKUP(A418,'Video Database'!L:L,'Video Database'!G:G,"")</f>
        <v>Beast Bites Creatine Gummies</v>
      </c>
      <c r="E418" s="100">
        <f t="array" ref="E418">_xlfn.XLOOKUP(A418,'Video Database'!L:L,'Video Database'!H:H,"")</f>
        <v>0.11</v>
      </c>
      <c r="F418" s="101">
        <v>0.0</v>
      </c>
      <c r="G418" s="87">
        <v>0.0</v>
      </c>
      <c r="H418" s="114">
        <f t="array" ref="H418">_xlfn.XLOOKUP(A418,'Video Database'!L:L,'Video Database'!A:A,"")</f>
        <v>46189</v>
      </c>
      <c r="I418" s="103">
        <v>46201.0</v>
      </c>
      <c r="J418" s="104">
        <v>0.0</v>
      </c>
      <c r="K418" s="105"/>
      <c r="L418" s="105" t="str">
        <f t="shared" si="1"/>
        <v/>
      </c>
      <c r="O418" s="106" t="str">
        <f t="shared" si="2"/>
        <v>#N/A</v>
      </c>
      <c r="P418" s="106" t="str">
        <f t="shared" si="3"/>
        <v>#N/A</v>
      </c>
      <c r="Q418" s="84" t="str">
        <f t="shared" si="4"/>
        <v>#N/A</v>
      </c>
      <c r="R418" s="84" t="str">
        <f t="shared" si="5"/>
        <v>#N/A</v>
      </c>
      <c r="S418" s="107">
        <f t="shared" si="6"/>
        <v>-0.11</v>
      </c>
      <c r="T418" s="108">
        <f t="shared" si="7"/>
        <v>-1</v>
      </c>
      <c r="U418" s="106" t="str">
        <f t="shared" si="8"/>
        <v>#N/A</v>
      </c>
      <c r="V418" s="84" t="str">
        <f t="shared" si="9"/>
        <v/>
      </c>
      <c r="W418" s="109" t="str">
        <f t="shared" si="10"/>
        <v/>
      </c>
      <c r="X418" s="109" t="str">
        <f t="shared" si="11"/>
        <v/>
      </c>
      <c r="Y418" s="110" t="str">
        <f t="array" ref="Y418">_xlfn.XLOOKUP(A418,'Video Database'!L:L,'Video Database'!M:M,"")</f>
        <v>Product Overlay</v>
      </c>
    </row>
    <row r="419" ht="22.5" customHeight="1">
      <c r="A419" s="113">
        <f t="shared" si="12"/>
        <v>418</v>
      </c>
      <c r="B419" s="98" t="str">
        <f t="array" ref="B419">_xlfn.XLOOKUP(A419,'Video Database'!L:L,'Video Database'!D:D,"")</f>
        <v>Blakely</v>
      </c>
      <c r="C419" s="98" t="str">
        <f t="array" ref="C419">_xlfn.XLOOKUP(A419,'Video Database'!L:L,'Video Database'!E:E,"")</f>
        <v>Account 4</v>
      </c>
      <c r="D419" s="99" t="str">
        <f t="array" ref="D419">_xlfn.XLOOKUP(A419,'Video Database'!L:L,'Video Database'!G:G,"")</f>
        <v>Cutler Nutrition Liquid Carnitine 3000</v>
      </c>
      <c r="E419" s="100">
        <f t="array" ref="E419">_xlfn.XLOOKUP(A419,'Video Database'!L:L,'Video Database'!H:H,"")</f>
        <v>0.11</v>
      </c>
      <c r="F419" s="101">
        <v>0.0</v>
      </c>
      <c r="G419" s="87">
        <v>0.0</v>
      </c>
      <c r="H419" s="114">
        <f t="array" ref="H419">_xlfn.XLOOKUP(A419,'Video Database'!L:L,'Video Database'!A:A,"")</f>
        <v>46189</v>
      </c>
      <c r="I419" s="103">
        <v>46201.0</v>
      </c>
      <c r="J419" s="104">
        <v>0.0</v>
      </c>
      <c r="K419" s="105"/>
      <c r="L419" s="105" t="str">
        <f t="shared" si="1"/>
        <v/>
      </c>
      <c r="O419" s="106" t="str">
        <f t="shared" si="2"/>
        <v>#N/A</v>
      </c>
      <c r="P419" s="106" t="str">
        <f t="shared" si="3"/>
        <v>#N/A</v>
      </c>
      <c r="Q419" s="84" t="str">
        <f t="shared" si="4"/>
        <v>#N/A</v>
      </c>
      <c r="R419" s="84" t="str">
        <f t="shared" si="5"/>
        <v>#N/A</v>
      </c>
      <c r="S419" s="107">
        <f t="shared" si="6"/>
        <v>-0.11</v>
      </c>
      <c r="T419" s="108">
        <f t="shared" si="7"/>
        <v>-1</v>
      </c>
      <c r="U419" s="106" t="str">
        <f t="shared" si="8"/>
        <v>#N/A</v>
      </c>
      <c r="V419" s="84" t="str">
        <f t="shared" si="9"/>
        <v/>
      </c>
      <c r="W419" s="109" t="str">
        <f t="shared" si="10"/>
        <v/>
      </c>
      <c r="X419" s="109" t="str">
        <f t="shared" si="11"/>
        <v/>
      </c>
      <c r="Y419" s="110" t="str">
        <f t="array" ref="Y419">_xlfn.XLOOKUP(A419,'Video Database'!L:L,'Video Database'!M:M,"")</f>
        <v>Product Overlay</v>
      </c>
    </row>
    <row r="420" ht="22.5" customHeight="1">
      <c r="A420" s="113">
        <f t="shared" si="12"/>
        <v>419</v>
      </c>
      <c r="B420" s="98" t="str">
        <f t="array" ref="B420">_xlfn.XLOOKUP(A420,'Video Database'!L:L,'Video Database'!D:D,"")</f>
        <v>Blakely</v>
      </c>
      <c r="C420" s="98" t="str">
        <f t="array" ref="C420">_xlfn.XLOOKUP(A420,'Video Database'!L:L,'Video Database'!E:E,"")</f>
        <v>Account 4</v>
      </c>
      <c r="D420" s="99" t="str">
        <f t="array" ref="D420">_xlfn.XLOOKUP(A420,'Video Database'!L:L,'Video Database'!G:G,"")</f>
        <v>Clip Light</v>
      </c>
      <c r="E420" s="100">
        <f t="array" ref="E420">_xlfn.XLOOKUP(A420,'Video Database'!L:L,'Video Database'!H:H,"")</f>
        <v>0.11</v>
      </c>
      <c r="F420" s="101">
        <v>0.0</v>
      </c>
      <c r="G420" s="87">
        <v>0.0</v>
      </c>
      <c r="H420" s="114">
        <f t="array" ref="H420">_xlfn.XLOOKUP(A420,'Video Database'!L:L,'Video Database'!A:A,"")</f>
        <v>46189</v>
      </c>
      <c r="I420" s="103">
        <v>46201.0</v>
      </c>
      <c r="J420" s="104">
        <v>0.0</v>
      </c>
      <c r="K420" s="105"/>
      <c r="L420" s="105" t="str">
        <f t="shared" si="1"/>
        <v/>
      </c>
      <c r="O420" s="106" t="str">
        <f t="shared" si="2"/>
        <v>#N/A</v>
      </c>
      <c r="P420" s="106" t="str">
        <f t="shared" si="3"/>
        <v>#N/A</v>
      </c>
      <c r="Q420" s="84" t="str">
        <f t="shared" si="4"/>
        <v>#N/A</v>
      </c>
      <c r="R420" s="84" t="str">
        <f t="shared" si="5"/>
        <v>#N/A</v>
      </c>
      <c r="S420" s="107">
        <f t="shared" si="6"/>
        <v>-0.11</v>
      </c>
      <c r="T420" s="108">
        <f t="shared" si="7"/>
        <v>-1</v>
      </c>
      <c r="U420" s="106" t="str">
        <f t="shared" si="8"/>
        <v>#N/A</v>
      </c>
      <c r="V420" s="84" t="str">
        <f t="shared" si="9"/>
        <v/>
      </c>
      <c r="W420" s="109" t="str">
        <f t="shared" si="10"/>
        <v/>
      </c>
      <c r="X420" s="109" t="str">
        <f t="shared" si="11"/>
        <v/>
      </c>
      <c r="Y420" s="110" t="str">
        <f t="array" ref="Y420">_xlfn.XLOOKUP(A420,'Video Database'!L:L,'Video Database'!M:M,"")</f>
        <v>Product Overlay</v>
      </c>
    </row>
    <row r="421" ht="22.5" customHeight="1">
      <c r="A421" s="113">
        <f t="shared" si="12"/>
        <v>420</v>
      </c>
      <c r="B421" s="98" t="str">
        <f t="array" ref="B421">_xlfn.XLOOKUP(A421,'Video Database'!L:L,'Video Database'!D:D,"")</f>
        <v>Blakely</v>
      </c>
      <c r="C421" s="98" t="str">
        <f t="array" ref="C421">_xlfn.XLOOKUP(A421,'Video Database'!L:L,'Video Database'!E:E,"")</f>
        <v>Account 1</v>
      </c>
      <c r="D421" s="99" t="str">
        <f t="array" ref="D421">_xlfn.XLOOKUP(A421,'Video Database'!L:L,'Video Database'!G:G,"")</f>
        <v>Goli Women's Complete Multi Gummy</v>
      </c>
      <c r="E421" s="100">
        <f t="array" ref="E421">_xlfn.XLOOKUP(A421,'Video Database'!L:L,'Video Database'!H:H,"")</f>
        <v>0.11</v>
      </c>
      <c r="F421" s="101">
        <v>0.0</v>
      </c>
      <c r="G421" s="87">
        <v>0.0</v>
      </c>
      <c r="H421" s="114">
        <f t="array" ref="H421">_xlfn.XLOOKUP(A421,'Video Database'!L:L,'Video Database'!A:A,"")</f>
        <v>46190</v>
      </c>
      <c r="I421" s="103">
        <v>46201.0</v>
      </c>
      <c r="J421" s="104">
        <v>0.0</v>
      </c>
      <c r="K421" s="105"/>
      <c r="L421" s="105" t="str">
        <f t="shared" si="1"/>
        <v/>
      </c>
      <c r="O421" s="106" t="str">
        <f t="shared" si="2"/>
        <v>#N/A</v>
      </c>
      <c r="P421" s="106" t="str">
        <f t="shared" si="3"/>
        <v>#N/A</v>
      </c>
      <c r="Q421" s="84" t="str">
        <f t="shared" si="4"/>
        <v>#N/A</v>
      </c>
      <c r="R421" s="84" t="str">
        <f t="shared" si="5"/>
        <v>#N/A</v>
      </c>
      <c r="S421" s="107">
        <f t="shared" si="6"/>
        <v>-0.11</v>
      </c>
      <c r="T421" s="108">
        <f t="shared" si="7"/>
        <v>-1</v>
      </c>
      <c r="U421" s="106" t="str">
        <f t="shared" si="8"/>
        <v>#N/A</v>
      </c>
      <c r="V421" s="84" t="str">
        <f t="shared" si="9"/>
        <v/>
      </c>
      <c r="W421" s="109" t="str">
        <f t="shared" si="10"/>
        <v/>
      </c>
      <c r="X421" s="109" t="str">
        <f t="shared" si="11"/>
        <v/>
      </c>
      <c r="Y421" s="110" t="str">
        <f t="array" ref="Y421">_xlfn.XLOOKUP(A421,'Video Database'!L:L,'Video Database'!M:M,"")</f>
        <v>Product Overlay</v>
      </c>
    </row>
    <row r="422" ht="22.5" customHeight="1">
      <c r="A422" s="113">
        <f t="shared" si="12"/>
        <v>421</v>
      </c>
      <c r="B422" s="98" t="str">
        <f t="array" ref="B422">_xlfn.XLOOKUP(A422,'Video Database'!L:L,'Video Database'!D:D,"")</f>
        <v>Blakely</v>
      </c>
      <c r="C422" s="98" t="str">
        <f t="array" ref="C422">_xlfn.XLOOKUP(A422,'Video Database'!L:L,'Video Database'!E:E,"")</f>
        <v>Account 1</v>
      </c>
      <c r="D422" s="99" t="str">
        <f t="array" ref="D422">_xlfn.XLOOKUP(A422,'Video Database'!L:L,'Video Database'!G:G,"")</f>
        <v>Nello Supercalm Drink Mix</v>
      </c>
      <c r="E422" s="100">
        <f t="array" ref="E422">_xlfn.XLOOKUP(A422,'Video Database'!L:L,'Video Database'!H:H,"")</f>
        <v>0.11</v>
      </c>
      <c r="F422" s="101">
        <v>0.0</v>
      </c>
      <c r="G422" s="87">
        <v>0.0</v>
      </c>
      <c r="H422" s="114">
        <f t="array" ref="H422">_xlfn.XLOOKUP(A422,'Video Database'!L:L,'Video Database'!A:A,"")</f>
        <v>46190</v>
      </c>
      <c r="I422" s="103">
        <v>46201.0</v>
      </c>
      <c r="J422" s="104">
        <v>0.0</v>
      </c>
      <c r="K422" s="105"/>
      <c r="L422" s="105" t="str">
        <f t="shared" si="1"/>
        <v/>
      </c>
      <c r="O422" s="106" t="str">
        <f t="shared" si="2"/>
        <v>#N/A</v>
      </c>
      <c r="P422" s="106" t="str">
        <f t="shared" si="3"/>
        <v>#N/A</v>
      </c>
      <c r="Q422" s="84" t="str">
        <f t="shared" si="4"/>
        <v>#N/A</v>
      </c>
      <c r="R422" s="84" t="str">
        <f t="shared" si="5"/>
        <v>#N/A</v>
      </c>
      <c r="S422" s="107">
        <f t="shared" si="6"/>
        <v>-0.11</v>
      </c>
      <c r="T422" s="108">
        <f t="shared" si="7"/>
        <v>-1</v>
      </c>
      <c r="U422" s="106" t="str">
        <f t="shared" si="8"/>
        <v>#N/A</v>
      </c>
      <c r="V422" s="84" t="str">
        <f t="shared" si="9"/>
        <v/>
      </c>
      <c r="W422" s="109" t="str">
        <f t="shared" si="10"/>
        <v/>
      </c>
      <c r="X422" s="109" t="str">
        <f t="shared" si="11"/>
        <v/>
      </c>
      <c r="Y422" s="110" t="str">
        <f t="array" ref="Y422">_xlfn.XLOOKUP(A422,'Video Database'!L:L,'Video Database'!M:M,"")</f>
        <v>Product Overlay</v>
      </c>
    </row>
    <row r="423" ht="22.5" customHeight="1">
      <c r="A423" s="113">
        <f t="shared" si="12"/>
        <v>422</v>
      </c>
      <c r="B423" s="98" t="str">
        <f t="array" ref="B423">_xlfn.XLOOKUP(A423,'Video Database'!L:L,'Video Database'!D:D,"")</f>
        <v>Erin</v>
      </c>
      <c r="C423" s="98" t="str">
        <f t="array" ref="C423">_xlfn.XLOOKUP(A423,'Video Database'!L:L,'Video Database'!E:E,"")</f>
        <v>Account 1</v>
      </c>
      <c r="D423" s="99" t="str">
        <f t="array" ref="D423">_xlfn.XLOOKUP(A423,'Video Database'!L:L,'Video Database'!G:G,"")</f>
        <v>Peta Jane Self-Tan Starter Kit Medium</v>
      </c>
      <c r="E423" s="100">
        <f t="array" ref="E423">_xlfn.XLOOKUP(A423,'Video Database'!L:L,'Video Database'!H:H,"")</f>
        <v>1.1</v>
      </c>
      <c r="F423" s="101">
        <v>0.0</v>
      </c>
      <c r="G423" s="87">
        <v>0.0</v>
      </c>
      <c r="H423" s="114">
        <f t="array" ref="H423">_xlfn.XLOOKUP(A423,'Video Database'!L:L,'Video Database'!A:A,"")</f>
        <v>46190</v>
      </c>
      <c r="I423" s="103">
        <v>46201.0</v>
      </c>
      <c r="J423" s="104">
        <v>0.0</v>
      </c>
      <c r="K423" s="105"/>
      <c r="L423" s="105" t="str">
        <f t="shared" si="1"/>
        <v/>
      </c>
      <c r="O423" s="106" t="str">
        <f t="shared" si="2"/>
        <v>#N/A</v>
      </c>
      <c r="P423" s="106" t="str">
        <f t="shared" si="3"/>
        <v>#N/A</v>
      </c>
      <c r="Q423" s="84" t="str">
        <f t="shared" si="4"/>
        <v>#N/A</v>
      </c>
      <c r="R423" s="84" t="str">
        <f t="shared" si="5"/>
        <v>#N/A</v>
      </c>
      <c r="S423" s="107">
        <f t="shared" si="6"/>
        <v>-1.1</v>
      </c>
      <c r="T423" s="108">
        <f t="shared" si="7"/>
        <v>-1</v>
      </c>
      <c r="U423" s="106" t="str">
        <f t="shared" si="8"/>
        <v>#N/A</v>
      </c>
      <c r="V423" s="84" t="str">
        <f t="shared" si="9"/>
        <v/>
      </c>
      <c r="W423" s="109" t="str">
        <f t="shared" si="10"/>
        <v/>
      </c>
      <c r="X423" s="109" t="str">
        <f t="shared" si="11"/>
        <v/>
      </c>
      <c r="Y423" s="110" t="str">
        <f t="array" ref="Y423">_xlfn.XLOOKUP(A423,'Video Database'!L:L,'Video Database'!M:M,"")</f>
        <v>Bottom of Funnel</v>
      </c>
    </row>
    <row r="424" ht="22.5" customHeight="1">
      <c r="A424" s="113">
        <f t="shared" si="12"/>
        <v>423</v>
      </c>
      <c r="B424" s="98" t="str">
        <f t="array" ref="B424">_xlfn.XLOOKUP(A424,'Video Database'!L:L,'Video Database'!D:D,"")</f>
        <v>Blakely</v>
      </c>
      <c r="C424" s="98" t="str">
        <f t="array" ref="C424">_xlfn.XLOOKUP(A424,'Video Database'!L:L,'Video Database'!E:E,"")</f>
        <v>Account 1</v>
      </c>
      <c r="D424" s="99" t="str">
        <f t="array" ref="D424">_xlfn.XLOOKUP(A424,'Video Database'!L:L,'Video Database'!G:G,"")</f>
        <v>Squish Energy Preworkout Jello Shots</v>
      </c>
      <c r="E424" s="100">
        <f t="array" ref="E424">_xlfn.XLOOKUP(A424,'Video Database'!L:L,'Video Database'!H:H,"")</f>
        <v>0.11</v>
      </c>
      <c r="F424" s="101">
        <v>0.0</v>
      </c>
      <c r="G424" s="87">
        <v>0.0</v>
      </c>
      <c r="H424" s="114">
        <f t="array" ref="H424">_xlfn.XLOOKUP(A424,'Video Database'!L:L,'Video Database'!A:A,"")</f>
        <v>46190</v>
      </c>
      <c r="I424" s="103">
        <v>46201.0</v>
      </c>
      <c r="J424" s="104">
        <v>0.0</v>
      </c>
      <c r="K424" s="105"/>
      <c r="L424" s="105" t="str">
        <f t="shared" si="1"/>
        <v/>
      </c>
      <c r="O424" s="106" t="str">
        <f t="shared" si="2"/>
        <v>#N/A</v>
      </c>
      <c r="P424" s="106" t="str">
        <f t="shared" si="3"/>
        <v>#N/A</v>
      </c>
      <c r="Q424" s="84" t="str">
        <f t="shared" si="4"/>
        <v>#N/A</v>
      </c>
      <c r="R424" s="84" t="str">
        <f t="shared" si="5"/>
        <v>#N/A</v>
      </c>
      <c r="S424" s="107">
        <f t="shared" si="6"/>
        <v>-0.11</v>
      </c>
      <c r="T424" s="108">
        <f t="shared" si="7"/>
        <v>-1</v>
      </c>
      <c r="U424" s="106" t="str">
        <f t="shared" si="8"/>
        <v>#N/A</v>
      </c>
      <c r="V424" s="84" t="str">
        <f t="shared" si="9"/>
        <v/>
      </c>
      <c r="W424" s="109" t="str">
        <f t="shared" si="10"/>
        <v/>
      </c>
      <c r="X424" s="109" t="str">
        <f t="shared" si="11"/>
        <v/>
      </c>
      <c r="Y424" s="110" t="str">
        <f t="array" ref="Y424">_xlfn.XLOOKUP(A424,'Video Database'!L:L,'Video Database'!M:M,"")</f>
        <v>Product Overlay</v>
      </c>
    </row>
    <row r="425" ht="22.5" customHeight="1">
      <c r="A425" s="113">
        <f t="shared" si="12"/>
        <v>424</v>
      </c>
      <c r="B425" s="98" t="str">
        <f t="array" ref="B425">_xlfn.XLOOKUP(A425,'Video Database'!L:L,'Video Database'!D:D,"")</f>
        <v>Erin</v>
      </c>
      <c r="C425" s="98" t="str">
        <f t="array" ref="C425">_xlfn.XLOOKUP(A425,'Video Database'!L:L,'Video Database'!E:E,"")</f>
        <v>Account 1</v>
      </c>
      <c r="D425" s="99" t="str">
        <f t="array" ref="D425">_xlfn.XLOOKUP(A425,'Video Database'!L:L,'Video Database'!G:G,"")</f>
        <v>Peta Jane Self-Tan Starter Kit Medium</v>
      </c>
      <c r="E425" s="100">
        <f t="array" ref="E425">_xlfn.XLOOKUP(A425,'Video Database'!L:L,'Video Database'!H:H,"")</f>
        <v>1.1</v>
      </c>
      <c r="F425" s="101">
        <v>0.0</v>
      </c>
      <c r="G425" s="87">
        <v>0.0</v>
      </c>
      <c r="H425" s="114">
        <f t="array" ref="H425">_xlfn.XLOOKUP(A425,'Video Database'!L:L,'Video Database'!A:A,"")</f>
        <v>46190</v>
      </c>
      <c r="I425" s="103">
        <v>46201.0</v>
      </c>
      <c r="J425" s="104">
        <v>0.0</v>
      </c>
      <c r="K425" s="105"/>
      <c r="L425" s="105" t="str">
        <f t="shared" si="1"/>
        <v/>
      </c>
      <c r="O425" s="106" t="str">
        <f t="shared" si="2"/>
        <v>#N/A</v>
      </c>
      <c r="P425" s="106" t="str">
        <f t="shared" si="3"/>
        <v>#N/A</v>
      </c>
      <c r="Q425" s="84" t="str">
        <f t="shared" si="4"/>
        <v>#N/A</v>
      </c>
      <c r="R425" s="84" t="str">
        <f t="shared" si="5"/>
        <v>#N/A</v>
      </c>
      <c r="S425" s="107">
        <f t="shared" si="6"/>
        <v>-1.1</v>
      </c>
      <c r="T425" s="108">
        <f t="shared" si="7"/>
        <v>-1</v>
      </c>
      <c r="U425" s="106" t="str">
        <f t="shared" si="8"/>
        <v>#N/A</v>
      </c>
      <c r="V425" s="84" t="str">
        <f t="shared" si="9"/>
        <v/>
      </c>
      <c r="W425" s="109" t="str">
        <f t="shared" si="10"/>
        <v/>
      </c>
      <c r="X425" s="109" t="str">
        <f t="shared" si="11"/>
        <v/>
      </c>
      <c r="Y425" s="110" t="str">
        <f t="array" ref="Y425">_xlfn.XLOOKUP(A425,'Video Database'!L:L,'Video Database'!M:M,"")</f>
        <v>Bottom of Funnel</v>
      </c>
    </row>
    <row r="426" ht="22.5" customHeight="1">
      <c r="A426" s="113">
        <f t="shared" si="12"/>
        <v>425</v>
      </c>
      <c r="B426" s="98" t="str">
        <f t="array" ref="B426">_xlfn.XLOOKUP(A426,'Video Database'!L:L,'Video Database'!D:D,"")</f>
        <v>Blakely</v>
      </c>
      <c r="C426" s="98" t="str">
        <f t="array" ref="C426">_xlfn.XLOOKUP(A426,'Video Database'!L:L,'Video Database'!E:E,"")</f>
        <v>Account 1</v>
      </c>
      <c r="D426" s="99" t="str">
        <f t="array" ref="D426">_xlfn.XLOOKUP(A426,'Video Database'!L:L,'Video Database'!G:G,"")</f>
        <v>Nutricost Creatine Monohydrate</v>
      </c>
      <c r="E426" s="100">
        <f t="array" ref="E426">_xlfn.XLOOKUP(A426,'Video Database'!L:L,'Video Database'!H:H,"")</f>
        <v>0.11</v>
      </c>
      <c r="F426" s="101">
        <v>0.0</v>
      </c>
      <c r="G426" s="87">
        <v>0.0</v>
      </c>
      <c r="H426" s="114">
        <f t="array" ref="H426">_xlfn.XLOOKUP(A426,'Video Database'!L:L,'Video Database'!A:A,"")</f>
        <v>46190</v>
      </c>
      <c r="I426" s="103">
        <v>46201.0</v>
      </c>
      <c r="J426" s="104">
        <v>0.0</v>
      </c>
      <c r="K426" s="105"/>
      <c r="L426" s="105" t="str">
        <f t="shared" si="1"/>
        <v/>
      </c>
      <c r="O426" s="106" t="str">
        <f t="shared" si="2"/>
        <v>#N/A</v>
      </c>
      <c r="P426" s="106" t="str">
        <f t="shared" si="3"/>
        <v>#N/A</v>
      </c>
      <c r="Q426" s="84" t="str">
        <f t="shared" si="4"/>
        <v>#N/A</v>
      </c>
      <c r="R426" s="84" t="str">
        <f t="shared" si="5"/>
        <v>#N/A</v>
      </c>
      <c r="S426" s="107">
        <f t="shared" si="6"/>
        <v>-0.11</v>
      </c>
      <c r="T426" s="108">
        <f t="shared" si="7"/>
        <v>-1</v>
      </c>
      <c r="U426" s="106" t="str">
        <f t="shared" si="8"/>
        <v>#N/A</v>
      </c>
      <c r="V426" s="84" t="str">
        <f t="shared" si="9"/>
        <v/>
      </c>
      <c r="W426" s="109" t="str">
        <f t="shared" si="10"/>
        <v/>
      </c>
      <c r="X426" s="109" t="str">
        <f t="shared" si="11"/>
        <v/>
      </c>
      <c r="Y426" s="110" t="str">
        <f t="array" ref="Y426">_xlfn.XLOOKUP(A426,'Video Database'!L:L,'Video Database'!M:M,"")</f>
        <v>Product Overlay</v>
      </c>
    </row>
    <row r="427" ht="22.5" customHeight="1">
      <c r="A427" s="113">
        <f t="shared" si="12"/>
        <v>426</v>
      </c>
      <c r="B427" s="98" t="str">
        <f t="array" ref="B427">_xlfn.XLOOKUP(A427,'Video Database'!L:L,'Video Database'!D:D,"")</f>
        <v>Erin</v>
      </c>
      <c r="C427" s="98" t="str">
        <f t="array" ref="C427">_xlfn.XLOOKUP(A427,'Video Database'!L:L,'Video Database'!E:E,"")</f>
        <v>Account 1</v>
      </c>
      <c r="D427" s="99" t="str">
        <f t="array" ref="D427">_xlfn.XLOOKUP(A427,'Video Database'!L:L,'Video Database'!G:G,"")</f>
        <v>Peta Jane Self-Tan Starter Kit Medium</v>
      </c>
      <c r="E427" s="100">
        <f t="array" ref="E427">_xlfn.XLOOKUP(A427,'Video Database'!L:L,'Video Database'!H:H,"")</f>
        <v>1.1</v>
      </c>
      <c r="F427" s="101">
        <v>0.0</v>
      </c>
      <c r="G427" s="87">
        <v>0.0</v>
      </c>
      <c r="H427" s="114">
        <f t="array" ref="H427">_xlfn.XLOOKUP(A427,'Video Database'!L:L,'Video Database'!A:A,"")</f>
        <v>46190</v>
      </c>
      <c r="I427" s="103">
        <v>46201.0</v>
      </c>
      <c r="J427" s="104">
        <v>0.0</v>
      </c>
      <c r="K427" s="105"/>
      <c r="L427" s="105" t="str">
        <f t="shared" si="1"/>
        <v/>
      </c>
      <c r="O427" s="106" t="str">
        <f t="shared" si="2"/>
        <v>#N/A</v>
      </c>
      <c r="P427" s="106" t="str">
        <f t="shared" si="3"/>
        <v>#N/A</v>
      </c>
      <c r="Q427" s="84" t="str">
        <f t="shared" si="4"/>
        <v>#N/A</v>
      </c>
      <c r="R427" s="84" t="str">
        <f t="shared" si="5"/>
        <v>#N/A</v>
      </c>
      <c r="S427" s="107">
        <f t="shared" si="6"/>
        <v>-1.1</v>
      </c>
      <c r="T427" s="108">
        <f t="shared" si="7"/>
        <v>-1</v>
      </c>
      <c r="U427" s="106" t="str">
        <f t="shared" si="8"/>
        <v>#N/A</v>
      </c>
      <c r="V427" s="84" t="str">
        <f t="shared" si="9"/>
        <v/>
      </c>
      <c r="W427" s="109" t="str">
        <f t="shared" si="10"/>
        <v/>
      </c>
      <c r="X427" s="109" t="str">
        <f t="shared" si="11"/>
        <v/>
      </c>
      <c r="Y427" s="110" t="str">
        <f t="array" ref="Y427">_xlfn.XLOOKUP(A427,'Video Database'!L:L,'Video Database'!M:M,"")</f>
        <v>Bottom of Funnel</v>
      </c>
    </row>
    <row r="428" ht="22.5" customHeight="1">
      <c r="A428" s="113">
        <f t="shared" si="12"/>
        <v>427</v>
      </c>
      <c r="B428" s="98" t="str">
        <f t="array" ref="B428">_xlfn.XLOOKUP(A428,'Video Database'!L:L,'Video Database'!D:D,"")</f>
        <v>Blakely</v>
      </c>
      <c r="C428" s="98" t="str">
        <f t="array" ref="C428">_xlfn.XLOOKUP(A428,'Video Database'!L:L,'Video Database'!E:E,"")</f>
        <v>Account 1</v>
      </c>
      <c r="D428" s="99" t="str">
        <f t="array" ref="D428">_xlfn.XLOOKUP(A428,'Video Database'!L:L,'Video Database'!G:G,"")</f>
        <v>COSRX US The Copper Peptide Serum</v>
      </c>
      <c r="E428" s="100">
        <f t="array" ref="E428">_xlfn.XLOOKUP(A428,'Video Database'!L:L,'Video Database'!H:H,"")</f>
        <v>0.11</v>
      </c>
      <c r="F428" s="101">
        <v>0.0</v>
      </c>
      <c r="G428" s="87">
        <v>0.0</v>
      </c>
      <c r="H428" s="114">
        <f t="array" ref="H428">_xlfn.XLOOKUP(A428,'Video Database'!L:L,'Video Database'!A:A,"")</f>
        <v>46190</v>
      </c>
      <c r="I428" s="103">
        <v>46201.0</v>
      </c>
      <c r="J428" s="104">
        <v>0.0</v>
      </c>
      <c r="K428" s="105"/>
      <c r="L428" s="105" t="str">
        <f t="shared" si="1"/>
        <v/>
      </c>
      <c r="O428" s="106" t="str">
        <f t="shared" si="2"/>
        <v>#N/A</v>
      </c>
      <c r="P428" s="106" t="str">
        <f t="shared" si="3"/>
        <v>#N/A</v>
      </c>
      <c r="Q428" s="84" t="str">
        <f t="shared" si="4"/>
        <v>#N/A</v>
      </c>
      <c r="R428" s="84" t="str">
        <f t="shared" si="5"/>
        <v>#N/A</v>
      </c>
      <c r="S428" s="107">
        <f t="shared" si="6"/>
        <v>-0.11</v>
      </c>
      <c r="T428" s="108">
        <f t="shared" si="7"/>
        <v>-1</v>
      </c>
      <c r="U428" s="106" t="str">
        <f t="shared" si="8"/>
        <v>#N/A</v>
      </c>
      <c r="V428" s="84" t="str">
        <f t="shared" si="9"/>
        <v/>
      </c>
      <c r="W428" s="109" t="str">
        <f t="shared" si="10"/>
        <v/>
      </c>
      <c r="X428" s="109" t="str">
        <f t="shared" si="11"/>
        <v/>
      </c>
      <c r="Y428" s="110" t="str">
        <f t="array" ref="Y428">_xlfn.XLOOKUP(A428,'Video Database'!L:L,'Video Database'!M:M,"")</f>
        <v>Product Overlay</v>
      </c>
    </row>
    <row r="429" ht="22.5" customHeight="1">
      <c r="A429" s="113">
        <f t="shared" si="12"/>
        <v>428</v>
      </c>
      <c r="B429" s="98" t="str">
        <f t="array" ref="B429">_xlfn.XLOOKUP(A429,'Video Database'!L:L,'Video Database'!D:D,"")</f>
        <v>Blakely</v>
      </c>
      <c r="C429" s="98" t="str">
        <f t="array" ref="C429">_xlfn.XLOOKUP(A429,'Video Database'!L:L,'Video Database'!E:E,"")</f>
        <v>Account 1</v>
      </c>
      <c r="D429" s="99" t="str">
        <f t="array" ref="D429">_xlfn.XLOOKUP(A429,'Video Database'!L:L,'Video Database'!G:G,"")</f>
        <v>Shirts - Can't Wait to Gamble Today</v>
      </c>
      <c r="E429" s="100">
        <f t="array" ref="E429">_xlfn.XLOOKUP(A429,'Video Database'!L:L,'Video Database'!H:H,"")</f>
        <v>0.11</v>
      </c>
      <c r="F429" s="101">
        <v>0.0</v>
      </c>
      <c r="G429" s="87">
        <v>0.0</v>
      </c>
      <c r="H429" s="114">
        <f t="array" ref="H429">_xlfn.XLOOKUP(A429,'Video Database'!L:L,'Video Database'!A:A,"")</f>
        <v>46190</v>
      </c>
      <c r="I429" s="103">
        <v>46201.0</v>
      </c>
      <c r="J429" s="104">
        <v>0.0</v>
      </c>
      <c r="K429" s="105"/>
      <c r="L429" s="105" t="str">
        <f t="shared" si="1"/>
        <v/>
      </c>
      <c r="O429" s="106" t="str">
        <f t="shared" si="2"/>
        <v>#N/A</v>
      </c>
      <c r="P429" s="106" t="str">
        <f t="shared" si="3"/>
        <v>#N/A</v>
      </c>
      <c r="Q429" s="84" t="str">
        <f t="shared" si="4"/>
        <v>#N/A</v>
      </c>
      <c r="R429" s="84" t="str">
        <f t="shared" si="5"/>
        <v>#N/A</v>
      </c>
      <c r="S429" s="107">
        <f t="shared" si="6"/>
        <v>-0.11</v>
      </c>
      <c r="T429" s="108">
        <f t="shared" si="7"/>
        <v>-1</v>
      </c>
      <c r="U429" s="106" t="str">
        <f t="shared" si="8"/>
        <v>#N/A</v>
      </c>
      <c r="V429" s="84" t="str">
        <f t="shared" si="9"/>
        <v/>
      </c>
      <c r="W429" s="109" t="str">
        <f t="shared" si="10"/>
        <v/>
      </c>
      <c r="X429" s="109" t="str">
        <f t="shared" si="11"/>
        <v/>
      </c>
      <c r="Y429" s="110" t="str">
        <f t="array" ref="Y429">_xlfn.XLOOKUP(A429,'Video Database'!L:L,'Video Database'!M:M,"")</f>
        <v>Product Overlay</v>
      </c>
    </row>
    <row r="430" ht="22.5" customHeight="1">
      <c r="A430" s="113">
        <f t="shared" si="12"/>
        <v>429</v>
      </c>
      <c r="B430" s="98" t="str">
        <f t="array" ref="B430">_xlfn.XLOOKUP(A430,'Video Database'!L:L,'Video Database'!D:D,"")</f>
        <v>Blakely</v>
      </c>
      <c r="C430" s="98" t="str">
        <f t="array" ref="C430">_xlfn.XLOOKUP(A430,'Video Database'!L:L,'Video Database'!E:E,"")</f>
        <v>Account 1</v>
      </c>
      <c r="D430" s="99" t="str">
        <f t="array" ref="D430">_xlfn.XLOOKUP(A430,'Video Database'!L:L,'Video Database'!G:G,"")</f>
        <v>Nello Supercalm Drink Mix</v>
      </c>
      <c r="E430" s="100">
        <f t="array" ref="E430">_xlfn.XLOOKUP(A430,'Video Database'!L:L,'Video Database'!H:H,"")</f>
        <v>0.11</v>
      </c>
      <c r="F430" s="101">
        <v>0.0</v>
      </c>
      <c r="G430" s="87">
        <v>0.0</v>
      </c>
      <c r="H430" s="114">
        <f t="array" ref="H430">_xlfn.XLOOKUP(A430,'Video Database'!L:L,'Video Database'!A:A,"")</f>
        <v>46190</v>
      </c>
      <c r="I430" s="103">
        <v>46201.0</v>
      </c>
      <c r="J430" s="104">
        <v>0.0</v>
      </c>
      <c r="K430" s="105"/>
      <c r="L430" s="105" t="str">
        <f t="shared" si="1"/>
        <v/>
      </c>
      <c r="O430" s="106" t="str">
        <f t="shared" si="2"/>
        <v>#N/A</v>
      </c>
      <c r="P430" s="106" t="str">
        <f t="shared" si="3"/>
        <v>#N/A</v>
      </c>
      <c r="Q430" s="84" t="str">
        <f t="shared" si="4"/>
        <v>#N/A</v>
      </c>
      <c r="R430" s="84" t="str">
        <f t="shared" si="5"/>
        <v>#N/A</v>
      </c>
      <c r="S430" s="107">
        <f t="shared" si="6"/>
        <v>-0.11</v>
      </c>
      <c r="T430" s="108">
        <f t="shared" si="7"/>
        <v>-1</v>
      </c>
      <c r="U430" s="106" t="str">
        <f t="shared" si="8"/>
        <v>#N/A</v>
      </c>
      <c r="V430" s="84" t="str">
        <f t="shared" si="9"/>
        <v/>
      </c>
      <c r="W430" s="109" t="str">
        <f t="shared" si="10"/>
        <v/>
      </c>
      <c r="X430" s="109" t="str">
        <f t="shared" si="11"/>
        <v/>
      </c>
      <c r="Y430" s="110" t="str">
        <f t="array" ref="Y430">_xlfn.XLOOKUP(A430,'Video Database'!L:L,'Video Database'!M:M,"")</f>
        <v>Product Overlay</v>
      </c>
    </row>
    <row r="431" ht="22.5" customHeight="1">
      <c r="A431" s="113">
        <f t="shared" si="12"/>
        <v>430</v>
      </c>
      <c r="B431" s="98" t="str">
        <f t="array" ref="B431">_xlfn.XLOOKUP(A431,'Video Database'!L:L,'Video Database'!D:D,"")</f>
        <v>Blakely</v>
      </c>
      <c r="C431" s="98" t="str">
        <f t="array" ref="C431">_xlfn.XLOOKUP(A431,'Video Database'!L:L,'Video Database'!E:E,"")</f>
        <v>Account 1</v>
      </c>
      <c r="D431" s="99" t="str">
        <f t="array" ref="D431">_xlfn.XLOOKUP(A431,'Video Database'!L:L,'Video Database'!G:G,"")</f>
        <v>Mushroom Coffee</v>
      </c>
      <c r="E431" s="100">
        <f t="array" ref="E431">_xlfn.XLOOKUP(A431,'Video Database'!L:L,'Video Database'!H:H,"")</f>
        <v>0.11</v>
      </c>
      <c r="F431" s="101">
        <v>0.0</v>
      </c>
      <c r="G431" s="87">
        <v>0.0</v>
      </c>
      <c r="H431" s="114">
        <f t="array" ref="H431">_xlfn.XLOOKUP(A431,'Video Database'!L:L,'Video Database'!A:A,"")</f>
        <v>46190</v>
      </c>
      <c r="I431" s="103">
        <v>46201.0</v>
      </c>
      <c r="J431" s="104">
        <v>0.0</v>
      </c>
      <c r="K431" s="105"/>
      <c r="L431" s="105" t="str">
        <f t="shared" si="1"/>
        <v/>
      </c>
      <c r="O431" s="106" t="str">
        <f t="shared" si="2"/>
        <v>#N/A</v>
      </c>
      <c r="P431" s="106" t="str">
        <f t="shared" si="3"/>
        <v>#N/A</v>
      </c>
      <c r="Q431" s="84" t="str">
        <f t="shared" si="4"/>
        <v>#N/A</v>
      </c>
      <c r="R431" s="84" t="str">
        <f t="shared" si="5"/>
        <v>#N/A</v>
      </c>
      <c r="S431" s="107">
        <f t="shared" si="6"/>
        <v>-0.11</v>
      </c>
      <c r="T431" s="108">
        <f t="shared" si="7"/>
        <v>-1</v>
      </c>
      <c r="U431" s="106" t="str">
        <f t="shared" si="8"/>
        <v>#N/A</v>
      </c>
      <c r="V431" s="84" t="str">
        <f t="shared" si="9"/>
        <v/>
      </c>
      <c r="W431" s="109" t="str">
        <f t="shared" si="10"/>
        <v/>
      </c>
      <c r="X431" s="109" t="str">
        <f t="shared" si="11"/>
        <v/>
      </c>
      <c r="Y431" s="110" t="str">
        <f t="array" ref="Y431">_xlfn.XLOOKUP(A431,'Video Database'!L:L,'Video Database'!M:M,"")</f>
        <v>Product Overlay</v>
      </c>
    </row>
    <row r="432" ht="22.5" customHeight="1">
      <c r="A432" s="113">
        <f t="shared" si="12"/>
        <v>431</v>
      </c>
      <c r="B432" s="98" t="str">
        <f t="array" ref="B432">_xlfn.XLOOKUP(A432,'Video Database'!L:L,'Video Database'!D:D,"")</f>
        <v>Blakely</v>
      </c>
      <c r="C432" s="98" t="str">
        <f t="array" ref="C432">_xlfn.XLOOKUP(A432,'Video Database'!L:L,'Video Database'!E:E,"")</f>
        <v>Account 1</v>
      </c>
      <c r="D432" s="99" t="str">
        <f t="array" ref="D432">_xlfn.XLOOKUP(A432,'Video Database'!L:L,'Video Database'!G:G,"")</f>
        <v>Beast Bites Creatine Gummies</v>
      </c>
      <c r="E432" s="100">
        <f t="array" ref="E432">_xlfn.XLOOKUP(A432,'Video Database'!L:L,'Video Database'!H:H,"")</f>
        <v>0.11</v>
      </c>
      <c r="F432" s="101">
        <v>0.0</v>
      </c>
      <c r="G432" s="87">
        <v>0.0</v>
      </c>
      <c r="H432" s="114">
        <f t="array" ref="H432">_xlfn.XLOOKUP(A432,'Video Database'!L:L,'Video Database'!A:A,"")</f>
        <v>46190</v>
      </c>
      <c r="I432" s="103">
        <v>46201.0</v>
      </c>
      <c r="J432" s="104">
        <v>0.0</v>
      </c>
      <c r="K432" s="105"/>
      <c r="L432" s="105" t="str">
        <f t="shared" si="1"/>
        <v/>
      </c>
      <c r="O432" s="106" t="str">
        <f t="shared" si="2"/>
        <v>#N/A</v>
      </c>
      <c r="P432" s="106" t="str">
        <f t="shared" si="3"/>
        <v>#N/A</v>
      </c>
      <c r="Q432" s="84" t="str">
        <f t="shared" si="4"/>
        <v>#N/A</v>
      </c>
      <c r="R432" s="84" t="str">
        <f t="shared" si="5"/>
        <v>#N/A</v>
      </c>
      <c r="S432" s="107">
        <f t="shared" si="6"/>
        <v>-0.11</v>
      </c>
      <c r="T432" s="108">
        <f t="shared" si="7"/>
        <v>-1</v>
      </c>
      <c r="U432" s="106" t="str">
        <f t="shared" si="8"/>
        <v>#N/A</v>
      </c>
      <c r="V432" s="84" t="str">
        <f t="shared" si="9"/>
        <v/>
      </c>
      <c r="W432" s="109" t="str">
        <f t="shared" si="10"/>
        <v/>
      </c>
      <c r="X432" s="109" t="str">
        <f t="shared" si="11"/>
        <v/>
      </c>
      <c r="Y432" s="110" t="str">
        <f t="array" ref="Y432">_xlfn.XLOOKUP(A432,'Video Database'!L:L,'Video Database'!M:M,"")</f>
        <v>Product Overlay</v>
      </c>
    </row>
    <row r="433" ht="22.5" customHeight="1">
      <c r="A433" s="113">
        <f t="shared" si="12"/>
        <v>432</v>
      </c>
      <c r="B433" s="98" t="str">
        <f t="array" ref="B433">_xlfn.XLOOKUP(A433,'Video Database'!L:L,'Video Database'!D:D,"")</f>
        <v>Blakely</v>
      </c>
      <c r="C433" s="98" t="str">
        <f t="array" ref="C433">_xlfn.XLOOKUP(A433,'Video Database'!L:L,'Video Database'!E:E,"")</f>
        <v>Account 1</v>
      </c>
      <c r="D433" s="99" t="str">
        <f t="array" ref="D433">_xlfn.XLOOKUP(A433,'Video Database'!L:L,'Video Database'!G:G,"")</f>
        <v>Goli Women's Complete Multi Gummy</v>
      </c>
      <c r="E433" s="100">
        <f t="array" ref="E433">_xlfn.XLOOKUP(A433,'Video Database'!L:L,'Video Database'!H:H,"")</f>
        <v>0.11</v>
      </c>
      <c r="F433" s="101">
        <v>0.0</v>
      </c>
      <c r="G433" s="87">
        <v>0.0</v>
      </c>
      <c r="H433" s="114">
        <f t="array" ref="H433">_xlfn.XLOOKUP(A433,'Video Database'!L:L,'Video Database'!A:A,"")</f>
        <v>46190</v>
      </c>
      <c r="I433" s="103">
        <v>46201.0</v>
      </c>
      <c r="J433" s="104">
        <v>0.0</v>
      </c>
      <c r="K433" s="105"/>
      <c r="L433" s="105" t="str">
        <f t="shared" si="1"/>
        <v/>
      </c>
      <c r="O433" s="106" t="str">
        <f t="shared" si="2"/>
        <v>#N/A</v>
      </c>
      <c r="P433" s="106" t="str">
        <f t="shared" si="3"/>
        <v>#N/A</v>
      </c>
      <c r="Q433" s="84" t="str">
        <f t="shared" si="4"/>
        <v>#N/A</v>
      </c>
      <c r="R433" s="84" t="str">
        <f t="shared" si="5"/>
        <v>#N/A</v>
      </c>
      <c r="S433" s="107">
        <f t="shared" si="6"/>
        <v>-0.11</v>
      </c>
      <c r="T433" s="108">
        <f t="shared" si="7"/>
        <v>-1</v>
      </c>
      <c r="U433" s="106" t="str">
        <f t="shared" si="8"/>
        <v>#N/A</v>
      </c>
      <c r="V433" s="84" t="str">
        <f t="shared" si="9"/>
        <v/>
      </c>
      <c r="W433" s="109" t="str">
        <f t="shared" si="10"/>
        <v/>
      </c>
      <c r="X433" s="109" t="str">
        <f t="shared" si="11"/>
        <v/>
      </c>
      <c r="Y433" s="110" t="str">
        <f t="array" ref="Y433">_xlfn.XLOOKUP(A433,'Video Database'!L:L,'Video Database'!M:M,"")</f>
        <v>Product Overlay</v>
      </c>
    </row>
    <row r="434" ht="22.5" customHeight="1">
      <c r="A434" s="113">
        <f t="shared" si="12"/>
        <v>433</v>
      </c>
      <c r="B434" s="98" t="str">
        <f t="array" ref="B434">_xlfn.XLOOKUP(A434,'Video Database'!L:L,'Video Database'!D:D,"")</f>
        <v>Blakely</v>
      </c>
      <c r="C434" s="98" t="str">
        <f t="array" ref="C434">_xlfn.XLOOKUP(A434,'Video Database'!L:L,'Video Database'!E:E,"")</f>
        <v>Account 1</v>
      </c>
      <c r="D434" s="99" t="str">
        <f t="array" ref="D434">_xlfn.XLOOKUP(A434,'Video Database'!L:L,'Video Database'!G:G,"")</f>
        <v>BetterAlt Shilajit Honey Sticks</v>
      </c>
      <c r="E434" s="100">
        <f t="array" ref="E434">_xlfn.XLOOKUP(A434,'Video Database'!L:L,'Video Database'!H:H,"")</f>
        <v>0.11</v>
      </c>
      <c r="F434" s="101">
        <v>0.0</v>
      </c>
      <c r="G434" s="87">
        <v>0.0</v>
      </c>
      <c r="H434" s="114">
        <f t="array" ref="H434">_xlfn.XLOOKUP(A434,'Video Database'!L:L,'Video Database'!A:A,"")</f>
        <v>46190</v>
      </c>
      <c r="I434" s="103">
        <v>46201.0</v>
      </c>
      <c r="J434" s="104">
        <v>0.0</v>
      </c>
      <c r="K434" s="105"/>
      <c r="L434" s="105" t="str">
        <f t="shared" si="1"/>
        <v/>
      </c>
      <c r="O434" s="106" t="str">
        <f t="shared" si="2"/>
        <v>#N/A</v>
      </c>
      <c r="P434" s="106" t="str">
        <f t="shared" si="3"/>
        <v>#N/A</v>
      </c>
      <c r="Q434" s="84" t="str">
        <f t="shared" si="4"/>
        <v>#N/A</v>
      </c>
      <c r="R434" s="84" t="str">
        <f t="shared" si="5"/>
        <v>#N/A</v>
      </c>
      <c r="S434" s="107">
        <f t="shared" si="6"/>
        <v>-0.11</v>
      </c>
      <c r="T434" s="108">
        <f t="shared" si="7"/>
        <v>-1</v>
      </c>
      <c r="U434" s="106" t="str">
        <f t="shared" si="8"/>
        <v>#N/A</v>
      </c>
      <c r="V434" s="84" t="str">
        <f t="shared" si="9"/>
        <v/>
      </c>
      <c r="W434" s="109" t="str">
        <f t="shared" si="10"/>
        <v/>
      </c>
      <c r="X434" s="109" t="str">
        <f t="shared" si="11"/>
        <v/>
      </c>
      <c r="Y434" s="110" t="str">
        <f t="array" ref="Y434">_xlfn.XLOOKUP(A434,'Video Database'!L:L,'Video Database'!M:M,"")</f>
        <v>Product Overlay</v>
      </c>
    </row>
    <row r="435" ht="22.5" customHeight="1">
      <c r="A435" s="113">
        <f t="shared" si="12"/>
        <v>434</v>
      </c>
      <c r="B435" s="98" t="str">
        <f t="array" ref="B435">_xlfn.XLOOKUP(A435,'Video Database'!L:L,'Video Database'!D:D,"")</f>
        <v>Erin</v>
      </c>
      <c r="C435" s="98" t="str">
        <f t="array" ref="C435">_xlfn.XLOOKUP(A435,'Video Database'!L:L,'Video Database'!E:E,"")</f>
        <v>Account 2</v>
      </c>
      <c r="D435" s="99" t="str">
        <f t="array" ref="D435">_xlfn.XLOOKUP(A435,'Video Database'!L:L,'Video Database'!G:G,"")</f>
        <v>Peta Jane Self-Tan Starter Kit Medium</v>
      </c>
      <c r="E435" s="100">
        <f t="array" ref="E435">_xlfn.XLOOKUP(A435,'Video Database'!L:L,'Video Database'!H:H,"")</f>
        <v>1.1</v>
      </c>
      <c r="F435" s="101">
        <v>0.0</v>
      </c>
      <c r="G435" s="87">
        <v>0.0</v>
      </c>
      <c r="H435" s="114">
        <f t="array" ref="H435">_xlfn.XLOOKUP(A435,'Video Database'!L:L,'Video Database'!A:A,"")</f>
        <v>46190</v>
      </c>
      <c r="I435" s="103">
        <v>46201.0</v>
      </c>
      <c r="J435" s="104">
        <v>0.0</v>
      </c>
      <c r="K435" s="105"/>
      <c r="L435" s="105" t="str">
        <f t="shared" si="1"/>
        <v/>
      </c>
      <c r="O435" s="106" t="str">
        <f t="shared" si="2"/>
        <v>#N/A</v>
      </c>
      <c r="P435" s="106" t="str">
        <f t="shared" si="3"/>
        <v>#N/A</v>
      </c>
      <c r="Q435" s="84" t="str">
        <f t="shared" si="4"/>
        <v>#N/A</v>
      </c>
      <c r="R435" s="84" t="str">
        <f t="shared" si="5"/>
        <v>#N/A</v>
      </c>
      <c r="S435" s="107">
        <f t="shared" si="6"/>
        <v>-1.1</v>
      </c>
      <c r="T435" s="108">
        <f t="shared" si="7"/>
        <v>-1</v>
      </c>
      <c r="U435" s="106" t="str">
        <f t="shared" si="8"/>
        <v>#N/A</v>
      </c>
      <c r="V435" s="84" t="str">
        <f t="shared" si="9"/>
        <v/>
      </c>
      <c r="W435" s="109" t="str">
        <f t="shared" si="10"/>
        <v/>
      </c>
      <c r="X435" s="109" t="str">
        <f t="shared" si="11"/>
        <v/>
      </c>
      <c r="Y435" s="110" t="str">
        <f t="array" ref="Y435">_xlfn.XLOOKUP(A435,'Video Database'!L:L,'Video Database'!M:M,"")</f>
        <v>Bottom of Funnel</v>
      </c>
    </row>
    <row r="436" ht="22.5" customHeight="1">
      <c r="A436" s="113">
        <f t="shared" si="12"/>
        <v>435</v>
      </c>
      <c r="B436" s="98" t="str">
        <f t="array" ref="B436">_xlfn.XLOOKUP(A436,'Video Database'!L:L,'Video Database'!D:D,"")</f>
        <v>Erin</v>
      </c>
      <c r="C436" s="98" t="str">
        <f t="array" ref="C436">_xlfn.XLOOKUP(A436,'Video Database'!L:L,'Video Database'!E:E,"")</f>
        <v>Account 2</v>
      </c>
      <c r="D436" s="99" t="str">
        <f t="array" ref="D436">_xlfn.XLOOKUP(A436,'Video Database'!L:L,'Video Database'!G:G,"")</f>
        <v>Peta Jane Self-Tan Starter Kit Medium</v>
      </c>
      <c r="E436" s="100">
        <f t="array" ref="E436">_xlfn.XLOOKUP(A436,'Video Database'!L:L,'Video Database'!H:H,"")</f>
        <v>1.1</v>
      </c>
      <c r="F436" s="101">
        <v>0.0</v>
      </c>
      <c r="G436" s="87">
        <v>0.0</v>
      </c>
      <c r="H436" s="114">
        <f t="array" ref="H436">_xlfn.XLOOKUP(A436,'Video Database'!L:L,'Video Database'!A:A,"")</f>
        <v>46190</v>
      </c>
      <c r="I436" s="103">
        <v>46201.0</v>
      </c>
      <c r="J436" s="104">
        <v>0.0</v>
      </c>
      <c r="K436" s="105"/>
      <c r="L436" s="105" t="str">
        <f t="shared" si="1"/>
        <v/>
      </c>
      <c r="O436" s="106" t="str">
        <f t="shared" si="2"/>
        <v>#N/A</v>
      </c>
      <c r="P436" s="106" t="str">
        <f t="shared" si="3"/>
        <v>#N/A</v>
      </c>
      <c r="Q436" s="84" t="str">
        <f t="shared" si="4"/>
        <v>#N/A</v>
      </c>
      <c r="R436" s="84" t="str">
        <f t="shared" si="5"/>
        <v>#N/A</v>
      </c>
      <c r="S436" s="107">
        <f t="shared" si="6"/>
        <v>-1.1</v>
      </c>
      <c r="T436" s="108">
        <f t="shared" si="7"/>
        <v>-1</v>
      </c>
      <c r="U436" s="106" t="str">
        <f t="shared" si="8"/>
        <v>#N/A</v>
      </c>
      <c r="V436" s="84" t="str">
        <f t="shared" si="9"/>
        <v/>
      </c>
      <c r="W436" s="109" t="str">
        <f t="shared" si="10"/>
        <v/>
      </c>
      <c r="X436" s="109" t="str">
        <f t="shared" si="11"/>
        <v/>
      </c>
      <c r="Y436" s="110" t="str">
        <f t="array" ref="Y436">_xlfn.XLOOKUP(A436,'Video Database'!L:L,'Video Database'!M:M,"")</f>
        <v>Bottom of Funnel</v>
      </c>
    </row>
    <row r="437" ht="22.5" customHeight="1">
      <c r="A437" s="113">
        <f t="shared" si="12"/>
        <v>436</v>
      </c>
      <c r="B437" s="98" t="str">
        <f t="array" ref="B437">_xlfn.XLOOKUP(A437,'Video Database'!L:L,'Video Database'!D:D,"")</f>
        <v>Blakely</v>
      </c>
      <c r="C437" s="98" t="str">
        <f t="array" ref="C437">_xlfn.XLOOKUP(A437,'Video Database'!L:L,'Video Database'!E:E,"")</f>
        <v>Account 2</v>
      </c>
      <c r="D437" s="99" t="str">
        <f t="array" ref="D437">_xlfn.XLOOKUP(A437,'Video Database'!L:L,'Video Database'!G:G,"")</f>
        <v>Nello Supercalm Drink Mix</v>
      </c>
      <c r="E437" s="100">
        <f t="array" ref="E437">_xlfn.XLOOKUP(A437,'Video Database'!L:L,'Video Database'!H:H,"")</f>
        <v>0.11</v>
      </c>
      <c r="F437" s="101">
        <v>0.0</v>
      </c>
      <c r="G437" s="87">
        <v>0.0</v>
      </c>
      <c r="H437" s="114">
        <f t="array" ref="H437">_xlfn.XLOOKUP(A437,'Video Database'!L:L,'Video Database'!A:A,"")</f>
        <v>46190</v>
      </c>
      <c r="I437" s="103">
        <v>46201.0</v>
      </c>
      <c r="J437" s="104">
        <v>0.0</v>
      </c>
      <c r="K437" s="105"/>
      <c r="L437" s="105" t="str">
        <f t="shared" si="1"/>
        <v/>
      </c>
      <c r="O437" s="106" t="str">
        <f t="shared" si="2"/>
        <v>#N/A</v>
      </c>
      <c r="P437" s="106" t="str">
        <f t="shared" si="3"/>
        <v>#N/A</v>
      </c>
      <c r="Q437" s="84" t="str">
        <f t="shared" si="4"/>
        <v>#N/A</v>
      </c>
      <c r="R437" s="84" t="str">
        <f t="shared" si="5"/>
        <v>#N/A</v>
      </c>
      <c r="S437" s="107">
        <f t="shared" si="6"/>
        <v>-0.11</v>
      </c>
      <c r="T437" s="108">
        <f t="shared" si="7"/>
        <v>-1</v>
      </c>
      <c r="U437" s="106" t="str">
        <f t="shared" si="8"/>
        <v>#N/A</v>
      </c>
      <c r="V437" s="84" t="str">
        <f t="shared" si="9"/>
        <v/>
      </c>
      <c r="W437" s="109" t="str">
        <f t="shared" si="10"/>
        <v/>
      </c>
      <c r="X437" s="109" t="str">
        <f t="shared" si="11"/>
        <v/>
      </c>
      <c r="Y437" s="110" t="str">
        <f t="array" ref="Y437">_xlfn.XLOOKUP(A437,'Video Database'!L:L,'Video Database'!M:M,"")</f>
        <v>Product Overlay</v>
      </c>
    </row>
    <row r="438" ht="22.5" customHeight="1">
      <c r="A438" s="113">
        <f t="shared" si="12"/>
        <v>437</v>
      </c>
      <c r="B438" s="98" t="str">
        <f t="array" ref="B438">_xlfn.XLOOKUP(A438,'Video Database'!L:L,'Video Database'!D:D,"")</f>
        <v>Blakely</v>
      </c>
      <c r="C438" s="98" t="str">
        <f t="array" ref="C438">_xlfn.XLOOKUP(A438,'Video Database'!L:L,'Video Database'!E:E,"")</f>
        <v>Account 2</v>
      </c>
      <c r="D438" s="99" t="str">
        <f t="array" ref="D438">_xlfn.XLOOKUP(A438,'Video Database'!L:L,'Video Database'!G:G,"")</f>
        <v>COSRX US The Copper Peptide Serum</v>
      </c>
      <c r="E438" s="100">
        <f t="array" ref="E438">_xlfn.XLOOKUP(A438,'Video Database'!L:L,'Video Database'!H:H,"")</f>
        <v>0.11</v>
      </c>
      <c r="F438" s="101">
        <v>0.0</v>
      </c>
      <c r="G438" s="87">
        <v>0.0</v>
      </c>
      <c r="H438" s="114">
        <f t="array" ref="H438">_xlfn.XLOOKUP(A438,'Video Database'!L:L,'Video Database'!A:A,"")</f>
        <v>46190</v>
      </c>
      <c r="I438" s="103">
        <v>46201.0</v>
      </c>
      <c r="J438" s="104">
        <v>0.0</v>
      </c>
      <c r="K438" s="105"/>
      <c r="L438" s="105" t="str">
        <f t="shared" si="1"/>
        <v/>
      </c>
      <c r="O438" s="106" t="str">
        <f t="shared" si="2"/>
        <v>#N/A</v>
      </c>
      <c r="P438" s="106" t="str">
        <f t="shared" si="3"/>
        <v>#N/A</v>
      </c>
      <c r="Q438" s="84" t="str">
        <f t="shared" si="4"/>
        <v>#N/A</v>
      </c>
      <c r="R438" s="84" t="str">
        <f t="shared" si="5"/>
        <v>#N/A</v>
      </c>
      <c r="S438" s="107">
        <f t="shared" si="6"/>
        <v>-0.11</v>
      </c>
      <c r="T438" s="108">
        <f t="shared" si="7"/>
        <v>-1</v>
      </c>
      <c r="U438" s="106" t="str">
        <f t="shared" si="8"/>
        <v>#N/A</v>
      </c>
      <c r="V438" s="84" t="str">
        <f t="shared" si="9"/>
        <v/>
      </c>
      <c r="W438" s="109" t="str">
        <f t="shared" si="10"/>
        <v/>
      </c>
      <c r="X438" s="109" t="str">
        <f t="shared" si="11"/>
        <v/>
      </c>
      <c r="Y438" s="110" t="str">
        <f t="array" ref="Y438">_xlfn.XLOOKUP(A438,'Video Database'!L:L,'Video Database'!M:M,"")</f>
        <v>Product Overlay</v>
      </c>
    </row>
    <row r="439" ht="22.5" customHeight="1">
      <c r="A439" s="113">
        <f t="shared" si="12"/>
        <v>438</v>
      </c>
      <c r="B439" s="98" t="str">
        <f t="array" ref="B439">_xlfn.XLOOKUP(A439,'Video Database'!L:L,'Video Database'!D:D,"")</f>
        <v>Blakely</v>
      </c>
      <c r="C439" s="98" t="str">
        <f t="array" ref="C439">_xlfn.XLOOKUP(A439,'Video Database'!L:L,'Video Database'!E:E,"")</f>
        <v>Account 2</v>
      </c>
      <c r="D439" s="99" t="str">
        <f t="array" ref="D439">_xlfn.XLOOKUP(A439,'Video Database'!L:L,'Video Database'!G:G,"")</f>
        <v>Hats - A Baseball Cap</v>
      </c>
      <c r="E439" s="100">
        <f t="array" ref="E439">_xlfn.XLOOKUP(A439,'Video Database'!L:L,'Video Database'!H:H,"")</f>
        <v>0.11</v>
      </c>
      <c r="F439" s="101">
        <v>0.0</v>
      </c>
      <c r="G439" s="87">
        <v>0.0</v>
      </c>
      <c r="H439" s="114">
        <f t="array" ref="H439">_xlfn.XLOOKUP(A439,'Video Database'!L:L,'Video Database'!A:A,"")</f>
        <v>46190</v>
      </c>
      <c r="I439" s="103">
        <v>46201.0</v>
      </c>
      <c r="J439" s="104">
        <v>0.0</v>
      </c>
      <c r="K439" s="105"/>
      <c r="L439" s="105" t="str">
        <f t="shared" si="1"/>
        <v/>
      </c>
      <c r="O439" s="106" t="str">
        <f t="shared" si="2"/>
        <v>#N/A</v>
      </c>
      <c r="P439" s="106" t="str">
        <f t="shared" si="3"/>
        <v>#N/A</v>
      </c>
      <c r="Q439" s="84" t="str">
        <f t="shared" si="4"/>
        <v>#N/A</v>
      </c>
      <c r="R439" s="84" t="str">
        <f t="shared" si="5"/>
        <v>#N/A</v>
      </c>
      <c r="S439" s="107">
        <f t="shared" si="6"/>
        <v>-0.11</v>
      </c>
      <c r="T439" s="108">
        <f t="shared" si="7"/>
        <v>-1</v>
      </c>
      <c r="U439" s="106" t="str">
        <f t="shared" si="8"/>
        <v>#N/A</v>
      </c>
      <c r="V439" s="84" t="str">
        <f t="shared" si="9"/>
        <v/>
      </c>
      <c r="W439" s="109" t="str">
        <f t="shared" si="10"/>
        <v/>
      </c>
      <c r="X439" s="109" t="str">
        <f t="shared" si="11"/>
        <v/>
      </c>
      <c r="Y439" s="110" t="str">
        <f t="array" ref="Y439">_xlfn.XLOOKUP(A439,'Video Database'!L:L,'Video Database'!M:M,"")</f>
        <v>Product Overlay</v>
      </c>
    </row>
    <row r="440" ht="22.5" customHeight="1">
      <c r="A440" s="113">
        <f t="shared" si="12"/>
        <v>439</v>
      </c>
      <c r="B440" s="98" t="str">
        <f t="array" ref="B440">_xlfn.XLOOKUP(A440,'Video Database'!L:L,'Video Database'!D:D,"")</f>
        <v>Blakely</v>
      </c>
      <c r="C440" s="98" t="str">
        <f t="array" ref="C440">_xlfn.XLOOKUP(A440,'Video Database'!L:L,'Video Database'!E:E,"")</f>
        <v>Account 2</v>
      </c>
      <c r="D440" s="99" t="str">
        <f t="array" ref="D440">_xlfn.XLOOKUP(A440,'Video Database'!L:L,'Video Database'!G:G,"")</f>
        <v>Mushroom Coffee</v>
      </c>
      <c r="E440" s="100">
        <f t="array" ref="E440">_xlfn.XLOOKUP(A440,'Video Database'!L:L,'Video Database'!H:H,"")</f>
        <v>0.11</v>
      </c>
      <c r="F440" s="101">
        <v>0.0</v>
      </c>
      <c r="G440" s="87">
        <v>0.0</v>
      </c>
      <c r="H440" s="114">
        <f t="array" ref="H440">_xlfn.XLOOKUP(A440,'Video Database'!L:L,'Video Database'!A:A,"")</f>
        <v>46190</v>
      </c>
      <c r="I440" s="103">
        <v>46201.0</v>
      </c>
      <c r="J440" s="104">
        <v>0.0</v>
      </c>
      <c r="K440" s="105"/>
      <c r="L440" s="105" t="str">
        <f t="shared" si="1"/>
        <v/>
      </c>
      <c r="O440" s="106" t="str">
        <f t="shared" si="2"/>
        <v>#N/A</v>
      </c>
      <c r="P440" s="106" t="str">
        <f t="shared" si="3"/>
        <v>#N/A</v>
      </c>
      <c r="Q440" s="84" t="str">
        <f t="shared" si="4"/>
        <v>#N/A</v>
      </c>
      <c r="R440" s="84" t="str">
        <f t="shared" si="5"/>
        <v>#N/A</v>
      </c>
      <c r="S440" s="107">
        <f t="shared" si="6"/>
        <v>-0.11</v>
      </c>
      <c r="T440" s="108">
        <f t="shared" si="7"/>
        <v>-1</v>
      </c>
      <c r="U440" s="106" t="str">
        <f t="shared" si="8"/>
        <v>#N/A</v>
      </c>
      <c r="V440" s="84" t="str">
        <f t="shared" si="9"/>
        <v/>
      </c>
      <c r="W440" s="109" t="str">
        <f t="shared" si="10"/>
        <v/>
      </c>
      <c r="X440" s="109" t="str">
        <f t="shared" si="11"/>
        <v/>
      </c>
      <c r="Y440" s="110" t="str">
        <f t="array" ref="Y440">_xlfn.XLOOKUP(A440,'Video Database'!L:L,'Video Database'!M:M,"")</f>
        <v>Product Overlay</v>
      </c>
    </row>
    <row r="441" ht="22.5" customHeight="1">
      <c r="A441" s="113">
        <f t="shared" si="12"/>
        <v>440</v>
      </c>
      <c r="B441" s="98" t="str">
        <f t="array" ref="B441">_xlfn.XLOOKUP(A441,'Video Database'!L:L,'Video Database'!D:D,"")</f>
        <v>Blakely</v>
      </c>
      <c r="C441" s="98" t="str">
        <f t="array" ref="C441">_xlfn.XLOOKUP(A441,'Video Database'!L:L,'Video Database'!E:E,"")</f>
        <v>Account 2</v>
      </c>
      <c r="D441" s="99" t="str">
        <f t="array" ref="D441">_xlfn.XLOOKUP(A441,'Video Database'!L:L,'Video Database'!G:G,"")</f>
        <v>Portable Magnetic Phone Mount</v>
      </c>
      <c r="E441" s="100">
        <f t="array" ref="E441">_xlfn.XLOOKUP(A441,'Video Database'!L:L,'Video Database'!H:H,"")</f>
        <v>0.11</v>
      </c>
      <c r="F441" s="101">
        <v>0.0</v>
      </c>
      <c r="G441" s="87">
        <v>0.0</v>
      </c>
      <c r="H441" s="114">
        <f t="array" ref="H441">_xlfn.XLOOKUP(A441,'Video Database'!L:L,'Video Database'!A:A,"")</f>
        <v>46190</v>
      </c>
      <c r="I441" s="103">
        <v>46201.0</v>
      </c>
      <c r="J441" s="104">
        <v>0.0</v>
      </c>
      <c r="K441" s="105"/>
      <c r="L441" s="105" t="str">
        <f t="shared" si="1"/>
        <v/>
      </c>
      <c r="O441" s="106" t="str">
        <f t="shared" si="2"/>
        <v>#N/A</v>
      </c>
      <c r="P441" s="106" t="str">
        <f t="shared" si="3"/>
        <v>#N/A</v>
      </c>
      <c r="Q441" s="84" t="str">
        <f t="shared" si="4"/>
        <v>#N/A</v>
      </c>
      <c r="R441" s="84" t="str">
        <f t="shared" si="5"/>
        <v>#N/A</v>
      </c>
      <c r="S441" s="107">
        <f t="shared" si="6"/>
        <v>-0.11</v>
      </c>
      <c r="T441" s="108">
        <f t="shared" si="7"/>
        <v>-1</v>
      </c>
      <c r="U441" s="106" t="str">
        <f t="shared" si="8"/>
        <v>#N/A</v>
      </c>
      <c r="V441" s="84" t="str">
        <f t="shared" si="9"/>
        <v/>
      </c>
      <c r="W441" s="109" t="str">
        <f t="shared" si="10"/>
        <v/>
      </c>
      <c r="X441" s="109" t="str">
        <f t="shared" si="11"/>
        <v/>
      </c>
      <c r="Y441" s="110" t="str">
        <f t="array" ref="Y441">_xlfn.XLOOKUP(A441,'Video Database'!L:L,'Video Database'!M:M,"")</f>
        <v>Product Overlay</v>
      </c>
    </row>
    <row r="442" ht="22.5" customHeight="1">
      <c r="A442" s="113">
        <f t="shared" si="12"/>
        <v>441</v>
      </c>
      <c r="B442" s="98" t="str">
        <f t="array" ref="B442">_xlfn.XLOOKUP(A442,'Video Database'!L:L,'Video Database'!D:D,"")</f>
        <v>Blakely</v>
      </c>
      <c r="C442" s="98" t="str">
        <f t="array" ref="C442">_xlfn.XLOOKUP(A442,'Video Database'!L:L,'Video Database'!E:E,"")</f>
        <v>Account 2</v>
      </c>
      <c r="D442" s="99" t="str">
        <f t="array" ref="D442">_xlfn.XLOOKUP(A442,'Video Database'!L:L,'Video Database'!G:G,"")</f>
        <v>DR.DENT Purple Mouthwash</v>
      </c>
      <c r="E442" s="100">
        <f t="array" ref="E442">_xlfn.XLOOKUP(A442,'Video Database'!L:L,'Video Database'!H:H,"")</f>
        <v>0.11</v>
      </c>
      <c r="F442" s="101">
        <v>0.0</v>
      </c>
      <c r="G442" s="87">
        <v>0.0</v>
      </c>
      <c r="H442" s="114">
        <f t="array" ref="H442">_xlfn.XLOOKUP(A442,'Video Database'!L:L,'Video Database'!A:A,"")</f>
        <v>46190</v>
      </c>
      <c r="I442" s="103">
        <v>46201.0</v>
      </c>
      <c r="J442" s="104">
        <v>0.0</v>
      </c>
      <c r="K442" s="105"/>
      <c r="L442" s="105" t="str">
        <f t="shared" si="1"/>
        <v/>
      </c>
      <c r="O442" s="106" t="str">
        <f t="shared" si="2"/>
        <v>#N/A</v>
      </c>
      <c r="P442" s="106" t="str">
        <f t="shared" si="3"/>
        <v>#N/A</v>
      </c>
      <c r="Q442" s="84" t="str">
        <f t="shared" si="4"/>
        <v>#N/A</v>
      </c>
      <c r="R442" s="84" t="str">
        <f t="shared" si="5"/>
        <v>#N/A</v>
      </c>
      <c r="S442" s="107">
        <f t="shared" si="6"/>
        <v>-0.11</v>
      </c>
      <c r="T442" s="108">
        <f t="shared" si="7"/>
        <v>-1</v>
      </c>
      <c r="U442" s="106" t="str">
        <f t="shared" si="8"/>
        <v>#N/A</v>
      </c>
      <c r="V442" s="84" t="str">
        <f t="shared" si="9"/>
        <v/>
      </c>
      <c r="W442" s="109" t="str">
        <f t="shared" si="10"/>
        <v/>
      </c>
      <c r="X442" s="109" t="str">
        <f t="shared" si="11"/>
        <v/>
      </c>
      <c r="Y442" s="110" t="str">
        <f t="array" ref="Y442">_xlfn.XLOOKUP(A442,'Video Database'!L:L,'Video Database'!M:M,"")</f>
        <v>Product Overlay</v>
      </c>
    </row>
    <row r="443" ht="22.5" customHeight="1">
      <c r="A443" s="113">
        <f t="shared" si="12"/>
        <v>442</v>
      </c>
      <c r="B443" s="98" t="str">
        <f t="array" ref="B443">_xlfn.XLOOKUP(A443,'Video Database'!L:L,'Video Database'!D:D,"")</f>
        <v>Erin</v>
      </c>
      <c r="C443" s="98" t="str">
        <f t="array" ref="C443">_xlfn.XLOOKUP(A443,'Video Database'!L:L,'Video Database'!E:E,"")</f>
        <v>Account 2</v>
      </c>
      <c r="D443" s="99" t="str">
        <f t="array" ref="D443">_xlfn.XLOOKUP(A443,'Video Database'!L:L,'Video Database'!G:G,"")</f>
        <v>Peta Jane Self-Tan Starter Kit Medium</v>
      </c>
      <c r="E443" s="100">
        <f t="array" ref="E443">_xlfn.XLOOKUP(A443,'Video Database'!L:L,'Video Database'!H:H,"")</f>
        <v>1.1</v>
      </c>
      <c r="F443" s="101">
        <v>0.0</v>
      </c>
      <c r="G443" s="87">
        <v>0.0</v>
      </c>
      <c r="H443" s="114">
        <f t="array" ref="H443">_xlfn.XLOOKUP(A443,'Video Database'!L:L,'Video Database'!A:A,"")</f>
        <v>46190</v>
      </c>
      <c r="I443" s="103">
        <v>46201.0</v>
      </c>
      <c r="J443" s="104">
        <v>0.0</v>
      </c>
      <c r="K443" s="105"/>
      <c r="L443" s="105" t="str">
        <f t="shared" si="1"/>
        <v/>
      </c>
      <c r="O443" s="106" t="str">
        <f t="shared" si="2"/>
        <v>#N/A</v>
      </c>
      <c r="P443" s="106" t="str">
        <f t="shared" si="3"/>
        <v>#N/A</v>
      </c>
      <c r="Q443" s="84" t="str">
        <f t="shared" si="4"/>
        <v>#N/A</v>
      </c>
      <c r="R443" s="84" t="str">
        <f t="shared" si="5"/>
        <v>#N/A</v>
      </c>
      <c r="S443" s="107">
        <f t="shared" si="6"/>
        <v>-1.1</v>
      </c>
      <c r="T443" s="108">
        <f t="shared" si="7"/>
        <v>-1</v>
      </c>
      <c r="U443" s="106" t="str">
        <f t="shared" si="8"/>
        <v>#N/A</v>
      </c>
      <c r="V443" s="84" t="str">
        <f t="shared" si="9"/>
        <v/>
      </c>
      <c r="W443" s="109" t="str">
        <f t="shared" si="10"/>
        <v/>
      </c>
      <c r="X443" s="109" t="str">
        <f t="shared" si="11"/>
        <v/>
      </c>
      <c r="Y443" s="110" t="str">
        <f t="array" ref="Y443">_xlfn.XLOOKUP(A443,'Video Database'!L:L,'Video Database'!M:M,"")</f>
        <v>Bottom of Funnel</v>
      </c>
    </row>
    <row r="444" ht="22.5" customHeight="1">
      <c r="A444" s="113">
        <f t="shared" si="12"/>
        <v>443</v>
      </c>
      <c r="B444" s="98" t="str">
        <f t="array" ref="B444">_xlfn.XLOOKUP(A444,'Video Database'!L:L,'Video Database'!D:D,"")</f>
        <v>Blakely</v>
      </c>
      <c r="C444" s="98" t="str">
        <f t="array" ref="C444">_xlfn.XLOOKUP(A444,'Video Database'!L:L,'Video Database'!E:E,"")</f>
        <v>Account 2</v>
      </c>
      <c r="D444" s="99" t="str">
        <f t="array" ref="D444">_xlfn.XLOOKUP(A444,'Video Database'!L:L,'Video Database'!G:G,"")</f>
        <v>Squish Energy Preworkout Jello Shots</v>
      </c>
      <c r="E444" s="100">
        <f t="array" ref="E444">_xlfn.XLOOKUP(A444,'Video Database'!L:L,'Video Database'!H:H,"")</f>
        <v>0.11</v>
      </c>
      <c r="F444" s="101">
        <v>0.0</v>
      </c>
      <c r="G444" s="87">
        <v>0.0</v>
      </c>
      <c r="H444" s="114">
        <f t="array" ref="H444">_xlfn.XLOOKUP(A444,'Video Database'!L:L,'Video Database'!A:A,"")</f>
        <v>46190</v>
      </c>
      <c r="I444" s="103">
        <v>46201.0</v>
      </c>
      <c r="J444" s="104">
        <v>0.0</v>
      </c>
      <c r="K444" s="105"/>
      <c r="L444" s="105" t="str">
        <f t="shared" si="1"/>
        <v/>
      </c>
      <c r="O444" s="106" t="str">
        <f t="shared" si="2"/>
        <v>#N/A</v>
      </c>
      <c r="P444" s="106" t="str">
        <f t="shared" si="3"/>
        <v>#N/A</v>
      </c>
      <c r="Q444" s="84" t="str">
        <f t="shared" si="4"/>
        <v>#N/A</v>
      </c>
      <c r="R444" s="84" t="str">
        <f t="shared" si="5"/>
        <v>#N/A</v>
      </c>
      <c r="S444" s="107">
        <f t="shared" si="6"/>
        <v>-0.11</v>
      </c>
      <c r="T444" s="108">
        <f t="shared" si="7"/>
        <v>-1</v>
      </c>
      <c r="U444" s="106" t="str">
        <f t="shared" si="8"/>
        <v>#N/A</v>
      </c>
      <c r="V444" s="84" t="str">
        <f t="shared" si="9"/>
        <v/>
      </c>
      <c r="W444" s="109" t="str">
        <f t="shared" si="10"/>
        <v/>
      </c>
      <c r="X444" s="109" t="str">
        <f t="shared" si="11"/>
        <v/>
      </c>
      <c r="Y444" s="110" t="str">
        <f t="array" ref="Y444">_xlfn.XLOOKUP(A444,'Video Database'!L:L,'Video Database'!M:M,"")</f>
        <v>Bottom of Funnel</v>
      </c>
    </row>
    <row r="445" ht="22.5" customHeight="1">
      <c r="A445" s="113">
        <f t="shared" si="12"/>
        <v>444</v>
      </c>
      <c r="B445" s="98" t="str">
        <f t="array" ref="B445">_xlfn.XLOOKUP(A445,'Video Database'!L:L,'Video Database'!D:D,"")</f>
        <v>Erin</v>
      </c>
      <c r="C445" s="98" t="str">
        <f t="array" ref="C445">_xlfn.XLOOKUP(A445,'Video Database'!L:L,'Video Database'!E:E,"")</f>
        <v>Account 3</v>
      </c>
      <c r="D445" s="99" t="str">
        <f t="array" ref="D445">_xlfn.XLOOKUP(A445,'Video Database'!L:L,'Video Database'!G:G,"")</f>
        <v>Peta Jane Self-Tan Starter Kit Medium</v>
      </c>
      <c r="E445" s="100">
        <f t="array" ref="E445">_xlfn.XLOOKUP(A445,'Video Database'!L:L,'Video Database'!H:H,"")</f>
        <v>1.1</v>
      </c>
      <c r="F445" s="101">
        <v>0.0</v>
      </c>
      <c r="G445" s="87">
        <v>0.0</v>
      </c>
      <c r="H445" s="114">
        <f t="array" ref="H445">_xlfn.XLOOKUP(A445,'Video Database'!L:L,'Video Database'!A:A,"")</f>
        <v>46190</v>
      </c>
      <c r="I445" s="103">
        <v>46201.0</v>
      </c>
      <c r="J445" s="104">
        <v>0.0</v>
      </c>
      <c r="K445" s="105"/>
      <c r="L445" s="105" t="str">
        <f t="shared" si="1"/>
        <v/>
      </c>
      <c r="O445" s="106" t="str">
        <f t="shared" si="2"/>
        <v>#N/A</v>
      </c>
      <c r="P445" s="106" t="str">
        <f t="shared" si="3"/>
        <v>#N/A</v>
      </c>
      <c r="Q445" s="84" t="str">
        <f t="shared" si="4"/>
        <v>#N/A</v>
      </c>
      <c r="R445" s="84" t="str">
        <f t="shared" si="5"/>
        <v>#N/A</v>
      </c>
      <c r="S445" s="107">
        <f t="shared" si="6"/>
        <v>-1.1</v>
      </c>
      <c r="T445" s="108">
        <f t="shared" si="7"/>
        <v>-1</v>
      </c>
      <c r="U445" s="106" t="str">
        <f t="shared" si="8"/>
        <v>#N/A</v>
      </c>
      <c r="V445" s="84" t="str">
        <f t="shared" si="9"/>
        <v/>
      </c>
      <c r="W445" s="109" t="str">
        <f t="shared" si="10"/>
        <v/>
      </c>
      <c r="X445" s="109" t="str">
        <f t="shared" si="11"/>
        <v/>
      </c>
      <c r="Y445" s="110" t="str">
        <f t="array" ref="Y445">_xlfn.XLOOKUP(A445,'Video Database'!L:L,'Video Database'!M:M,"")</f>
        <v>Bottom of Funnel</v>
      </c>
    </row>
    <row r="446" ht="22.5" customHeight="1">
      <c r="A446" s="113">
        <f t="shared" si="12"/>
        <v>445</v>
      </c>
      <c r="B446" s="98" t="str">
        <f t="array" ref="B446">_xlfn.XLOOKUP(A446,'Video Database'!L:L,'Video Database'!D:D,"")</f>
        <v>Erin</v>
      </c>
      <c r="C446" s="98" t="str">
        <f t="array" ref="C446">_xlfn.XLOOKUP(A446,'Video Database'!L:L,'Video Database'!E:E,"")</f>
        <v>Account 3</v>
      </c>
      <c r="D446" s="99" t="str">
        <f t="array" ref="D446">_xlfn.XLOOKUP(A446,'Video Database'!L:L,'Video Database'!G:G,"")</f>
        <v>Peta Jane Self-Tan Starter Kit Medium</v>
      </c>
      <c r="E446" s="100">
        <f t="array" ref="E446">_xlfn.XLOOKUP(A446,'Video Database'!L:L,'Video Database'!H:H,"")</f>
        <v>0.11</v>
      </c>
      <c r="F446" s="101">
        <v>0.0</v>
      </c>
      <c r="G446" s="87">
        <v>0.0</v>
      </c>
      <c r="H446" s="114">
        <f t="array" ref="H446">_xlfn.XLOOKUP(A446,'Video Database'!L:L,'Video Database'!A:A,"")</f>
        <v>46190</v>
      </c>
      <c r="I446" s="103">
        <v>46201.0</v>
      </c>
      <c r="J446" s="104">
        <v>0.0</v>
      </c>
      <c r="K446" s="105"/>
      <c r="L446" s="105" t="str">
        <f t="shared" si="1"/>
        <v/>
      </c>
      <c r="O446" s="106" t="str">
        <f t="shared" si="2"/>
        <v>#N/A</v>
      </c>
      <c r="P446" s="106" t="str">
        <f t="shared" si="3"/>
        <v>#N/A</v>
      </c>
      <c r="Q446" s="84" t="str">
        <f t="shared" si="4"/>
        <v>#N/A</v>
      </c>
      <c r="R446" s="84" t="str">
        <f t="shared" si="5"/>
        <v>#N/A</v>
      </c>
      <c r="S446" s="107">
        <f t="shared" si="6"/>
        <v>-0.11</v>
      </c>
      <c r="T446" s="108">
        <f t="shared" si="7"/>
        <v>-1</v>
      </c>
      <c r="U446" s="106" t="str">
        <f t="shared" si="8"/>
        <v>#N/A</v>
      </c>
      <c r="V446" s="84" t="str">
        <f t="shared" si="9"/>
        <v/>
      </c>
      <c r="W446" s="109" t="str">
        <f t="shared" si="10"/>
        <v/>
      </c>
      <c r="X446" s="109" t="str">
        <f t="shared" si="11"/>
        <v/>
      </c>
      <c r="Y446" s="110" t="str">
        <f t="array" ref="Y446">_xlfn.XLOOKUP(A446,'Video Database'!L:L,'Video Database'!M:M,"")</f>
        <v>Bottom of Funnel</v>
      </c>
    </row>
    <row r="447" ht="22.5" customHeight="1">
      <c r="A447" s="113">
        <f t="shared" si="12"/>
        <v>446</v>
      </c>
      <c r="B447" s="98" t="str">
        <f t="array" ref="B447">_xlfn.XLOOKUP(A447,'Video Database'!L:L,'Video Database'!D:D,"")</f>
        <v>Blakely</v>
      </c>
      <c r="C447" s="98" t="str">
        <f t="array" ref="C447">_xlfn.XLOOKUP(A447,'Video Database'!L:L,'Video Database'!E:E,"")</f>
        <v>Account 3</v>
      </c>
      <c r="D447" s="99" t="str">
        <f t="array" ref="D447">_xlfn.XLOOKUP(A447,'Video Database'!L:L,'Video Database'!G:G,"")</f>
        <v>Squish Energy Preworkout Jello Shots</v>
      </c>
      <c r="E447" s="100">
        <f t="array" ref="E447">_xlfn.XLOOKUP(A447,'Video Database'!L:L,'Video Database'!H:H,"")</f>
        <v>0.11</v>
      </c>
      <c r="F447" s="101">
        <v>0.0</v>
      </c>
      <c r="G447" s="87">
        <v>0.0</v>
      </c>
      <c r="H447" s="114">
        <f t="array" ref="H447">_xlfn.XLOOKUP(A447,'Video Database'!L:L,'Video Database'!A:A,"")</f>
        <v>46190</v>
      </c>
      <c r="I447" s="103">
        <v>46201.0</v>
      </c>
      <c r="J447" s="104">
        <v>0.0</v>
      </c>
      <c r="K447" s="105"/>
      <c r="L447" s="105" t="str">
        <f t="shared" si="1"/>
        <v/>
      </c>
      <c r="O447" s="106" t="str">
        <f t="shared" si="2"/>
        <v>#N/A</v>
      </c>
      <c r="P447" s="106" t="str">
        <f t="shared" si="3"/>
        <v>#N/A</v>
      </c>
      <c r="Q447" s="84" t="str">
        <f t="shared" si="4"/>
        <v>#N/A</v>
      </c>
      <c r="R447" s="84" t="str">
        <f t="shared" si="5"/>
        <v>#N/A</v>
      </c>
      <c r="S447" s="107">
        <f t="shared" si="6"/>
        <v>-0.11</v>
      </c>
      <c r="T447" s="108">
        <f t="shared" si="7"/>
        <v>-1</v>
      </c>
      <c r="U447" s="106" t="str">
        <f t="shared" si="8"/>
        <v>#N/A</v>
      </c>
      <c r="V447" s="84" t="str">
        <f t="shared" si="9"/>
        <v/>
      </c>
      <c r="W447" s="109" t="str">
        <f t="shared" si="10"/>
        <v/>
      </c>
      <c r="X447" s="109" t="str">
        <f t="shared" si="11"/>
        <v/>
      </c>
      <c r="Y447" s="110" t="str">
        <f t="array" ref="Y447">_xlfn.XLOOKUP(A447,'Video Database'!L:L,'Video Database'!M:M,"")</f>
        <v>Bottom of Funnel</v>
      </c>
    </row>
    <row r="448" ht="22.5" customHeight="1">
      <c r="A448" s="113">
        <f t="shared" si="12"/>
        <v>447</v>
      </c>
      <c r="B448" s="98" t="str">
        <f t="array" ref="B448">_xlfn.XLOOKUP(A448,'Video Database'!L:L,'Video Database'!D:D,"")</f>
        <v>Blakely</v>
      </c>
      <c r="C448" s="98" t="str">
        <f t="array" ref="C448">_xlfn.XLOOKUP(A448,'Video Database'!L:L,'Video Database'!E:E,"")</f>
        <v>Account 3</v>
      </c>
      <c r="D448" s="99" t="str">
        <f t="array" ref="D448">_xlfn.XLOOKUP(A448,'Video Database'!L:L,'Video Database'!G:G,"")</f>
        <v>BetterAlt Shilajit Honey Sticks</v>
      </c>
      <c r="E448" s="100">
        <f t="array" ref="E448">_xlfn.XLOOKUP(A448,'Video Database'!L:L,'Video Database'!H:H,"")</f>
        <v>0.11</v>
      </c>
      <c r="F448" s="101">
        <v>0.0</v>
      </c>
      <c r="G448" s="87">
        <v>0.0</v>
      </c>
      <c r="H448" s="114">
        <f t="array" ref="H448">_xlfn.XLOOKUP(A448,'Video Database'!L:L,'Video Database'!A:A,"")</f>
        <v>46190</v>
      </c>
      <c r="I448" s="103">
        <v>46201.0</v>
      </c>
      <c r="J448" s="104">
        <v>0.0</v>
      </c>
      <c r="K448" s="105"/>
      <c r="L448" s="105" t="str">
        <f t="shared" si="1"/>
        <v/>
      </c>
      <c r="O448" s="106" t="str">
        <f t="shared" si="2"/>
        <v>#N/A</v>
      </c>
      <c r="P448" s="106" t="str">
        <f t="shared" si="3"/>
        <v>#N/A</v>
      </c>
      <c r="Q448" s="84" t="str">
        <f t="shared" si="4"/>
        <v>#N/A</v>
      </c>
      <c r="R448" s="84" t="str">
        <f t="shared" si="5"/>
        <v>#N/A</v>
      </c>
      <c r="S448" s="107">
        <f t="shared" si="6"/>
        <v>-0.11</v>
      </c>
      <c r="T448" s="108">
        <f t="shared" si="7"/>
        <v>-1</v>
      </c>
      <c r="U448" s="106" t="str">
        <f t="shared" si="8"/>
        <v>#N/A</v>
      </c>
      <c r="V448" s="84" t="str">
        <f t="shared" si="9"/>
        <v/>
      </c>
      <c r="W448" s="109" t="str">
        <f t="shared" si="10"/>
        <v/>
      </c>
      <c r="X448" s="109" t="str">
        <f t="shared" si="11"/>
        <v/>
      </c>
      <c r="Y448" s="110" t="str">
        <f t="array" ref="Y448">_xlfn.XLOOKUP(A448,'Video Database'!L:L,'Video Database'!M:M,"")</f>
        <v>Bottom of Funnel</v>
      </c>
    </row>
    <row r="449" ht="22.5" customHeight="1">
      <c r="A449" s="113">
        <f t="shared" si="12"/>
        <v>448</v>
      </c>
      <c r="B449" s="98" t="str">
        <f t="array" ref="B449">_xlfn.XLOOKUP(A449,'Video Database'!L:L,'Video Database'!D:D,"")</f>
        <v>Blakely</v>
      </c>
      <c r="C449" s="98" t="str">
        <f t="array" ref="C449">_xlfn.XLOOKUP(A449,'Video Database'!L:L,'Video Database'!E:E,"")</f>
        <v>Account 3</v>
      </c>
      <c r="D449" s="99" t="str">
        <f t="array" ref="D449">_xlfn.XLOOKUP(A449,'Video Database'!L:L,'Video Database'!G:G,"")</f>
        <v>Nello Supercalm Drink Mix</v>
      </c>
      <c r="E449" s="100">
        <f t="array" ref="E449">_xlfn.XLOOKUP(A449,'Video Database'!L:L,'Video Database'!H:H,"")</f>
        <v>0.11</v>
      </c>
      <c r="F449" s="101">
        <v>0.0</v>
      </c>
      <c r="G449" s="87">
        <v>0.0</v>
      </c>
      <c r="H449" s="114">
        <f t="array" ref="H449">_xlfn.XLOOKUP(A449,'Video Database'!L:L,'Video Database'!A:A,"")</f>
        <v>46190</v>
      </c>
      <c r="I449" s="103">
        <v>46201.0</v>
      </c>
      <c r="J449" s="104">
        <v>0.0</v>
      </c>
      <c r="K449" s="105"/>
      <c r="L449" s="105" t="str">
        <f t="shared" si="1"/>
        <v/>
      </c>
      <c r="O449" s="106" t="str">
        <f t="shared" si="2"/>
        <v>#N/A</v>
      </c>
      <c r="P449" s="106" t="str">
        <f t="shared" si="3"/>
        <v>#N/A</v>
      </c>
      <c r="Q449" s="84" t="str">
        <f t="shared" si="4"/>
        <v>#N/A</v>
      </c>
      <c r="R449" s="84" t="str">
        <f t="shared" si="5"/>
        <v>#N/A</v>
      </c>
      <c r="S449" s="107">
        <f t="shared" si="6"/>
        <v>-0.11</v>
      </c>
      <c r="T449" s="108">
        <f t="shared" si="7"/>
        <v>-1</v>
      </c>
      <c r="U449" s="106" t="str">
        <f t="shared" si="8"/>
        <v>#N/A</v>
      </c>
      <c r="V449" s="84" t="str">
        <f t="shared" si="9"/>
        <v/>
      </c>
      <c r="W449" s="109" t="str">
        <f t="shared" si="10"/>
        <v/>
      </c>
      <c r="X449" s="109" t="str">
        <f t="shared" si="11"/>
        <v/>
      </c>
      <c r="Y449" s="110" t="str">
        <f t="array" ref="Y449">_xlfn.XLOOKUP(A449,'Video Database'!L:L,'Video Database'!M:M,"")</f>
        <v>Bottom of Funnel</v>
      </c>
    </row>
    <row r="450" ht="22.5" customHeight="1">
      <c r="A450" s="113">
        <f t="shared" si="12"/>
        <v>449</v>
      </c>
      <c r="B450" s="98" t="str">
        <f t="array" ref="B450">_xlfn.XLOOKUP(A450,'Video Database'!L:L,'Video Database'!D:D,"")</f>
        <v>Blakely</v>
      </c>
      <c r="C450" s="98" t="str">
        <f t="array" ref="C450">_xlfn.XLOOKUP(A450,'Video Database'!L:L,'Video Database'!E:E,"")</f>
        <v>Account 3</v>
      </c>
      <c r="D450" s="99" t="str">
        <f t="array" ref="D450">_xlfn.XLOOKUP(A450,'Video Database'!L:L,'Video Database'!G:G,"")</f>
        <v>Nutricost Creatine Monohydrate</v>
      </c>
      <c r="E450" s="100">
        <f t="array" ref="E450">_xlfn.XLOOKUP(A450,'Video Database'!L:L,'Video Database'!H:H,"")</f>
        <v>0.11</v>
      </c>
      <c r="F450" s="101">
        <v>0.0</v>
      </c>
      <c r="G450" s="87">
        <v>0.0</v>
      </c>
      <c r="H450" s="114">
        <f t="array" ref="H450">_xlfn.XLOOKUP(A450,'Video Database'!L:L,'Video Database'!A:A,"")</f>
        <v>46190</v>
      </c>
      <c r="I450" s="103">
        <v>46201.0</v>
      </c>
      <c r="J450" s="104">
        <v>0.0</v>
      </c>
      <c r="K450" s="105"/>
      <c r="L450" s="105" t="str">
        <f t="shared" si="1"/>
        <v/>
      </c>
      <c r="O450" s="106" t="str">
        <f t="shared" si="2"/>
        <v>#N/A</v>
      </c>
      <c r="P450" s="106" t="str">
        <f t="shared" si="3"/>
        <v>#N/A</v>
      </c>
      <c r="Q450" s="84" t="str">
        <f t="shared" si="4"/>
        <v>#N/A</v>
      </c>
      <c r="R450" s="84" t="str">
        <f t="shared" si="5"/>
        <v>#N/A</v>
      </c>
      <c r="S450" s="107">
        <f t="shared" si="6"/>
        <v>-0.11</v>
      </c>
      <c r="T450" s="108">
        <f t="shared" si="7"/>
        <v>-1</v>
      </c>
      <c r="U450" s="106" t="str">
        <f t="shared" si="8"/>
        <v>#N/A</v>
      </c>
      <c r="V450" s="84" t="str">
        <f t="shared" si="9"/>
        <v/>
      </c>
      <c r="W450" s="109" t="str">
        <f t="shared" si="10"/>
        <v/>
      </c>
      <c r="X450" s="109" t="str">
        <f t="shared" si="11"/>
        <v/>
      </c>
      <c r="Y450" s="110" t="str">
        <f t="array" ref="Y450">_xlfn.XLOOKUP(A450,'Video Database'!L:L,'Video Database'!M:M,"")</f>
        <v>Product Overlay</v>
      </c>
    </row>
    <row r="451" ht="22.5" customHeight="1">
      <c r="A451" s="113">
        <f t="shared" si="12"/>
        <v>450</v>
      </c>
      <c r="B451" s="98" t="str">
        <f t="array" ref="B451">_xlfn.XLOOKUP(A451,'Video Database'!L:L,'Video Database'!D:D,"")</f>
        <v>Blakely</v>
      </c>
      <c r="C451" s="98" t="str">
        <f t="array" ref="C451">_xlfn.XLOOKUP(A451,'Video Database'!L:L,'Video Database'!E:E,"")</f>
        <v>Account 3</v>
      </c>
      <c r="D451" s="99" t="str">
        <f t="array" ref="D451">_xlfn.XLOOKUP(A451,'Video Database'!L:L,'Video Database'!G:G,"")</f>
        <v>BetterAlt Shilajit Honey Sticks</v>
      </c>
      <c r="E451" s="100">
        <f t="array" ref="E451">_xlfn.XLOOKUP(A451,'Video Database'!L:L,'Video Database'!H:H,"")</f>
        <v>0.11</v>
      </c>
      <c r="F451" s="101">
        <v>0.0</v>
      </c>
      <c r="G451" s="87">
        <v>0.0</v>
      </c>
      <c r="H451" s="114">
        <f t="array" ref="H451">_xlfn.XLOOKUP(A451,'Video Database'!L:L,'Video Database'!A:A,"")</f>
        <v>46190</v>
      </c>
      <c r="I451" s="103">
        <v>46201.0</v>
      </c>
      <c r="J451" s="104">
        <v>0.0</v>
      </c>
      <c r="K451" s="105"/>
      <c r="L451" s="105" t="str">
        <f t="shared" si="1"/>
        <v/>
      </c>
      <c r="O451" s="106" t="str">
        <f t="shared" si="2"/>
        <v>#N/A</v>
      </c>
      <c r="P451" s="106" t="str">
        <f t="shared" si="3"/>
        <v>#N/A</v>
      </c>
      <c r="Q451" s="84" t="str">
        <f t="shared" si="4"/>
        <v>#N/A</v>
      </c>
      <c r="R451" s="84" t="str">
        <f t="shared" si="5"/>
        <v>#N/A</v>
      </c>
      <c r="S451" s="107">
        <f t="shared" si="6"/>
        <v>-0.11</v>
      </c>
      <c r="T451" s="108">
        <f t="shared" si="7"/>
        <v>-1</v>
      </c>
      <c r="U451" s="106" t="str">
        <f t="shared" si="8"/>
        <v>#N/A</v>
      </c>
      <c r="V451" s="84" t="str">
        <f t="shared" si="9"/>
        <v/>
      </c>
      <c r="W451" s="109" t="str">
        <f t="shared" si="10"/>
        <v/>
      </c>
      <c r="X451" s="109" t="str">
        <f t="shared" si="11"/>
        <v/>
      </c>
      <c r="Y451" s="110" t="str">
        <f t="array" ref="Y451">_xlfn.XLOOKUP(A451,'Video Database'!L:L,'Video Database'!M:M,"")</f>
        <v>Product Overlay</v>
      </c>
    </row>
    <row r="452" ht="22.5" customHeight="1">
      <c r="A452" s="113">
        <f t="shared" si="12"/>
        <v>451</v>
      </c>
      <c r="B452" s="98" t="str">
        <f t="array" ref="B452">_xlfn.XLOOKUP(A452,'Video Database'!L:L,'Video Database'!D:D,"")</f>
        <v>Blakely</v>
      </c>
      <c r="C452" s="98" t="str">
        <f t="array" ref="C452">_xlfn.XLOOKUP(A452,'Video Database'!L:L,'Video Database'!E:E,"")</f>
        <v>Account 3</v>
      </c>
      <c r="D452" s="99" t="str">
        <f t="array" ref="D452">_xlfn.XLOOKUP(A452,'Video Database'!L:L,'Video Database'!G:G,"")</f>
        <v>Cutler Nutrition Liquid Carnitine 3000</v>
      </c>
      <c r="E452" s="100">
        <f t="array" ref="E452">_xlfn.XLOOKUP(A452,'Video Database'!L:L,'Video Database'!H:H,"")</f>
        <v>0.11</v>
      </c>
      <c r="F452" s="101">
        <v>20.21</v>
      </c>
      <c r="G452" s="87">
        <v>1.0</v>
      </c>
      <c r="H452" s="114">
        <f t="array" ref="H452">_xlfn.XLOOKUP(A452,'Video Database'!L:L,'Video Database'!A:A,"")</f>
        <v>46190</v>
      </c>
      <c r="I452" s="103">
        <v>46201.0</v>
      </c>
      <c r="J452" s="104">
        <v>4.5</v>
      </c>
      <c r="K452" s="87">
        <v>3.0</v>
      </c>
      <c r="L452" s="105">
        <f t="shared" si="1"/>
        <v>215</v>
      </c>
      <c r="M452" s="87">
        <v>215.0</v>
      </c>
      <c r="O452" s="106">
        <f t="shared" si="2"/>
        <v>0.01395348837</v>
      </c>
      <c r="P452" s="106">
        <f t="shared" si="3"/>
        <v>0.3333333333</v>
      </c>
      <c r="Q452" s="84">
        <f t="shared" si="4"/>
        <v>4.5</v>
      </c>
      <c r="R452" s="84">
        <f t="shared" si="5"/>
        <v>20.21</v>
      </c>
      <c r="S452" s="107">
        <f t="shared" si="6"/>
        <v>4.39</v>
      </c>
      <c r="T452" s="108">
        <f t="shared" si="7"/>
        <v>39.90909091</v>
      </c>
      <c r="U452" s="106">
        <f t="shared" si="8"/>
        <v>0.9755555556</v>
      </c>
      <c r="V452" s="129">
        <f t="shared" si="9"/>
        <v>0.11</v>
      </c>
      <c r="W452" s="109">
        <f t="shared" si="10"/>
        <v>0.03666666667</v>
      </c>
      <c r="X452" s="109">
        <f t="shared" si="11"/>
        <v>0.5442850074</v>
      </c>
      <c r="Y452" s="110" t="str">
        <f t="array" ref="Y452">_xlfn.XLOOKUP(A452,'Video Database'!L:L,'Video Database'!M:M,"")</f>
        <v>Product Overlay</v>
      </c>
    </row>
    <row r="453" ht="22.5" customHeight="1">
      <c r="A453" s="113">
        <f t="shared" si="12"/>
        <v>452</v>
      </c>
      <c r="B453" s="98" t="str">
        <f t="array" ref="B453">_xlfn.XLOOKUP(A453,'Video Database'!L:L,'Video Database'!D:D,"")</f>
        <v>Blakely</v>
      </c>
      <c r="C453" s="98" t="str">
        <f t="array" ref="C453">_xlfn.XLOOKUP(A453,'Video Database'!L:L,'Video Database'!E:E,"")</f>
        <v>Account 3</v>
      </c>
      <c r="D453" s="99" t="str">
        <f t="array" ref="D453">_xlfn.XLOOKUP(A453,'Video Database'!L:L,'Video Database'!G:G,"")</f>
        <v>Shirts - Can't Wait to Gamble Today</v>
      </c>
      <c r="E453" s="100">
        <f t="array" ref="E453">_xlfn.XLOOKUP(A453,'Video Database'!L:L,'Video Database'!H:H,"")</f>
        <v>0.11</v>
      </c>
      <c r="F453" s="101">
        <v>0.0</v>
      </c>
      <c r="G453" s="87">
        <v>0.0</v>
      </c>
      <c r="H453" s="114">
        <f t="array" ref="H453">_xlfn.XLOOKUP(A453,'Video Database'!L:L,'Video Database'!A:A,"")</f>
        <v>46190</v>
      </c>
      <c r="I453" s="103">
        <v>46201.0</v>
      </c>
      <c r="J453" s="104">
        <v>0.0</v>
      </c>
      <c r="K453" s="105"/>
      <c r="L453" s="105" t="str">
        <f t="shared" si="1"/>
        <v/>
      </c>
      <c r="O453" s="106" t="str">
        <f t="shared" si="2"/>
        <v>#N/A</v>
      </c>
      <c r="P453" s="106" t="str">
        <f t="shared" si="3"/>
        <v>#N/A</v>
      </c>
      <c r="Q453" s="84" t="str">
        <f t="shared" si="4"/>
        <v>#N/A</v>
      </c>
      <c r="R453" s="84" t="str">
        <f t="shared" si="5"/>
        <v>#N/A</v>
      </c>
      <c r="S453" s="107">
        <f t="shared" si="6"/>
        <v>-0.11</v>
      </c>
      <c r="T453" s="108">
        <f t="shared" si="7"/>
        <v>-1</v>
      </c>
      <c r="U453" s="106" t="str">
        <f t="shared" si="8"/>
        <v>#N/A</v>
      </c>
      <c r="V453" s="84" t="str">
        <f t="shared" si="9"/>
        <v/>
      </c>
      <c r="W453" s="109" t="str">
        <f t="shared" si="10"/>
        <v/>
      </c>
      <c r="X453" s="109" t="str">
        <f t="shared" si="11"/>
        <v/>
      </c>
      <c r="Y453" s="110" t="str">
        <f t="array" ref="Y453">_xlfn.XLOOKUP(A453,'Video Database'!L:L,'Video Database'!M:M,"")</f>
        <v>Product Overlay</v>
      </c>
    </row>
    <row r="454" ht="22.5" customHeight="1">
      <c r="A454" s="113">
        <f t="shared" si="12"/>
        <v>453</v>
      </c>
      <c r="B454" s="98" t="str">
        <f t="array" ref="B454">_xlfn.XLOOKUP(A454,'Video Database'!L:L,'Video Database'!D:D,"")</f>
        <v>Blakely</v>
      </c>
      <c r="C454" s="98" t="str">
        <f t="array" ref="C454">_xlfn.XLOOKUP(A454,'Video Database'!L:L,'Video Database'!E:E,"")</f>
        <v>Account 3</v>
      </c>
      <c r="D454" s="99" t="str">
        <f t="array" ref="D454">_xlfn.XLOOKUP(A454,'Video Database'!L:L,'Video Database'!G:G,"")</f>
        <v>Nello Supercalm Drink Mix</v>
      </c>
      <c r="E454" s="100">
        <f t="array" ref="E454">_xlfn.XLOOKUP(A454,'Video Database'!L:L,'Video Database'!H:H,"")</f>
        <v>0.11</v>
      </c>
      <c r="F454" s="101">
        <v>0.0</v>
      </c>
      <c r="G454" s="87">
        <v>0.0</v>
      </c>
      <c r="H454" s="114">
        <f t="array" ref="H454">_xlfn.XLOOKUP(A454,'Video Database'!L:L,'Video Database'!A:A,"")</f>
        <v>46190</v>
      </c>
      <c r="I454" s="103">
        <v>46201.0</v>
      </c>
      <c r="J454" s="104">
        <v>0.0</v>
      </c>
      <c r="K454" s="105"/>
      <c r="L454" s="105" t="str">
        <f t="shared" si="1"/>
        <v/>
      </c>
      <c r="O454" s="106" t="str">
        <f t="shared" si="2"/>
        <v>#N/A</v>
      </c>
      <c r="P454" s="106" t="str">
        <f t="shared" si="3"/>
        <v>#N/A</v>
      </c>
      <c r="Q454" s="84" t="str">
        <f t="shared" si="4"/>
        <v>#N/A</v>
      </c>
      <c r="R454" s="84" t="str">
        <f t="shared" si="5"/>
        <v>#N/A</v>
      </c>
      <c r="S454" s="107">
        <f t="shared" si="6"/>
        <v>-0.11</v>
      </c>
      <c r="T454" s="108">
        <f t="shared" si="7"/>
        <v>-1</v>
      </c>
      <c r="U454" s="106" t="str">
        <f t="shared" si="8"/>
        <v>#N/A</v>
      </c>
      <c r="V454" s="84" t="str">
        <f t="shared" si="9"/>
        <v/>
      </c>
      <c r="W454" s="109" t="str">
        <f t="shared" si="10"/>
        <v/>
      </c>
      <c r="X454" s="109" t="str">
        <f t="shared" si="11"/>
        <v/>
      </c>
      <c r="Y454" s="110" t="str">
        <f t="array" ref="Y454">_xlfn.XLOOKUP(A454,'Video Database'!L:L,'Video Database'!M:M,"")</f>
        <v>Product Overlay</v>
      </c>
    </row>
    <row r="455" ht="22.5" customHeight="1">
      <c r="A455" s="113">
        <f t="shared" si="12"/>
        <v>454</v>
      </c>
      <c r="B455" s="98" t="str">
        <f t="array" ref="B455">_xlfn.XLOOKUP(A455,'Video Database'!L:L,'Video Database'!D:D,"")</f>
        <v>Sierra</v>
      </c>
      <c r="C455" s="98" t="str">
        <f t="array" ref="C455">_xlfn.XLOOKUP(A455,'Video Database'!L:L,'Video Database'!E:E,"")</f>
        <v>Account 4</v>
      </c>
      <c r="D455" s="99" t="str">
        <f t="array" ref="D455">_xlfn.XLOOKUP(A455,'Video Database'!L:L,'Video Database'!G:G,"")</f>
        <v>SKIN1004 Hyla-Cica Water Fit Sunscreen</v>
      </c>
      <c r="E455" s="100">
        <f t="array" ref="E455">_xlfn.XLOOKUP(A455,'Video Database'!L:L,'Video Database'!H:H,"")</f>
        <v>1.1</v>
      </c>
      <c r="F455" s="101">
        <v>0.0</v>
      </c>
      <c r="G455" s="87">
        <v>0.0</v>
      </c>
      <c r="H455" s="114">
        <f t="array" ref="H455">_xlfn.XLOOKUP(A455,'Video Database'!L:L,'Video Database'!A:A,"")</f>
        <v>46190</v>
      </c>
      <c r="I455" s="103">
        <v>46201.0</v>
      </c>
      <c r="J455" s="104">
        <v>0.0</v>
      </c>
      <c r="K455" s="105"/>
      <c r="L455" s="105" t="str">
        <f t="shared" si="1"/>
        <v/>
      </c>
      <c r="O455" s="106" t="str">
        <f t="shared" si="2"/>
        <v>#N/A</v>
      </c>
      <c r="P455" s="106" t="str">
        <f t="shared" si="3"/>
        <v>#N/A</v>
      </c>
      <c r="Q455" s="84" t="str">
        <f t="shared" si="4"/>
        <v>#N/A</v>
      </c>
      <c r="R455" s="84" t="str">
        <f t="shared" si="5"/>
        <v>#N/A</v>
      </c>
      <c r="S455" s="107">
        <f t="shared" si="6"/>
        <v>-1.1</v>
      </c>
      <c r="T455" s="108">
        <f t="shared" si="7"/>
        <v>-1</v>
      </c>
      <c r="U455" s="106" t="str">
        <f t="shared" si="8"/>
        <v>#N/A</v>
      </c>
      <c r="V455" s="84" t="str">
        <f t="shared" si="9"/>
        <v/>
      </c>
      <c r="W455" s="109" t="str">
        <f t="shared" si="10"/>
        <v/>
      </c>
      <c r="X455" s="109" t="str">
        <f t="shared" si="11"/>
        <v/>
      </c>
      <c r="Y455" s="110" t="str">
        <f t="array" ref="Y455">_xlfn.XLOOKUP(A455,'Video Database'!L:L,'Video Database'!M:M,"")</f>
        <v>Bottom of Funnel</v>
      </c>
    </row>
    <row r="456" ht="22.5" customHeight="1">
      <c r="A456" s="113">
        <f t="shared" si="12"/>
        <v>455</v>
      </c>
      <c r="B456" s="98" t="str">
        <f t="array" ref="B456">_xlfn.XLOOKUP(A456,'Video Database'!L:L,'Video Database'!D:D,"")</f>
        <v>Sierra</v>
      </c>
      <c r="C456" s="98" t="str">
        <f t="array" ref="C456">_xlfn.XLOOKUP(A456,'Video Database'!L:L,'Video Database'!E:E,"")</f>
        <v>Account 4</v>
      </c>
      <c r="D456" s="99" t="str">
        <f t="array" ref="D456">_xlfn.XLOOKUP(A456,'Video Database'!L:L,'Video Database'!G:G,"")</f>
        <v>SKIN1004 Hyla-Cica Water Fit Sunscreen</v>
      </c>
      <c r="E456" s="100">
        <f t="array" ref="E456">_xlfn.XLOOKUP(A456,'Video Database'!L:L,'Video Database'!H:H,"")</f>
        <v>1.1</v>
      </c>
      <c r="F456" s="101">
        <v>0.0</v>
      </c>
      <c r="G456" s="87">
        <v>0.0</v>
      </c>
      <c r="H456" s="114">
        <f t="array" ref="H456">_xlfn.XLOOKUP(A456,'Video Database'!L:L,'Video Database'!A:A,"")</f>
        <v>46190</v>
      </c>
      <c r="I456" s="103">
        <v>46201.0</v>
      </c>
      <c r="J456" s="104">
        <v>0.0</v>
      </c>
      <c r="K456" s="105"/>
      <c r="L456" s="105" t="str">
        <f t="shared" si="1"/>
        <v/>
      </c>
      <c r="O456" s="106" t="str">
        <f t="shared" si="2"/>
        <v>#N/A</v>
      </c>
      <c r="P456" s="106" t="str">
        <f t="shared" si="3"/>
        <v>#N/A</v>
      </c>
      <c r="Q456" s="84" t="str">
        <f t="shared" si="4"/>
        <v>#N/A</v>
      </c>
      <c r="R456" s="84" t="str">
        <f t="shared" si="5"/>
        <v>#N/A</v>
      </c>
      <c r="S456" s="107">
        <f t="shared" si="6"/>
        <v>-1.1</v>
      </c>
      <c r="T456" s="108">
        <f t="shared" si="7"/>
        <v>-1</v>
      </c>
      <c r="U456" s="106" t="str">
        <f t="shared" si="8"/>
        <v>#N/A</v>
      </c>
      <c r="V456" s="84" t="str">
        <f t="shared" si="9"/>
        <v/>
      </c>
      <c r="W456" s="109" t="str">
        <f t="shared" si="10"/>
        <v/>
      </c>
      <c r="X456" s="109" t="str">
        <f t="shared" si="11"/>
        <v/>
      </c>
      <c r="Y456" s="110" t="str">
        <f t="array" ref="Y456">_xlfn.XLOOKUP(A456,'Video Database'!L:L,'Video Database'!M:M,"")</f>
        <v>Middle of Funnel</v>
      </c>
    </row>
    <row r="457" ht="22.5" customHeight="1">
      <c r="A457" s="113">
        <f t="shared" si="12"/>
        <v>456</v>
      </c>
      <c r="B457" s="98" t="str">
        <f t="array" ref="B457">_xlfn.XLOOKUP(A457,'Video Database'!L:L,'Video Database'!D:D,"")</f>
        <v>Sierra</v>
      </c>
      <c r="C457" s="98" t="str">
        <f t="array" ref="C457">_xlfn.XLOOKUP(A457,'Video Database'!L:L,'Video Database'!E:E,"")</f>
        <v>Account 4</v>
      </c>
      <c r="D457" s="99" t="str">
        <f t="array" ref="D457">_xlfn.XLOOKUP(A457,'Video Database'!L:L,'Video Database'!G:G,"")</f>
        <v>SKIN1004 Hyla-Cica Water Fit Sunscreen</v>
      </c>
      <c r="E457" s="100">
        <f t="array" ref="E457">_xlfn.XLOOKUP(A457,'Video Database'!L:L,'Video Database'!H:H,"")</f>
        <v>1.1</v>
      </c>
      <c r="F457" s="101">
        <v>0.0</v>
      </c>
      <c r="G457" s="87">
        <v>0.0</v>
      </c>
      <c r="H457" s="114">
        <f t="array" ref="H457">_xlfn.XLOOKUP(A457,'Video Database'!L:L,'Video Database'!A:A,"")</f>
        <v>46190</v>
      </c>
      <c r="I457" s="103">
        <v>46201.0</v>
      </c>
      <c r="J457" s="104">
        <v>0.0</v>
      </c>
      <c r="K457" s="105"/>
      <c r="L457" s="105" t="str">
        <f t="shared" si="1"/>
        <v/>
      </c>
      <c r="O457" s="106" t="str">
        <f t="shared" si="2"/>
        <v>#N/A</v>
      </c>
      <c r="P457" s="106" t="str">
        <f t="shared" si="3"/>
        <v>#N/A</v>
      </c>
      <c r="Q457" s="84" t="str">
        <f t="shared" si="4"/>
        <v>#N/A</v>
      </c>
      <c r="R457" s="84" t="str">
        <f t="shared" si="5"/>
        <v>#N/A</v>
      </c>
      <c r="S457" s="107">
        <f t="shared" si="6"/>
        <v>-1.1</v>
      </c>
      <c r="T457" s="108">
        <f t="shared" si="7"/>
        <v>-1</v>
      </c>
      <c r="U457" s="106" t="str">
        <f t="shared" si="8"/>
        <v>#N/A</v>
      </c>
      <c r="V457" s="84" t="str">
        <f t="shared" si="9"/>
        <v/>
      </c>
      <c r="W457" s="109" t="str">
        <f t="shared" si="10"/>
        <v/>
      </c>
      <c r="X457" s="109" t="str">
        <f t="shared" si="11"/>
        <v/>
      </c>
      <c r="Y457" s="110" t="str">
        <f t="array" ref="Y457">_xlfn.XLOOKUP(A457,'Video Database'!L:L,'Video Database'!M:M,"")</f>
        <v>Middle of Funnel</v>
      </c>
    </row>
    <row r="458" ht="22.5" customHeight="1">
      <c r="A458" s="113">
        <f t="shared" si="12"/>
        <v>457</v>
      </c>
      <c r="B458" s="98" t="str">
        <f t="array" ref="B458">_xlfn.XLOOKUP(A458,'Video Database'!L:L,'Video Database'!D:D,"")</f>
        <v>Sierra</v>
      </c>
      <c r="C458" s="98" t="str">
        <f t="array" ref="C458">_xlfn.XLOOKUP(A458,'Video Database'!L:L,'Video Database'!E:E,"")</f>
        <v>Account 4</v>
      </c>
      <c r="D458" s="99" t="str">
        <f t="array" ref="D458">_xlfn.XLOOKUP(A458,'Video Database'!L:L,'Video Database'!G:G,"")</f>
        <v>SKIN1004 Hyla-Cica Water Fit Sunscreen</v>
      </c>
      <c r="E458" s="100">
        <f t="array" ref="E458">_xlfn.XLOOKUP(A458,'Video Database'!L:L,'Video Database'!H:H,"")</f>
        <v>1.1</v>
      </c>
      <c r="F458" s="101">
        <v>0.0</v>
      </c>
      <c r="G458" s="87">
        <v>0.0</v>
      </c>
      <c r="H458" s="114">
        <f t="array" ref="H458">_xlfn.XLOOKUP(A458,'Video Database'!L:L,'Video Database'!A:A,"")</f>
        <v>46190</v>
      </c>
      <c r="I458" s="103">
        <v>46201.0</v>
      </c>
      <c r="J458" s="104">
        <v>0.0</v>
      </c>
      <c r="K458" s="105"/>
      <c r="L458" s="105" t="str">
        <f t="shared" si="1"/>
        <v/>
      </c>
      <c r="O458" s="106" t="str">
        <f t="shared" si="2"/>
        <v>#N/A</v>
      </c>
      <c r="P458" s="106" t="str">
        <f t="shared" si="3"/>
        <v>#N/A</v>
      </c>
      <c r="Q458" s="84" t="str">
        <f t="shared" si="4"/>
        <v>#N/A</v>
      </c>
      <c r="R458" s="84" t="str">
        <f t="shared" si="5"/>
        <v>#N/A</v>
      </c>
      <c r="S458" s="107">
        <f t="shared" si="6"/>
        <v>-1.1</v>
      </c>
      <c r="T458" s="108">
        <f t="shared" si="7"/>
        <v>-1</v>
      </c>
      <c r="U458" s="106" t="str">
        <f t="shared" si="8"/>
        <v>#N/A</v>
      </c>
      <c r="V458" s="84" t="str">
        <f t="shared" si="9"/>
        <v/>
      </c>
      <c r="W458" s="109" t="str">
        <f t="shared" si="10"/>
        <v/>
      </c>
      <c r="X458" s="109" t="str">
        <f t="shared" si="11"/>
        <v/>
      </c>
      <c r="Y458" s="110" t="str">
        <f t="array" ref="Y458">_xlfn.XLOOKUP(A458,'Video Database'!L:L,'Video Database'!M:M,"")</f>
        <v>Middle of Funnel</v>
      </c>
    </row>
    <row r="459" ht="22.5" customHeight="1">
      <c r="A459" s="113">
        <f t="shared" si="12"/>
        <v>458</v>
      </c>
      <c r="B459" s="98" t="str">
        <f t="array" ref="B459">_xlfn.XLOOKUP(A459,'Video Database'!L:L,'Video Database'!D:D,"")</f>
        <v>Erin</v>
      </c>
      <c r="C459" s="98" t="str">
        <f t="array" ref="C459">_xlfn.XLOOKUP(A459,'Video Database'!L:L,'Video Database'!E:E,"")</f>
        <v>Account 4</v>
      </c>
      <c r="D459" s="99" t="str">
        <f t="array" ref="D459">_xlfn.XLOOKUP(A459,'Video Database'!L:L,'Video Database'!G:G,"")</f>
        <v>Peta Jane Self-Tan Starter Kit Medium</v>
      </c>
      <c r="E459" s="100">
        <f t="array" ref="E459">_xlfn.XLOOKUP(A459,'Video Database'!L:L,'Video Database'!H:H,"")</f>
        <v>1.1</v>
      </c>
      <c r="F459" s="101">
        <v>0.0</v>
      </c>
      <c r="G459" s="87">
        <v>0.0</v>
      </c>
      <c r="H459" s="114">
        <f t="array" ref="H459">_xlfn.XLOOKUP(A459,'Video Database'!L:L,'Video Database'!A:A,"")</f>
        <v>46190</v>
      </c>
      <c r="I459" s="103">
        <v>46201.0</v>
      </c>
      <c r="J459" s="104">
        <v>0.0</v>
      </c>
      <c r="K459" s="105"/>
      <c r="L459" s="105" t="str">
        <f t="shared" si="1"/>
        <v/>
      </c>
      <c r="O459" s="106" t="str">
        <f t="shared" si="2"/>
        <v>#N/A</v>
      </c>
      <c r="P459" s="106" t="str">
        <f t="shared" si="3"/>
        <v>#N/A</v>
      </c>
      <c r="Q459" s="84" t="str">
        <f t="shared" si="4"/>
        <v>#N/A</v>
      </c>
      <c r="R459" s="84" t="str">
        <f t="shared" si="5"/>
        <v>#N/A</v>
      </c>
      <c r="S459" s="107">
        <f t="shared" si="6"/>
        <v>-1.1</v>
      </c>
      <c r="T459" s="108">
        <f t="shared" si="7"/>
        <v>-1</v>
      </c>
      <c r="U459" s="106" t="str">
        <f t="shared" si="8"/>
        <v>#N/A</v>
      </c>
      <c r="V459" s="84" t="str">
        <f t="shared" si="9"/>
        <v/>
      </c>
      <c r="W459" s="109" t="str">
        <f t="shared" si="10"/>
        <v/>
      </c>
      <c r="X459" s="109" t="str">
        <f t="shared" si="11"/>
        <v/>
      </c>
      <c r="Y459" s="110" t="str">
        <f t="array" ref="Y459">_xlfn.XLOOKUP(A459,'Video Database'!L:L,'Video Database'!M:M,"")</f>
        <v>Bottom of Funnel</v>
      </c>
    </row>
    <row r="460" ht="22.5" customHeight="1">
      <c r="A460" s="113">
        <f t="shared" si="12"/>
        <v>459</v>
      </c>
      <c r="B460" s="98" t="str">
        <f t="array" ref="B460">_xlfn.XLOOKUP(A460,'Video Database'!L:L,'Video Database'!D:D,"")</f>
        <v>Erin</v>
      </c>
      <c r="C460" s="98" t="str">
        <f t="array" ref="C460">_xlfn.XLOOKUP(A460,'Video Database'!L:L,'Video Database'!E:E,"")</f>
        <v>Account 4</v>
      </c>
      <c r="D460" s="99" t="str">
        <f t="array" ref="D460">_xlfn.XLOOKUP(A460,'Video Database'!L:L,'Video Database'!G:G,"")</f>
        <v>Peta Jane Self-Tan Starter Kit Medium</v>
      </c>
      <c r="E460" s="100">
        <f t="array" ref="E460">_xlfn.XLOOKUP(A460,'Video Database'!L:L,'Video Database'!H:H,"")</f>
        <v>1.1</v>
      </c>
      <c r="F460" s="101">
        <v>0.0</v>
      </c>
      <c r="G460" s="87">
        <v>0.0</v>
      </c>
      <c r="H460" s="114">
        <f t="array" ref="H460">_xlfn.XLOOKUP(A460,'Video Database'!L:L,'Video Database'!A:A,"")</f>
        <v>46190</v>
      </c>
      <c r="I460" s="103">
        <v>46201.0</v>
      </c>
      <c r="J460" s="104">
        <v>0.0</v>
      </c>
      <c r="K460" s="105"/>
      <c r="L460" s="105" t="str">
        <f t="shared" si="1"/>
        <v/>
      </c>
      <c r="O460" s="106" t="str">
        <f t="shared" si="2"/>
        <v>#N/A</v>
      </c>
      <c r="P460" s="106" t="str">
        <f t="shared" si="3"/>
        <v>#N/A</v>
      </c>
      <c r="Q460" s="84" t="str">
        <f t="shared" si="4"/>
        <v>#N/A</v>
      </c>
      <c r="R460" s="84" t="str">
        <f t="shared" si="5"/>
        <v>#N/A</v>
      </c>
      <c r="S460" s="107">
        <f t="shared" si="6"/>
        <v>-1.1</v>
      </c>
      <c r="T460" s="108">
        <f t="shared" si="7"/>
        <v>-1</v>
      </c>
      <c r="U460" s="106" t="str">
        <f t="shared" si="8"/>
        <v>#N/A</v>
      </c>
      <c r="V460" s="84" t="str">
        <f t="shared" si="9"/>
        <v/>
      </c>
      <c r="W460" s="109" t="str">
        <f t="shared" si="10"/>
        <v/>
      </c>
      <c r="X460" s="109" t="str">
        <f t="shared" si="11"/>
        <v/>
      </c>
      <c r="Y460" s="110" t="str">
        <f t="array" ref="Y460">_xlfn.XLOOKUP(A460,'Video Database'!L:L,'Video Database'!M:M,"")</f>
        <v>Bottom of Funnel</v>
      </c>
    </row>
    <row r="461" ht="22.5" customHeight="1">
      <c r="A461" s="113">
        <f t="shared" si="12"/>
        <v>460</v>
      </c>
      <c r="B461" s="98" t="str">
        <f t="array" ref="B461">_xlfn.XLOOKUP(A461,'Video Database'!L:L,'Video Database'!D:D,"")</f>
        <v>Blakely</v>
      </c>
      <c r="C461" s="98" t="str">
        <f t="array" ref="C461">_xlfn.XLOOKUP(A461,'Video Database'!L:L,'Video Database'!E:E,"")</f>
        <v>Account 4</v>
      </c>
      <c r="D461" s="99" t="str">
        <f t="array" ref="D461">_xlfn.XLOOKUP(A461,'Video Database'!L:L,'Video Database'!G:G,"")</f>
        <v>Nutricost Creatine Monohydrate</v>
      </c>
      <c r="E461" s="100">
        <f t="array" ref="E461">_xlfn.XLOOKUP(A461,'Video Database'!L:L,'Video Database'!H:H,"")</f>
        <v>0.11</v>
      </c>
      <c r="F461" s="101">
        <v>11.97</v>
      </c>
      <c r="G461" s="87">
        <v>1.0</v>
      </c>
      <c r="H461" s="114">
        <f t="array" ref="H461">_xlfn.XLOOKUP(A461,'Video Database'!L:L,'Video Database'!A:A,"")</f>
        <v>46190</v>
      </c>
      <c r="I461" s="103">
        <v>46201.0</v>
      </c>
      <c r="J461" s="104">
        <v>1.2</v>
      </c>
      <c r="K461" s="87">
        <v>2.0</v>
      </c>
      <c r="L461" s="105">
        <f t="shared" si="1"/>
        <v>1000</v>
      </c>
      <c r="M461" s="87">
        <v>1000.0</v>
      </c>
      <c r="O461" s="106">
        <f t="shared" si="2"/>
        <v>0.002</v>
      </c>
      <c r="P461" s="106">
        <f t="shared" si="3"/>
        <v>0.5</v>
      </c>
      <c r="Q461" s="84">
        <f t="shared" si="4"/>
        <v>1.2</v>
      </c>
      <c r="R461" s="84">
        <f t="shared" si="5"/>
        <v>11.97</v>
      </c>
      <c r="S461" s="107">
        <f t="shared" si="6"/>
        <v>1.09</v>
      </c>
      <c r="T461" s="108">
        <f t="shared" si="7"/>
        <v>9.909090909</v>
      </c>
      <c r="U461" s="106">
        <f t="shared" si="8"/>
        <v>0.9083333333</v>
      </c>
      <c r="V461" s="129">
        <f t="shared" si="9"/>
        <v>0.11</v>
      </c>
      <c r="W461" s="109">
        <f t="shared" si="10"/>
        <v>0.055</v>
      </c>
      <c r="X461" s="109">
        <f t="shared" si="11"/>
        <v>0.9189640769</v>
      </c>
      <c r="Y461" s="110" t="str">
        <f t="array" ref="Y461">_xlfn.XLOOKUP(A461,'Video Database'!L:L,'Video Database'!M:M,"")</f>
        <v>Product Overlay</v>
      </c>
    </row>
    <row r="462" ht="22.5" customHeight="1">
      <c r="A462" s="113">
        <f t="shared" si="12"/>
        <v>461</v>
      </c>
      <c r="B462" s="98" t="str">
        <f t="array" ref="B462">_xlfn.XLOOKUP(A462,'Video Database'!L:L,'Video Database'!D:D,"")</f>
        <v>Blakely</v>
      </c>
      <c r="C462" s="98" t="str">
        <f t="array" ref="C462">_xlfn.XLOOKUP(A462,'Video Database'!L:L,'Video Database'!E:E,"")</f>
        <v>Account 4</v>
      </c>
      <c r="D462" s="99" t="str">
        <f t="array" ref="D462">_xlfn.XLOOKUP(A462,'Video Database'!L:L,'Video Database'!G:G,"")</f>
        <v>BetterAlt Shilajit Honey Sticks</v>
      </c>
      <c r="E462" s="100">
        <f t="array" ref="E462">_xlfn.XLOOKUP(A462,'Video Database'!L:L,'Video Database'!H:H,"")</f>
        <v>0.11</v>
      </c>
      <c r="F462" s="101">
        <v>17.71</v>
      </c>
      <c r="G462" s="87">
        <v>1.0</v>
      </c>
      <c r="H462" s="114">
        <f t="array" ref="H462">_xlfn.XLOOKUP(A462,'Video Database'!L:L,'Video Database'!A:A,"")</f>
        <v>46190</v>
      </c>
      <c r="I462" s="103">
        <v>46201.0</v>
      </c>
      <c r="J462" s="104">
        <v>4.14</v>
      </c>
      <c r="K462" s="87">
        <v>2.0</v>
      </c>
      <c r="L462" s="105">
        <f t="shared" si="1"/>
        <v>800</v>
      </c>
      <c r="M462" s="87">
        <v>800.0</v>
      </c>
      <c r="O462" s="106">
        <f t="shared" si="2"/>
        <v>0.0025</v>
      </c>
      <c r="P462" s="106">
        <f t="shared" si="3"/>
        <v>0.5</v>
      </c>
      <c r="Q462" s="84">
        <f t="shared" si="4"/>
        <v>4.14</v>
      </c>
      <c r="R462" s="84">
        <f t="shared" si="5"/>
        <v>17.71</v>
      </c>
      <c r="S462" s="107">
        <f t="shared" si="6"/>
        <v>4.03</v>
      </c>
      <c r="T462" s="108">
        <f t="shared" si="7"/>
        <v>36.63636364</v>
      </c>
      <c r="U462" s="106">
        <f t="shared" si="8"/>
        <v>0.9734299517</v>
      </c>
      <c r="V462" s="129">
        <f t="shared" si="9"/>
        <v>0.11</v>
      </c>
      <c r="W462" s="109">
        <f t="shared" si="10"/>
        <v>0.055</v>
      </c>
      <c r="X462" s="109">
        <f t="shared" si="11"/>
        <v>0.6211180124</v>
      </c>
      <c r="Y462" s="110" t="str">
        <f t="array" ref="Y462">_xlfn.XLOOKUP(A462,'Video Database'!L:L,'Video Database'!M:M,"")</f>
        <v>Product Overlay</v>
      </c>
    </row>
    <row r="463" ht="22.5" customHeight="1">
      <c r="A463" s="113">
        <f t="shared" si="12"/>
        <v>462</v>
      </c>
      <c r="B463" s="98" t="str">
        <f t="array" ref="B463">_xlfn.XLOOKUP(A463,'Video Database'!L:L,'Video Database'!D:D,"")</f>
        <v>Blakely</v>
      </c>
      <c r="C463" s="98" t="str">
        <f t="array" ref="C463">_xlfn.XLOOKUP(A463,'Video Database'!L:L,'Video Database'!E:E,"")</f>
        <v>Account 4</v>
      </c>
      <c r="D463" s="99" t="str">
        <f t="array" ref="D463">_xlfn.XLOOKUP(A463,'Video Database'!L:L,'Video Database'!G:G,"")</f>
        <v>Nello Supercalm Drink Mix</v>
      </c>
      <c r="E463" s="100">
        <f t="array" ref="E463">_xlfn.XLOOKUP(A463,'Video Database'!L:L,'Video Database'!H:H,"")</f>
        <v>0.11</v>
      </c>
      <c r="F463" s="101">
        <v>0.0</v>
      </c>
      <c r="G463" s="87">
        <v>0.0</v>
      </c>
      <c r="H463" s="114">
        <f t="array" ref="H463">_xlfn.XLOOKUP(A463,'Video Database'!L:L,'Video Database'!A:A,"")</f>
        <v>46190</v>
      </c>
      <c r="I463" s="103">
        <v>46201.0</v>
      </c>
      <c r="J463" s="104">
        <v>0.0</v>
      </c>
      <c r="K463" s="105"/>
      <c r="L463" s="105" t="str">
        <f t="shared" si="1"/>
        <v/>
      </c>
      <c r="O463" s="106" t="str">
        <f t="shared" si="2"/>
        <v>#N/A</v>
      </c>
      <c r="P463" s="106" t="str">
        <f t="shared" si="3"/>
        <v>#N/A</v>
      </c>
      <c r="Q463" s="84" t="str">
        <f t="shared" si="4"/>
        <v>#N/A</v>
      </c>
      <c r="R463" s="84" t="str">
        <f t="shared" si="5"/>
        <v>#N/A</v>
      </c>
      <c r="S463" s="107">
        <f t="shared" si="6"/>
        <v>-0.11</v>
      </c>
      <c r="T463" s="108">
        <f t="shared" si="7"/>
        <v>-1</v>
      </c>
      <c r="U463" s="106" t="str">
        <f t="shared" si="8"/>
        <v>#N/A</v>
      </c>
      <c r="V463" s="84" t="str">
        <f t="shared" si="9"/>
        <v/>
      </c>
      <c r="W463" s="109" t="str">
        <f t="shared" si="10"/>
        <v/>
      </c>
      <c r="X463" s="109" t="str">
        <f t="shared" si="11"/>
        <v/>
      </c>
      <c r="Y463" s="110" t="str">
        <f t="array" ref="Y463">_xlfn.XLOOKUP(A463,'Video Database'!L:L,'Video Database'!M:M,"")</f>
        <v>Product Overlay</v>
      </c>
    </row>
    <row r="464" ht="22.5" customHeight="1">
      <c r="A464" s="113">
        <f t="shared" si="12"/>
        <v>463</v>
      </c>
      <c r="B464" s="98" t="str">
        <f t="array" ref="B464">_xlfn.XLOOKUP(A464,'Video Database'!L:L,'Video Database'!D:D,"")</f>
        <v>Blakely</v>
      </c>
      <c r="C464" s="98" t="str">
        <f t="array" ref="C464">_xlfn.XLOOKUP(A464,'Video Database'!L:L,'Video Database'!E:E,"")</f>
        <v>Account 4</v>
      </c>
      <c r="D464" s="99" t="str">
        <f t="array" ref="D464">_xlfn.XLOOKUP(A464,'Video Database'!L:L,'Video Database'!G:G,"")</f>
        <v>Clip Light</v>
      </c>
      <c r="E464" s="100">
        <f t="array" ref="E464">_xlfn.XLOOKUP(A464,'Video Database'!L:L,'Video Database'!H:H,"")</f>
        <v>0.11</v>
      </c>
      <c r="F464" s="101">
        <v>0.0</v>
      </c>
      <c r="G464" s="87">
        <v>0.0</v>
      </c>
      <c r="H464" s="114">
        <f t="array" ref="H464">_xlfn.XLOOKUP(A464,'Video Database'!L:L,'Video Database'!A:A,"")</f>
        <v>46190</v>
      </c>
      <c r="I464" s="103">
        <v>46201.0</v>
      </c>
      <c r="J464" s="104">
        <v>0.0</v>
      </c>
      <c r="K464" s="105"/>
      <c r="L464" s="105" t="str">
        <f t="shared" si="1"/>
        <v/>
      </c>
      <c r="O464" s="106" t="str">
        <f t="shared" si="2"/>
        <v>#N/A</v>
      </c>
      <c r="P464" s="106" t="str">
        <f t="shared" si="3"/>
        <v>#N/A</v>
      </c>
      <c r="Q464" s="84" t="str">
        <f t="shared" si="4"/>
        <v>#N/A</v>
      </c>
      <c r="R464" s="84" t="str">
        <f t="shared" si="5"/>
        <v>#N/A</v>
      </c>
      <c r="S464" s="107">
        <f t="shared" si="6"/>
        <v>-0.11</v>
      </c>
      <c r="T464" s="108">
        <f t="shared" si="7"/>
        <v>-1</v>
      </c>
      <c r="U464" s="106" t="str">
        <f t="shared" si="8"/>
        <v>#N/A</v>
      </c>
      <c r="V464" s="84" t="str">
        <f t="shared" si="9"/>
        <v/>
      </c>
      <c r="W464" s="109" t="str">
        <f t="shared" si="10"/>
        <v/>
      </c>
      <c r="X464" s="109" t="str">
        <f t="shared" si="11"/>
        <v/>
      </c>
      <c r="Y464" s="110" t="str">
        <f t="array" ref="Y464">_xlfn.XLOOKUP(A464,'Video Database'!L:L,'Video Database'!M:M,"")</f>
        <v>Product Overlay</v>
      </c>
    </row>
    <row r="465" ht="22.5" customHeight="1">
      <c r="A465" s="113">
        <f t="shared" si="12"/>
        <v>464</v>
      </c>
      <c r="B465" s="98" t="str">
        <f t="array" ref="B465">_xlfn.XLOOKUP(A465,'Video Database'!L:L,'Video Database'!D:D,"")</f>
        <v>Sierra</v>
      </c>
      <c r="C465" s="98" t="str">
        <f t="array" ref="C465">_xlfn.XLOOKUP(A465,'Video Database'!L:L,'Video Database'!E:E,"")</f>
        <v>Account 1</v>
      </c>
      <c r="D465" s="99" t="str">
        <f t="array" ref="D465">_xlfn.XLOOKUP(A465,'Video Database'!L:L,'Video Database'!G:G,"")</f>
        <v>SKIN1004 Hyla-Cica Water Fit Sunscreen</v>
      </c>
      <c r="E465" s="100">
        <f t="array" ref="E465">_xlfn.XLOOKUP(A465,'Video Database'!L:L,'Video Database'!H:H,"")</f>
        <v>1.1</v>
      </c>
      <c r="F465" s="101">
        <v>0.0</v>
      </c>
      <c r="G465" s="87">
        <v>0.0</v>
      </c>
      <c r="H465" s="114">
        <f t="array" ref="H465">_xlfn.XLOOKUP(A465,'Video Database'!L:L,'Video Database'!A:A,"")</f>
        <v>46191</v>
      </c>
      <c r="I465" s="103">
        <v>46201.0</v>
      </c>
      <c r="J465" s="104">
        <v>0.0</v>
      </c>
      <c r="K465" s="105"/>
      <c r="L465" s="105" t="str">
        <f t="shared" si="1"/>
        <v/>
      </c>
      <c r="O465" s="106" t="str">
        <f t="shared" si="2"/>
        <v>#N/A</v>
      </c>
      <c r="P465" s="106" t="str">
        <f t="shared" si="3"/>
        <v>#N/A</v>
      </c>
      <c r="Q465" s="84" t="str">
        <f t="shared" si="4"/>
        <v>#N/A</v>
      </c>
      <c r="R465" s="84" t="str">
        <f t="shared" si="5"/>
        <v>#N/A</v>
      </c>
      <c r="S465" s="107">
        <f t="shared" si="6"/>
        <v>-1.1</v>
      </c>
      <c r="T465" s="108">
        <f t="shared" si="7"/>
        <v>-1</v>
      </c>
      <c r="U465" s="106" t="str">
        <f t="shared" si="8"/>
        <v>#N/A</v>
      </c>
      <c r="V465" s="84" t="str">
        <f t="shared" si="9"/>
        <v/>
      </c>
      <c r="W465" s="109" t="str">
        <f t="shared" si="10"/>
        <v/>
      </c>
      <c r="X465" s="109" t="str">
        <f t="shared" si="11"/>
        <v/>
      </c>
      <c r="Y465" s="110" t="str">
        <f t="array" ref="Y465">_xlfn.XLOOKUP(A465,'Video Database'!L:L,'Video Database'!M:M,"")</f>
        <v>Middle of Funnel</v>
      </c>
    </row>
    <row r="466" ht="22.5" customHeight="1">
      <c r="A466" s="113">
        <f t="shared" si="12"/>
        <v>465</v>
      </c>
      <c r="B466" s="98" t="str">
        <f t="array" ref="B466">_xlfn.XLOOKUP(A466,'Video Database'!L:L,'Video Database'!D:D,"")</f>
        <v>Erin</v>
      </c>
      <c r="C466" s="98" t="str">
        <f t="array" ref="C466">_xlfn.XLOOKUP(A466,'Video Database'!L:L,'Video Database'!E:E,"")</f>
        <v>Account 1</v>
      </c>
      <c r="D466" s="99" t="str">
        <f t="array" ref="D466">_xlfn.XLOOKUP(A466,'Video Database'!L:L,'Video Database'!G:G,"")</f>
        <v>Peta Jane Self-Tan Starter Kit Medium</v>
      </c>
      <c r="E466" s="100">
        <f t="array" ref="E466">_xlfn.XLOOKUP(A466,'Video Database'!L:L,'Video Database'!H:H,"")</f>
        <v>1.1</v>
      </c>
      <c r="F466" s="101">
        <v>0.0</v>
      </c>
      <c r="G466" s="87">
        <v>0.0</v>
      </c>
      <c r="H466" s="114">
        <f t="array" ref="H466">_xlfn.XLOOKUP(A466,'Video Database'!L:L,'Video Database'!A:A,"")</f>
        <v>46191</v>
      </c>
      <c r="I466" s="103">
        <v>46201.0</v>
      </c>
      <c r="J466" s="104">
        <v>0.0</v>
      </c>
      <c r="K466" s="105"/>
      <c r="L466" s="105" t="str">
        <f t="shared" si="1"/>
        <v/>
      </c>
      <c r="O466" s="106" t="str">
        <f t="shared" si="2"/>
        <v>#N/A</v>
      </c>
      <c r="P466" s="106" t="str">
        <f t="shared" si="3"/>
        <v>#N/A</v>
      </c>
      <c r="Q466" s="84" t="str">
        <f t="shared" si="4"/>
        <v>#N/A</v>
      </c>
      <c r="R466" s="84" t="str">
        <f t="shared" si="5"/>
        <v>#N/A</v>
      </c>
      <c r="S466" s="107">
        <f t="shared" si="6"/>
        <v>-1.1</v>
      </c>
      <c r="T466" s="108">
        <f t="shared" si="7"/>
        <v>-1</v>
      </c>
      <c r="U466" s="106" t="str">
        <f t="shared" si="8"/>
        <v>#N/A</v>
      </c>
      <c r="V466" s="84" t="str">
        <f t="shared" si="9"/>
        <v/>
      </c>
      <c r="W466" s="109" t="str">
        <f t="shared" si="10"/>
        <v/>
      </c>
      <c r="X466" s="109" t="str">
        <f t="shared" si="11"/>
        <v/>
      </c>
      <c r="Y466" s="110" t="str">
        <f t="array" ref="Y466">_xlfn.XLOOKUP(A466,'Video Database'!L:L,'Video Database'!M:M,"")</f>
        <v>Bottom of Funnel</v>
      </c>
    </row>
    <row r="467" ht="22.5" customHeight="1">
      <c r="A467" s="113">
        <f t="shared" si="12"/>
        <v>466</v>
      </c>
      <c r="B467" s="98" t="str">
        <f t="array" ref="B467">_xlfn.XLOOKUP(A467,'Video Database'!L:L,'Video Database'!D:D,"")</f>
        <v>Blakely</v>
      </c>
      <c r="C467" s="98" t="str">
        <f t="array" ref="C467">_xlfn.XLOOKUP(A467,'Video Database'!L:L,'Video Database'!E:E,"")</f>
        <v>Account 1</v>
      </c>
      <c r="D467" s="99" t="str">
        <f t="array" ref="D467">_xlfn.XLOOKUP(A467,'Video Database'!L:L,'Video Database'!G:G,"")</f>
        <v>Goli Women's Complete Multi Gummy</v>
      </c>
      <c r="E467" s="100">
        <f t="array" ref="E467">_xlfn.XLOOKUP(A467,'Video Database'!L:L,'Video Database'!H:H,"")</f>
        <v>0.11</v>
      </c>
      <c r="F467" s="101">
        <v>0.0</v>
      </c>
      <c r="G467" s="87">
        <v>0.0</v>
      </c>
      <c r="H467" s="114">
        <f t="array" ref="H467">_xlfn.XLOOKUP(A467,'Video Database'!L:L,'Video Database'!A:A,"")</f>
        <v>46191</v>
      </c>
      <c r="I467" s="103">
        <v>46201.0</v>
      </c>
      <c r="J467" s="104">
        <v>0.0</v>
      </c>
      <c r="K467" s="105"/>
      <c r="L467" s="105" t="str">
        <f t="shared" si="1"/>
        <v/>
      </c>
      <c r="O467" s="106" t="str">
        <f t="shared" si="2"/>
        <v>#N/A</v>
      </c>
      <c r="P467" s="106" t="str">
        <f t="shared" si="3"/>
        <v>#N/A</v>
      </c>
      <c r="Q467" s="84" t="str">
        <f t="shared" si="4"/>
        <v>#N/A</v>
      </c>
      <c r="R467" s="84" t="str">
        <f t="shared" si="5"/>
        <v>#N/A</v>
      </c>
      <c r="S467" s="107">
        <f t="shared" si="6"/>
        <v>-0.11</v>
      </c>
      <c r="T467" s="108">
        <f t="shared" si="7"/>
        <v>-1</v>
      </c>
      <c r="U467" s="106" t="str">
        <f t="shared" si="8"/>
        <v>#N/A</v>
      </c>
      <c r="V467" s="84" t="str">
        <f t="shared" si="9"/>
        <v/>
      </c>
      <c r="W467" s="109" t="str">
        <f t="shared" si="10"/>
        <v/>
      </c>
      <c r="X467" s="109" t="str">
        <f t="shared" si="11"/>
        <v/>
      </c>
      <c r="Y467" s="110" t="str">
        <f t="array" ref="Y467">_xlfn.XLOOKUP(A467,'Video Database'!L:L,'Video Database'!M:M,"")</f>
        <v>Product Overlay</v>
      </c>
    </row>
    <row r="468" ht="22.5" customHeight="1">
      <c r="A468" s="113">
        <f t="shared" si="12"/>
        <v>467</v>
      </c>
      <c r="B468" s="98" t="str">
        <f t="array" ref="B468">_xlfn.XLOOKUP(A468,'Video Database'!L:L,'Video Database'!D:D,"")</f>
        <v>Blakely</v>
      </c>
      <c r="C468" s="98" t="str">
        <f t="array" ref="C468">_xlfn.XLOOKUP(A468,'Video Database'!L:L,'Video Database'!E:E,"")</f>
        <v>Account 1</v>
      </c>
      <c r="D468" s="99" t="str">
        <f t="array" ref="D468">_xlfn.XLOOKUP(A468,'Video Database'!L:L,'Video Database'!G:G,"")</f>
        <v>Bracelet - Silver Bracelet Bundle</v>
      </c>
      <c r="E468" s="100">
        <f t="array" ref="E468">_xlfn.XLOOKUP(A468,'Video Database'!L:L,'Video Database'!H:H,"")</f>
        <v>0.11</v>
      </c>
      <c r="F468" s="101">
        <v>0.0</v>
      </c>
      <c r="G468" s="87">
        <v>0.0</v>
      </c>
      <c r="H468" s="114">
        <f t="array" ref="H468">_xlfn.XLOOKUP(A468,'Video Database'!L:L,'Video Database'!A:A,"")</f>
        <v>46191</v>
      </c>
      <c r="I468" s="103">
        <v>46201.0</v>
      </c>
      <c r="J468" s="104">
        <v>0.0</v>
      </c>
      <c r="K468" s="105"/>
      <c r="L468" s="105" t="str">
        <f t="shared" si="1"/>
        <v/>
      </c>
      <c r="O468" s="106" t="str">
        <f t="shared" si="2"/>
        <v>#N/A</v>
      </c>
      <c r="P468" s="106" t="str">
        <f t="shared" si="3"/>
        <v>#N/A</v>
      </c>
      <c r="Q468" s="84" t="str">
        <f t="shared" si="4"/>
        <v>#N/A</v>
      </c>
      <c r="R468" s="84" t="str">
        <f t="shared" si="5"/>
        <v>#N/A</v>
      </c>
      <c r="S468" s="107">
        <f t="shared" si="6"/>
        <v>-0.11</v>
      </c>
      <c r="T468" s="108">
        <f t="shared" si="7"/>
        <v>-1</v>
      </c>
      <c r="U468" s="106" t="str">
        <f t="shared" si="8"/>
        <v>#N/A</v>
      </c>
      <c r="V468" s="84" t="str">
        <f t="shared" si="9"/>
        <v/>
      </c>
      <c r="W468" s="109" t="str">
        <f t="shared" si="10"/>
        <v/>
      </c>
      <c r="X468" s="109" t="str">
        <f t="shared" si="11"/>
        <v/>
      </c>
      <c r="Y468" s="110" t="str">
        <f t="array" ref="Y468">_xlfn.XLOOKUP(A468,'Video Database'!L:L,'Video Database'!M:M,"")</f>
        <v>Product Overlay</v>
      </c>
    </row>
    <row r="469" ht="22.5" customHeight="1">
      <c r="A469" s="113">
        <f t="shared" si="12"/>
        <v>468</v>
      </c>
      <c r="B469" s="98" t="str">
        <f t="array" ref="B469">_xlfn.XLOOKUP(A469,'Video Database'!L:L,'Video Database'!D:D,"")</f>
        <v>Blakely</v>
      </c>
      <c r="C469" s="98" t="str">
        <f t="array" ref="C469">_xlfn.XLOOKUP(A469,'Video Database'!L:L,'Video Database'!E:E,"")</f>
        <v>Account 1</v>
      </c>
      <c r="D469" s="99" t="str">
        <f t="array" ref="D469">_xlfn.XLOOKUP(A469,'Video Database'!L:L,'Video Database'!G:G,"")</f>
        <v>COSRX US The Copper Peptide Serum</v>
      </c>
      <c r="E469" s="100">
        <f t="array" ref="E469">_xlfn.XLOOKUP(A469,'Video Database'!L:L,'Video Database'!H:H,"")</f>
        <v>0.11</v>
      </c>
      <c r="F469" s="101">
        <v>0.0</v>
      </c>
      <c r="G469" s="87">
        <v>0.0</v>
      </c>
      <c r="H469" s="114">
        <f t="array" ref="H469">_xlfn.XLOOKUP(A469,'Video Database'!L:L,'Video Database'!A:A,"")</f>
        <v>46191</v>
      </c>
      <c r="I469" s="103">
        <v>46201.0</v>
      </c>
      <c r="J469" s="104">
        <v>0.0</v>
      </c>
      <c r="K469" s="105"/>
      <c r="L469" s="105" t="str">
        <f t="shared" si="1"/>
        <v/>
      </c>
      <c r="O469" s="106" t="str">
        <f t="shared" si="2"/>
        <v>#N/A</v>
      </c>
      <c r="P469" s="106" t="str">
        <f t="shared" si="3"/>
        <v>#N/A</v>
      </c>
      <c r="Q469" s="84" t="str">
        <f t="shared" si="4"/>
        <v>#N/A</v>
      </c>
      <c r="R469" s="84" t="str">
        <f t="shared" si="5"/>
        <v>#N/A</v>
      </c>
      <c r="S469" s="107">
        <f t="shared" si="6"/>
        <v>-0.11</v>
      </c>
      <c r="T469" s="108">
        <f t="shared" si="7"/>
        <v>-1</v>
      </c>
      <c r="U469" s="106" t="str">
        <f t="shared" si="8"/>
        <v>#N/A</v>
      </c>
      <c r="V469" s="84" t="str">
        <f t="shared" si="9"/>
        <v/>
      </c>
      <c r="W469" s="109" t="str">
        <f t="shared" si="10"/>
        <v/>
      </c>
      <c r="X469" s="109" t="str">
        <f t="shared" si="11"/>
        <v/>
      </c>
      <c r="Y469" s="110" t="str">
        <f t="array" ref="Y469">_xlfn.XLOOKUP(A469,'Video Database'!L:L,'Video Database'!M:M,"")</f>
        <v>Product Overlay</v>
      </c>
    </row>
    <row r="470" ht="22.5" customHeight="1">
      <c r="A470" s="113">
        <f t="shared" si="12"/>
        <v>469</v>
      </c>
      <c r="B470" s="98" t="str">
        <f t="array" ref="B470">_xlfn.XLOOKUP(A470,'Video Database'!L:L,'Video Database'!D:D,"")</f>
        <v>Blakely</v>
      </c>
      <c r="C470" s="98" t="str">
        <f t="array" ref="C470">_xlfn.XLOOKUP(A470,'Video Database'!L:L,'Video Database'!E:E,"")</f>
        <v>Account 1</v>
      </c>
      <c r="D470" s="99" t="str">
        <f t="array" ref="D470">_xlfn.XLOOKUP(A470,'Video Database'!L:L,'Video Database'!G:G,"")</f>
        <v>Shirts - Can't Wait to Gamble Today</v>
      </c>
      <c r="E470" s="100">
        <f t="array" ref="E470">_xlfn.XLOOKUP(A470,'Video Database'!L:L,'Video Database'!H:H,"")</f>
        <v>0.11</v>
      </c>
      <c r="F470" s="101">
        <v>0.0</v>
      </c>
      <c r="G470" s="87">
        <v>0.0</v>
      </c>
      <c r="H470" s="114">
        <f t="array" ref="H470">_xlfn.XLOOKUP(A470,'Video Database'!L:L,'Video Database'!A:A,"")</f>
        <v>46191</v>
      </c>
      <c r="I470" s="103">
        <v>46201.0</v>
      </c>
      <c r="J470" s="104">
        <v>0.0</v>
      </c>
      <c r="K470" s="105"/>
      <c r="L470" s="105" t="str">
        <f t="shared" si="1"/>
        <v/>
      </c>
      <c r="O470" s="106" t="str">
        <f t="shared" si="2"/>
        <v>#N/A</v>
      </c>
      <c r="P470" s="106" t="str">
        <f t="shared" si="3"/>
        <v>#N/A</v>
      </c>
      <c r="Q470" s="84" t="str">
        <f t="shared" si="4"/>
        <v>#N/A</v>
      </c>
      <c r="R470" s="84" t="str">
        <f t="shared" si="5"/>
        <v>#N/A</v>
      </c>
      <c r="S470" s="107">
        <f t="shared" si="6"/>
        <v>-0.11</v>
      </c>
      <c r="T470" s="108">
        <f t="shared" si="7"/>
        <v>-1</v>
      </c>
      <c r="U470" s="106" t="str">
        <f t="shared" si="8"/>
        <v>#N/A</v>
      </c>
      <c r="V470" s="84" t="str">
        <f t="shared" si="9"/>
        <v/>
      </c>
      <c r="W470" s="109" t="str">
        <f t="shared" si="10"/>
        <v/>
      </c>
      <c r="X470" s="109" t="str">
        <f t="shared" si="11"/>
        <v/>
      </c>
      <c r="Y470" s="110" t="str">
        <f t="array" ref="Y470">_xlfn.XLOOKUP(A470,'Video Database'!L:L,'Video Database'!M:M,"")</f>
        <v>Product Overlay</v>
      </c>
    </row>
    <row r="471" ht="22.5" customHeight="1">
      <c r="A471" s="113">
        <f t="shared" si="12"/>
        <v>470</v>
      </c>
      <c r="B471" s="98" t="str">
        <f t="array" ref="B471">_xlfn.XLOOKUP(A471,'Video Database'!L:L,'Video Database'!D:D,"")</f>
        <v>Blakely</v>
      </c>
      <c r="C471" s="98" t="str">
        <f t="array" ref="C471">_xlfn.XLOOKUP(A471,'Video Database'!L:L,'Video Database'!E:E,"")</f>
        <v>Account 1</v>
      </c>
      <c r="D471" s="99" t="str">
        <f t="array" ref="D471">_xlfn.XLOOKUP(A471,'Video Database'!L:L,'Video Database'!G:G,"")</f>
        <v>BetterAlt All-in-one supplement</v>
      </c>
      <c r="E471" s="100">
        <f t="array" ref="E471">_xlfn.XLOOKUP(A471,'Video Database'!L:L,'Video Database'!H:H,"")</f>
        <v>0.11</v>
      </c>
      <c r="F471" s="101">
        <v>0.0</v>
      </c>
      <c r="G471" s="87">
        <v>0.0</v>
      </c>
      <c r="H471" s="114">
        <f t="array" ref="H471">_xlfn.XLOOKUP(A471,'Video Database'!L:L,'Video Database'!A:A,"")</f>
        <v>46191</v>
      </c>
      <c r="I471" s="103">
        <v>46201.0</v>
      </c>
      <c r="J471" s="104">
        <v>0.0</v>
      </c>
      <c r="K471" s="105"/>
      <c r="L471" s="105" t="str">
        <f t="shared" si="1"/>
        <v/>
      </c>
      <c r="O471" s="106" t="str">
        <f t="shared" si="2"/>
        <v>#N/A</v>
      </c>
      <c r="P471" s="106" t="str">
        <f t="shared" si="3"/>
        <v>#N/A</v>
      </c>
      <c r="Q471" s="84" t="str">
        <f t="shared" si="4"/>
        <v>#N/A</v>
      </c>
      <c r="R471" s="84" t="str">
        <f t="shared" si="5"/>
        <v>#N/A</v>
      </c>
      <c r="S471" s="107">
        <f t="shared" si="6"/>
        <v>-0.11</v>
      </c>
      <c r="T471" s="108">
        <f t="shared" si="7"/>
        <v>-1</v>
      </c>
      <c r="U471" s="106" t="str">
        <f t="shared" si="8"/>
        <v>#N/A</v>
      </c>
      <c r="V471" s="84" t="str">
        <f t="shared" si="9"/>
        <v/>
      </c>
      <c r="W471" s="109" t="str">
        <f t="shared" si="10"/>
        <v/>
      </c>
      <c r="X471" s="109" t="str">
        <f t="shared" si="11"/>
        <v/>
      </c>
      <c r="Y471" s="110" t="str">
        <f t="array" ref="Y471">_xlfn.XLOOKUP(A471,'Video Database'!L:L,'Video Database'!M:M,"")</f>
        <v>Product Overlay</v>
      </c>
    </row>
    <row r="472" ht="22.5" customHeight="1">
      <c r="A472" s="113">
        <f t="shared" si="12"/>
        <v>471</v>
      </c>
      <c r="B472" s="98" t="str">
        <f t="array" ref="B472">_xlfn.XLOOKUP(A472,'Video Database'!L:L,'Video Database'!D:D,"")</f>
        <v>Blakely</v>
      </c>
      <c r="C472" s="98" t="str">
        <f t="array" ref="C472">_xlfn.XLOOKUP(A472,'Video Database'!L:L,'Video Database'!E:E,"")</f>
        <v>Account 1</v>
      </c>
      <c r="D472" s="99" t="str">
        <f t="array" ref="D472">_xlfn.XLOOKUP(A472,'Video Database'!L:L,'Video Database'!G:G,"")</f>
        <v>ForestLeaf Grassfed Beef Liver</v>
      </c>
      <c r="E472" s="100">
        <f t="array" ref="E472">_xlfn.XLOOKUP(A472,'Video Database'!L:L,'Video Database'!H:H,"")</f>
        <v>0.11</v>
      </c>
      <c r="F472" s="101">
        <v>0.0</v>
      </c>
      <c r="G472" s="87">
        <v>0.0</v>
      </c>
      <c r="H472" s="114">
        <f t="array" ref="H472">_xlfn.XLOOKUP(A472,'Video Database'!L:L,'Video Database'!A:A,"")</f>
        <v>46191</v>
      </c>
      <c r="I472" s="103">
        <v>46201.0</v>
      </c>
      <c r="J472" s="104">
        <v>0.0</v>
      </c>
      <c r="K472" s="105"/>
      <c r="L472" s="105" t="str">
        <f t="shared" si="1"/>
        <v/>
      </c>
      <c r="O472" s="106" t="str">
        <f t="shared" si="2"/>
        <v>#N/A</v>
      </c>
      <c r="P472" s="106" t="str">
        <f t="shared" si="3"/>
        <v>#N/A</v>
      </c>
      <c r="Q472" s="84" t="str">
        <f t="shared" si="4"/>
        <v>#N/A</v>
      </c>
      <c r="R472" s="84" t="str">
        <f t="shared" si="5"/>
        <v>#N/A</v>
      </c>
      <c r="S472" s="107">
        <f t="shared" si="6"/>
        <v>-0.11</v>
      </c>
      <c r="T472" s="108">
        <f t="shared" si="7"/>
        <v>-1</v>
      </c>
      <c r="U472" s="106" t="str">
        <f t="shared" si="8"/>
        <v>#N/A</v>
      </c>
      <c r="V472" s="84" t="str">
        <f t="shared" si="9"/>
        <v/>
      </c>
      <c r="W472" s="109" t="str">
        <f t="shared" si="10"/>
        <v/>
      </c>
      <c r="X472" s="109" t="str">
        <f t="shared" si="11"/>
        <v/>
      </c>
      <c r="Y472" s="110" t="str">
        <f t="array" ref="Y472">_xlfn.XLOOKUP(A472,'Video Database'!L:L,'Video Database'!M:M,"")</f>
        <v>Product Overlay</v>
      </c>
    </row>
    <row r="473" ht="22.5" customHeight="1">
      <c r="A473" s="113">
        <f t="shared" si="12"/>
        <v>472</v>
      </c>
      <c r="B473" s="98" t="str">
        <f t="array" ref="B473">_xlfn.XLOOKUP(A473,'Video Database'!L:L,'Video Database'!D:D,"")</f>
        <v>Blakely</v>
      </c>
      <c r="C473" s="98" t="str">
        <f t="array" ref="C473">_xlfn.XLOOKUP(A473,'Video Database'!L:L,'Video Database'!E:E,"")</f>
        <v>Account 1</v>
      </c>
      <c r="D473" s="99" t="str">
        <f t="array" ref="D473">_xlfn.XLOOKUP(A473,'Video Database'!L:L,'Video Database'!G:G,"")</f>
        <v>Goli Women's Complete Multi Gummy</v>
      </c>
      <c r="E473" s="100">
        <f t="array" ref="E473">_xlfn.XLOOKUP(A473,'Video Database'!L:L,'Video Database'!H:H,"")</f>
        <v>0.11</v>
      </c>
      <c r="F473" s="101">
        <v>0.0</v>
      </c>
      <c r="G473" s="87">
        <v>0.0</v>
      </c>
      <c r="H473" s="114">
        <f t="array" ref="H473">_xlfn.XLOOKUP(A473,'Video Database'!L:L,'Video Database'!A:A,"")</f>
        <v>46191</v>
      </c>
      <c r="I473" s="103">
        <v>46201.0</v>
      </c>
      <c r="J473" s="104">
        <v>0.0</v>
      </c>
      <c r="K473" s="105"/>
      <c r="L473" s="105" t="str">
        <f t="shared" si="1"/>
        <v/>
      </c>
      <c r="O473" s="106" t="str">
        <f t="shared" si="2"/>
        <v>#N/A</v>
      </c>
      <c r="P473" s="106" t="str">
        <f t="shared" si="3"/>
        <v>#N/A</v>
      </c>
      <c r="Q473" s="84" t="str">
        <f t="shared" si="4"/>
        <v>#N/A</v>
      </c>
      <c r="R473" s="84" t="str">
        <f t="shared" si="5"/>
        <v>#N/A</v>
      </c>
      <c r="S473" s="107">
        <f t="shared" si="6"/>
        <v>-0.11</v>
      </c>
      <c r="T473" s="108">
        <f t="shared" si="7"/>
        <v>-1</v>
      </c>
      <c r="U473" s="106" t="str">
        <f t="shared" si="8"/>
        <v>#N/A</v>
      </c>
      <c r="V473" s="84" t="str">
        <f t="shared" si="9"/>
        <v/>
      </c>
      <c r="W473" s="109" t="str">
        <f t="shared" si="10"/>
        <v/>
      </c>
      <c r="X473" s="109" t="str">
        <f t="shared" si="11"/>
        <v/>
      </c>
      <c r="Y473" s="110" t="str">
        <f t="array" ref="Y473">_xlfn.XLOOKUP(A473,'Video Database'!L:L,'Video Database'!M:M,"")</f>
        <v>Product Overlay</v>
      </c>
    </row>
    <row r="474" ht="22.5" customHeight="1">
      <c r="A474" s="113">
        <f t="shared" si="12"/>
        <v>473</v>
      </c>
      <c r="B474" s="98" t="str">
        <f t="array" ref="B474">_xlfn.XLOOKUP(A474,'Video Database'!L:L,'Video Database'!D:D,"")</f>
        <v>Blakely</v>
      </c>
      <c r="C474" s="98" t="str">
        <f t="array" ref="C474">_xlfn.XLOOKUP(A474,'Video Database'!L:L,'Video Database'!E:E,"")</f>
        <v>Account 1</v>
      </c>
      <c r="D474" s="99" t="str">
        <f t="array" ref="D474">_xlfn.XLOOKUP(A474,'Video Database'!L:L,'Video Database'!G:G,"")</f>
        <v>Bracelet - Silver Bracelet Bundle</v>
      </c>
      <c r="E474" s="100">
        <f t="array" ref="E474">_xlfn.XLOOKUP(A474,'Video Database'!L:L,'Video Database'!H:H,"")</f>
        <v>0.11</v>
      </c>
      <c r="F474" s="101">
        <v>0.0</v>
      </c>
      <c r="G474" s="87">
        <v>0.0</v>
      </c>
      <c r="H474" s="114">
        <f t="array" ref="H474">_xlfn.XLOOKUP(A474,'Video Database'!L:L,'Video Database'!A:A,"")</f>
        <v>46191</v>
      </c>
      <c r="I474" s="103">
        <v>46201.0</v>
      </c>
      <c r="J474" s="104">
        <v>0.0</v>
      </c>
      <c r="K474" s="105"/>
      <c r="L474" s="105" t="str">
        <f t="shared" si="1"/>
        <v/>
      </c>
      <c r="O474" s="106" t="str">
        <f t="shared" si="2"/>
        <v>#N/A</v>
      </c>
      <c r="P474" s="106" t="str">
        <f t="shared" si="3"/>
        <v>#N/A</v>
      </c>
      <c r="Q474" s="84" t="str">
        <f t="shared" si="4"/>
        <v>#N/A</v>
      </c>
      <c r="R474" s="84" t="str">
        <f t="shared" si="5"/>
        <v>#N/A</v>
      </c>
      <c r="S474" s="107">
        <f t="shared" si="6"/>
        <v>-0.11</v>
      </c>
      <c r="T474" s="108">
        <f t="shared" si="7"/>
        <v>-1</v>
      </c>
      <c r="U474" s="106" t="str">
        <f t="shared" si="8"/>
        <v>#N/A</v>
      </c>
      <c r="V474" s="84" t="str">
        <f t="shared" si="9"/>
        <v/>
      </c>
      <c r="W474" s="109" t="str">
        <f t="shared" si="10"/>
        <v/>
      </c>
      <c r="X474" s="109" t="str">
        <f t="shared" si="11"/>
        <v/>
      </c>
      <c r="Y474" s="110" t="str">
        <f t="array" ref="Y474">_xlfn.XLOOKUP(A474,'Video Database'!L:L,'Video Database'!M:M,"")</f>
        <v>Product Overlay</v>
      </c>
    </row>
    <row r="475" ht="22.5" customHeight="1">
      <c r="A475" s="113">
        <f t="shared" si="12"/>
        <v>474</v>
      </c>
      <c r="B475" s="98" t="str">
        <f t="array" ref="B475">_xlfn.XLOOKUP(A475,'Video Database'!L:L,'Video Database'!D:D,"")</f>
        <v>Blakely</v>
      </c>
      <c r="C475" s="98" t="str">
        <f t="array" ref="C475">_xlfn.XLOOKUP(A475,'Video Database'!L:L,'Video Database'!E:E,"")</f>
        <v>Account 1</v>
      </c>
      <c r="D475" s="99" t="str">
        <f t="array" ref="D475">_xlfn.XLOOKUP(A475,'Video Database'!L:L,'Video Database'!G:G,"")</f>
        <v>SNOW Diamond Tetth Whitening Strips</v>
      </c>
      <c r="E475" s="100">
        <f t="array" ref="E475">_xlfn.XLOOKUP(A475,'Video Database'!L:L,'Video Database'!H:H,"")</f>
        <v>0.11</v>
      </c>
      <c r="F475" s="101">
        <v>0.0</v>
      </c>
      <c r="G475" s="87">
        <v>0.0</v>
      </c>
      <c r="H475" s="114">
        <f t="array" ref="H475">_xlfn.XLOOKUP(A475,'Video Database'!L:L,'Video Database'!A:A,"")</f>
        <v>46191</v>
      </c>
      <c r="I475" s="103">
        <v>46201.0</v>
      </c>
      <c r="J475" s="104">
        <v>0.0</v>
      </c>
      <c r="K475" s="105"/>
      <c r="L475" s="105" t="str">
        <f t="shared" si="1"/>
        <v/>
      </c>
      <c r="O475" s="106" t="str">
        <f t="shared" si="2"/>
        <v>#N/A</v>
      </c>
      <c r="P475" s="106" t="str">
        <f t="shared" si="3"/>
        <v>#N/A</v>
      </c>
      <c r="Q475" s="84" t="str">
        <f t="shared" si="4"/>
        <v>#N/A</v>
      </c>
      <c r="R475" s="84" t="str">
        <f t="shared" si="5"/>
        <v>#N/A</v>
      </c>
      <c r="S475" s="107">
        <f t="shared" si="6"/>
        <v>-0.11</v>
      </c>
      <c r="T475" s="108">
        <f t="shared" si="7"/>
        <v>-1</v>
      </c>
      <c r="U475" s="106" t="str">
        <f t="shared" si="8"/>
        <v>#N/A</v>
      </c>
      <c r="V475" s="84" t="str">
        <f t="shared" si="9"/>
        <v/>
      </c>
      <c r="W475" s="109" t="str">
        <f t="shared" si="10"/>
        <v/>
      </c>
      <c r="X475" s="109" t="str">
        <f t="shared" si="11"/>
        <v/>
      </c>
      <c r="Y475" s="110" t="str">
        <f t="array" ref="Y475">_xlfn.XLOOKUP(A475,'Video Database'!L:L,'Video Database'!M:M,"")</f>
        <v>Product Overlay</v>
      </c>
    </row>
    <row r="476" ht="22.5" customHeight="1">
      <c r="A476" s="113">
        <f t="shared" si="12"/>
        <v>475</v>
      </c>
      <c r="B476" s="98" t="str">
        <f t="array" ref="B476">_xlfn.XLOOKUP(A476,'Video Database'!L:L,'Video Database'!D:D,"")</f>
        <v>Blakely</v>
      </c>
      <c r="C476" s="98" t="str">
        <f t="array" ref="C476">_xlfn.XLOOKUP(A476,'Video Database'!L:L,'Video Database'!E:E,"")</f>
        <v>Account 1</v>
      </c>
      <c r="D476" s="99" t="str">
        <f t="array" ref="D476">_xlfn.XLOOKUP(A476,'Video Database'!L:L,'Video Database'!G:G,"")</f>
        <v>ForestLeaf Grassfed Beef Liver</v>
      </c>
      <c r="E476" s="100">
        <f t="array" ref="E476">_xlfn.XLOOKUP(A476,'Video Database'!L:L,'Video Database'!H:H,"")</f>
        <v>0.11</v>
      </c>
      <c r="F476" s="101">
        <v>0.0</v>
      </c>
      <c r="G476" s="87">
        <v>0.0</v>
      </c>
      <c r="H476" s="114">
        <f t="array" ref="H476">_xlfn.XLOOKUP(A476,'Video Database'!L:L,'Video Database'!A:A,"")</f>
        <v>46191</v>
      </c>
      <c r="I476" s="103">
        <v>46201.0</v>
      </c>
      <c r="J476" s="104">
        <v>0.0</v>
      </c>
      <c r="K476" s="105"/>
      <c r="L476" s="105" t="str">
        <f t="shared" si="1"/>
        <v/>
      </c>
      <c r="O476" s="106" t="str">
        <f t="shared" si="2"/>
        <v>#N/A</v>
      </c>
      <c r="P476" s="106" t="str">
        <f t="shared" si="3"/>
        <v>#N/A</v>
      </c>
      <c r="Q476" s="84" t="str">
        <f t="shared" si="4"/>
        <v>#N/A</v>
      </c>
      <c r="R476" s="84" t="str">
        <f t="shared" si="5"/>
        <v>#N/A</v>
      </c>
      <c r="S476" s="107">
        <f t="shared" si="6"/>
        <v>-0.11</v>
      </c>
      <c r="T476" s="108">
        <f t="shared" si="7"/>
        <v>-1</v>
      </c>
      <c r="U476" s="106" t="str">
        <f t="shared" si="8"/>
        <v>#N/A</v>
      </c>
      <c r="V476" s="84" t="str">
        <f t="shared" si="9"/>
        <v/>
      </c>
      <c r="W476" s="109" t="str">
        <f t="shared" si="10"/>
        <v/>
      </c>
      <c r="X476" s="109" t="str">
        <f t="shared" si="11"/>
        <v/>
      </c>
      <c r="Y476" s="110" t="str">
        <f t="array" ref="Y476">_xlfn.XLOOKUP(A476,'Video Database'!L:L,'Video Database'!M:M,"")</f>
        <v>Product Overlay</v>
      </c>
    </row>
    <row r="477" ht="22.5" customHeight="1">
      <c r="A477" s="113">
        <f t="shared" si="12"/>
        <v>476</v>
      </c>
      <c r="B477" s="98" t="str">
        <f t="array" ref="B477">_xlfn.XLOOKUP(A477,'Video Database'!L:L,'Video Database'!D:D,"")</f>
        <v>Blakely</v>
      </c>
      <c r="C477" s="98" t="str">
        <f t="array" ref="C477">_xlfn.XLOOKUP(A477,'Video Database'!L:L,'Video Database'!E:E,"")</f>
        <v>Account 1</v>
      </c>
      <c r="D477" s="99" t="str">
        <f t="array" ref="D477">_xlfn.XLOOKUP(A477,'Video Database'!L:L,'Video Database'!G:G,"")</f>
        <v>BioEmblem Magnesium</v>
      </c>
      <c r="E477" s="100">
        <f t="array" ref="E477">_xlfn.XLOOKUP(A477,'Video Database'!L:L,'Video Database'!H:H,"")</f>
        <v>0.11</v>
      </c>
      <c r="F477" s="101">
        <v>0.0</v>
      </c>
      <c r="G477" s="87">
        <v>0.0</v>
      </c>
      <c r="H477" s="114">
        <f t="array" ref="H477">_xlfn.XLOOKUP(A477,'Video Database'!L:L,'Video Database'!A:A,"")</f>
        <v>46191</v>
      </c>
      <c r="I477" s="103">
        <v>46201.0</v>
      </c>
      <c r="J477" s="104">
        <v>0.0</v>
      </c>
      <c r="K477" s="105"/>
      <c r="L477" s="105" t="str">
        <f t="shared" si="1"/>
        <v/>
      </c>
      <c r="O477" s="106" t="str">
        <f t="shared" si="2"/>
        <v>#N/A</v>
      </c>
      <c r="P477" s="106" t="str">
        <f t="shared" si="3"/>
        <v>#N/A</v>
      </c>
      <c r="Q477" s="84" t="str">
        <f t="shared" si="4"/>
        <v>#N/A</v>
      </c>
      <c r="R477" s="84" t="str">
        <f t="shared" si="5"/>
        <v>#N/A</v>
      </c>
      <c r="S477" s="107">
        <f t="shared" si="6"/>
        <v>-0.11</v>
      </c>
      <c r="T477" s="108">
        <f t="shared" si="7"/>
        <v>-1</v>
      </c>
      <c r="U477" s="106" t="str">
        <f t="shared" si="8"/>
        <v>#N/A</v>
      </c>
      <c r="V477" s="84" t="str">
        <f t="shared" si="9"/>
        <v/>
      </c>
      <c r="W477" s="109" t="str">
        <f t="shared" si="10"/>
        <v/>
      </c>
      <c r="X477" s="109" t="str">
        <f t="shared" si="11"/>
        <v/>
      </c>
      <c r="Y477" s="110" t="str">
        <f t="array" ref="Y477">_xlfn.XLOOKUP(A477,'Video Database'!L:L,'Video Database'!M:M,"")</f>
        <v>Product Overlay</v>
      </c>
    </row>
    <row r="478" ht="22.5" customHeight="1">
      <c r="A478" s="113">
        <f t="shared" si="12"/>
        <v>477</v>
      </c>
      <c r="B478" s="98" t="str">
        <f t="array" ref="B478">_xlfn.XLOOKUP(A478,'Video Database'!L:L,'Video Database'!D:D,"")</f>
        <v>Blakely</v>
      </c>
      <c r="C478" s="98" t="str">
        <f t="array" ref="C478">_xlfn.XLOOKUP(A478,'Video Database'!L:L,'Video Database'!E:E,"")</f>
        <v>Account 1</v>
      </c>
      <c r="D478" s="99" t="str">
        <f t="array" ref="D478">_xlfn.XLOOKUP(A478,'Video Database'!L:L,'Video Database'!G:G,"")</f>
        <v>COSRX US The Copper Peptide Serum</v>
      </c>
      <c r="E478" s="100">
        <f t="array" ref="E478">_xlfn.XLOOKUP(A478,'Video Database'!L:L,'Video Database'!H:H,"")</f>
        <v>0.11</v>
      </c>
      <c r="F478" s="101">
        <v>0.0</v>
      </c>
      <c r="G478" s="87">
        <v>0.0</v>
      </c>
      <c r="H478" s="114">
        <f t="array" ref="H478">_xlfn.XLOOKUP(A478,'Video Database'!L:L,'Video Database'!A:A,"")</f>
        <v>46191</v>
      </c>
      <c r="I478" s="103">
        <v>46201.0</v>
      </c>
      <c r="J478" s="104">
        <v>0.0</v>
      </c>
      <c r="K478" s="105"/>
      <c r="L478" s="105" t="str">
        <f t="shared" si="1"/>
        <v/>
      </c>
      <c r="O478" s="106" t="str">
        <f t="shared" si="2"/>
        <v>#N/A</v>
      </c>
      <c r="P478" s="106" t="str">
        <f t="shared" si="3"/>
        <v>#N/A</v>
      </c>
      <c r="Q478" s="84" t="str">
        <f t="shared" si="4"/>
        <v>#N/A</v>
      </c>
      <c r="R478" s="84" t="str">
        <f t="shared" si="5"/>
        <v>#N/A</v>
      </c>
      <c r="S478" s="107">
        <f t="shared" si="6"/>
        <v>-0.11</v>
      </c>
      <c r="T478" s="108">
        <f t="shared" si="7"/>
        <v>-1</v>
      </c>
      <c r="U478" s="106" t="str">
        <f t="shared" si="8"/>
        <v>#N/A</v>
      </c>
      <c r="V478" s="84" t="str">
        <f t="shared" si="9"/>
        <v/>
      </c>
      <c r="W478" s="109" t="str">
        <f t="shared" si="10"/>
        <v/>
      </c>
      <c r="X478" s="109" t="str">
        <f t="shared" si="11"/>
        <v/>
      </c>
      <c r="Y478" s="110" t="str">
        <f t="array" ref="Y478">_xlfn.XLOOKUP(A478,'Video Database'!L:L,'Video Database'!M:M,"")</f>
        <v>Product Overlay</v>
      </c>
    </row>
    <row r="479" ht="22.5" customHeight="1">
      <c r="A479" s="113">
        <f t="shared" si="12"/>
        <v>478</v>
      </c>
      <c r="B479" s="98" t="str">
        <f t="array" ref="B479">_xlfn.XLOOKUP(A479,'Video Database'!L:L,'Video Database'!D:D,"")</f>
        <v>Blakely</v>
      </c>
      <c r="C479" s="98" t="str">
        <f t="array" ref="C479">_xlfn.XLOOKUP(A479,'Video Database'!L:L,'Video Database'!E:E,"")</f>
        <v>Account 1</v>
      </c>
      <c r="D479" s="99" t="str">
        <f t="array" ref="D479">_xlfn.XLOOKUP(A479,'Video Database'!L:L,'Video Database'!G:G,"")</f>
        <v>Bracelet - Silver Bracelet Bundle</v>
      </c>
      <c r="E479" s="100">
        <f t="array" ref="E479">_xlfn.XLOOKUP(A479,'Video Database'!L:L,'Video Database'!H:H,"")</f>
        <v>0.11</v>
      </c>
      <c r="F479" s="101">
        <v>0.0</v>
      </c>
      <c r="G479" s="87">
        <v>0.0</v>
      </c>
      <c r="H479" s="114">
        <f t="array" ref="H479">_xlfn.XLOOKUP(A479,'Video Database'!L:L,'Video Database'!A:A,"")</f>
        <v>46191</v>
      </c>
      <c r="I479" s="103">
        <v>46201.0</v>
      </c>
      <c r="J479" s="104">
        <v>0.0</v>
      </c>
      <c r="K479" s="105"/>
      <c r="L479" s="105" t="str">
        <f t="shared" si="1"/>
        <v/>
      </c>
      <c r="O479" s="106" t="str">
        <f t="shared" si="2"/>
        <v>#N/A</v>
      </c>
      <c r="P479" s="106" t="str">
        <f t="shared" si="3"/>
        <v>#N/A</v>
      </c>
      <c r="Q479" s="84" t="str">
        <f t="shared" si="4"/>
        <v>#N/A</v>
      </c>
      <c r="R479" s="84" t="str">
        <f t="shared" si="5"/>
        <v>#N/A</v>
      </c>
      <c r="S479" s="107">
        <f t="shared" si="6"/>
        <v>-0.11</v>
      </c>
      <c r="T479" s="108">
        <f t="shared" si="7"/>
        <v>-1</v>
      </c>
      <c r="U479" s="106" t="str">
        <f t="shared" si="8"/>
        <v>#N/A</v>
      </c>
      <c r="V479" s="84" t="str">
        <f t="shared" si="9"/>
        <v/>
      </c>
      <c r="W479" s="109" t="str">
        <f t="shared" si="10"/>
        <v/>
      </c>
      <c r="X479" s="109" t="str">
        <f t="shared" si="11"/>
        <v/>
      </c>
      <c r="Y479" s="110" t="str">
        <f t="array" ref="Y479">_xlfn.XLOOKUP(A479,'Video Database'!L:L,'Video Database'!M:M,"")</f>
        <v>Product Overlay</v>
      </c>
    </row>
    <row r="480" ht="22.5" customHeight="1">
      <c r="A480" s="113">
        <f t="shared" si="12"/>
        <v>479</v>
      </c>
      <c r="B480" s="98" t="str">
        <f t="array" ref="B480">_xlfn.XLOOKUP(A480,'Video Database'!L:L,'Video Database'!D:D,"")</f>
        <v>Sierra</v>
      </c>
      <c r="C480" s="98" t="str">
        <f t="array" ref="C480">_xlfn.XLOOKUP(A480,'Video Database'!L:L,'Video Database'!E:E,"")</f>
        <v>Account 2</v>
      </c>
      <c r="D480" s="99" t="str">
        <f t="array" ref="D480">_xlfn.XLOOKUP(A480,'Video Database'!L:L,'Video Database'!G:G,"")</f>
        <v>Taste Salud Skin + Beauty Drink Mix</v>
      </c>
      <c r="E480" s="100">
        <f t="array" ref="E480">_xlfn.XLOOKUP(A480,'Video Database'!L:L,'Video Database'!H:H,"")</f>
        <v>1.1</v>
      </c>
      <c r="F480" s="101">
        <v>0.0</v>
      </c>
      <c r="G480" s="87">
        <v>0.0</v>
      </c>
      <c r="H480" s="114">
        <f t="array" ref="H480">_xlfn.XLOOKUP(A480,'Video Database'!L:L,'Video Database'!A:A,"")</f>
        <v>46191</v>
      </c>
      <c r="I480" s="103">
        <v>46201.0</v>
      </c>
      <c r="J480" s="104">
        <v>0.0</v>
      </c>
      <c r="K480" s="105"/>
      <c r="L480" s="105" t="str">
        <f t="shared" si="1"/>
        <v/>
      </c>
      <c r="O480" s="106" t="str">
        <f t="shared" si="2"/>
        <v>#N/A</v>
      </c>
      <c r="P480" s="106" t="str">
        <f t="shared" si="3"/>
        <v>#N/A</v>
      </c>
      <c r="Q480" s="84" t="str">
        <f t="shared" si="4"/>
        <v>#N/A</v>
      </c>
      <c r="R480" s="84" t="str">
        <f t="shared" si="5"/>
        <v>#N/A</v>
      </c>
      <c r="S480" s="107">
        <f t="shared" si="6"/>
        <v>-1.1</v>
      </c>
      <c r="T480" s="108">
        <f t="shared" si="7"/>
        <v>-1</v>
      </c>
      <c r="U480" s="106" t="str">
        <f t="shared" si="8"/>
        <v>#N/A</v>
      </c>
      <c r="V480" s="84" t="str">
        <f t="shared" si="9"/>
        <v/>
      </c>
      <c r="W480" s="109" t="str">
        <f t="shared" si="10"/>
        <v/>
      </c>
      <c r="X480" s="109" t="str">
        <f t="shared" si="11"/>
        <v/>
      </c>
      <c r="Y480" s="110" t="str">
        <f t="array" ref="Y480">_xlfn.XLOOKUP(A480,'Video Database'!L:L,'Video Database'!M:M,"")</f>
        <v>Middle of Funnel</v>
      </c>
    </row>
    <row r="481" ht="22.5" customHeight="1">
      <c r="A481" s="113">
        <f t="shared" si="12"/>
        <v>480</v>
      </c>
      <c r="B481" s="98" t="str">
        <f t="array" ref="B481">_xlfn.XLOOKUP(A481,'Video Database'!L:L,'Video Database'!D:D,"")</f>
        <v>Sierra</v>
      </c>
      <c r="C481" s="98" t="str">
        <f t="array" ref="C481">_xlfn.XLOOKUP(A481,'Video Database'!L:L,'Video Database'!E:E,"")</f>
        <v>Account 2</v>
      </c>
      <c r="D481" s="99" t="str">
        <f t="array" ref="D481">_xlfn.XLOOKUP(A481,'Video Database'!L:L,'Video Database'!G:G,"")</f>
        <v>Taste Salud Skin + Beauty Drink Mix</v>
      </c>
      <c r="E481" s="100">
        <f t="array" ref="E481">_xlfn.XLOOKUP(A481,'Video Database'!L:L,'Video Database'!H:H,"")</f>
        <v>1.1</v>
      </c>
      <c r="F481" s="101">
        <v>0.0</v>
      </c>
      <c r="G481" s="87">
        <v>0.0</v>
      </c>
      <c r="H481" s="114">
        <f t="array" ref="H481">_xlfn.XLOOKUP(A481,'Video Database'!L:L,'Video Database'!A:A,"")</f>
        <v>46191</v>
      </c>
      <c r="I481" s="103">
        <v>46201.0</v>
      </c>
      <c r="J481" s="104">
        <v>0.0</v>
      </c>
      <c r="K481" s="105"/>
      <c r="L481" s="105" t="str">
        <f t="shared" si="1"/>
        <v/>
      </c>
      <c r="O481" s="106" t="str">
        <f t="shared" si="2"/>
        <v>#N/A</v>
      </c>
      <c r="P481" s="106" t="str">
        <f t="shared" si="3"/>
        <v>#N/A</v>
      </c>
      <c r="Q481" s="84" t="str">
        <f t="shared" si="4"/>
        <v>#N/A</v>
      </c>
      <c r="R481" s="84" t="str">
        <f t="shared" si="5"/>
        <v>#N/A</v>
      </c>
      <c r="S481" s="107">
        <f t="shared" si="6"/>
        <v>-1.1</v>
      </c>
      <c r="T481" s="108">
        <f t="shared" si="7"/>
        <v>-1</v>
      </c>
      <c r="U481" s="106" t="str">
        <f t="shared" si="8"/>
        <v>#N/A</v>
      </c>
      <c r="V481" s="84" t="str">
        <f t="shared" si="9"/>
        <v/>
      </c>
      <c r="W481" s="109" t="str">
        <f t="shared" si="10"/>
        <v/>
      </c>
      <c r="X481" s="109" t="str">
        <f t="shared" si="11"/>
        <v/>
      </c>
      <c r="Y481" s="110" t="str">
        <f t="array" ref="Y481">_xlfn.XLOOKUP(A481,'Video Database'!L:L,'Video Database'!M:M,"")</f>
        <v>Middle of Funnel</v>
      </c>
    </row>
    <row r="482" ht="22.5" customHeight="1">
      <c r="A482" s="113">
        <f t="shared" si="12"/>
        <v>481</v>
      </c>
      <c r="B482" s="98" t="str">
        <f t="array" ref="B482">_xlfn.XLOOKUP(A482,'Video Database'!L:L,'Video Database'!D:D,"")</f>
        <v>Sierra</v>
      </c>
      <c r="C482" s="98" t="str">
        <f t="array" ref="C482">_xlfn.XLOOKUP(A482,'Video Database'!L:L,'Video Database'!E:E,"")</f>
        <v>Account 2</v>
      </c>
      <c r="D482" s="99" t="str">
        <f t="array" ref="D482">_xlfn.XLOOKUP(A482,'Video Database'!L:L,'Video Database'!G:G,"")</f>
        <v>Taste Salud Skin + Beauty Drink Mix</v>
      </c>
      <c r="E482" s="100">
        <f t="array" ref="E482">_xlfn.XLOOKUP(A482,'Video Database'!L:L,'Video Database'!H:H,"")</f>
        <v>1.1</v>
      </c>
      <c r="F482" s="101">
        <v>0.0</v>
      </c>
      <c r="G482" s="87">
        <v>0.0</v>
      </c>
      <c r="H482" s="114">
        <f t="array" ref="H482">_xlfn.XLOOKUP(A482,'Video Database'!L:L,'Video Database'!A:A,"")</f>
        <v>46191</v>
      </c>
      <c r="I482" s="103">
        <v>46201.0</v>
      </c>
      <c r="J482" s="104">
        <v>0.0</v>
      </c>
      <c r="K482" s="105"/>
      <c r="L482" s="105" t="str">
        <f t="shared" si="1"/>
        <v/>
      </c>
      <c r="O482" s="106" t="str">
        <f t="shared" si="2"/>
        <v>#N/A</v>
      </c>
      <c r="P482" s="106" t="str">
        <f t="shared" si="3"/>
        <v>#N/A</v>
      </c>
      <c r="Q482" s="84" t="str">
        <f t="shared" si="4"/>
        <v>#N/A</v>
      </c>
      <c r="R482" s="84" t="str">
        <f t="shared" si="5"/>
        <v>#N/A</v>
      </c>
      <c r="S482" s="107">
        <f t="shared" si="6"/>
        <v>-1.1</v>
      </c>
      <c r="T482" s="108">
        <f t="shared" si="7"/>
        <v>-1</v>
      </c>
      <c r="U482" s="106" t="str">
        <f t="shared" si="8"/>
        <v>#N/A</v>
      </c>
      <c r="V482" s="84" t="str">
        <f t="shared" si="9"/>
        <v/>
      </c>
      <c r="W482" s="109" t="str">
        <f t="shared" si="10"/>
        <v/>
      </c>
      <c r="X482" s="109" t="str">
        <f t="shared" si="11"/>
        <v/>
      </c>
      <c r="Y482" s="110" t="str">
        <f t="array" ref="Y482">_xlfn.XLOOKUP(A482,'Video Database'!L:L,'Video Database'!M:M,"")</f>
        <v>Middle of Funnel</v>
      </c>
    </row>
    <row r="483" ht="22.5" customHeight="1">
      <c r="A483" s="113">
        <f t="shared" si="12"/>
        <v>482</v>
      </c>
      <c r="B483" s="98" t="str">
        <f t="array" ref="B483">_xlfn.XLOOKUP(A483,'Video Database'!L:L,'Video Database'!D:D,"")</f>
        <v>Sierra</v>
      </c>
      <c r="C483" s="98" t="str">
        <f t="array" ref="C483">_xlfn.XLOOKUP(A483,'Video Database'!L:L,'Video Database'!E:E,"")</f>
        <v>Account 2</v>
      </c>
      <c r="D483" s="99" t="str">
        <f t="array" ref="D483">_xlfn.XLOOKUP(A483,'Video Database'!L:L,'Video Database'!G:G,"")</f>
        <v>Taste Salud Skin + Beauty Drink Mix</v>
      </c>
      <c r="E483" s="100">
        <f t="array" ref="E483">_xlfn.XLOOKUP(A483,'Video Database'!L:L,'Video Database'!H:H,"")</f>
        <v>1.1</v>
      </c>
      <c r="F483" s="101">
        <v>0.0</v>
      </c>
      <c r="G483" s="87">
        <v>0.0</v>
      </c>
      <c r="H483" s="114">
        <f t="array" ref="H483">_xlfn.XLOOKUP(A483,'Video Database'!L:L,'Video Database'!A:A,"")</f>
        <v>46191</v>
      </c>
      <c r="I483" s="103">
        <v>46201.0</v>
      </c>
      <c r="J483" s="104">
        <v>0.0</v>
      </c>
      <c r="K483" s="105"/>
      <c r="L483" s="105" t="str">
        <f t="shared" si="1"/>
        <v/>
      </c>
      <c r="O483" s="106" t="str">
        <f t="shared" si="2"/>
        <v>#N/A</v>
      </c>
      <c r="P483" s="106" t="str">
        <f t="shared" si="3"/>
        <v>#N/A</v>
      </c>
      <c r="Q483" s="84" t="str">
        <f t="shared" si="4"/>
        <v>#N/A</v>
      </c>
      <c r="R483" s="84" t="str">
        <f t="shared" si="5"/>
        <v>#N/A</v>
      </c>
      <c r="S483" s="107">
        <f t="shared" si="6"/>
        <v>-1.1</v>
      </c>
      <c r="T483" s="108">
        <f t="shared" si="7"/>
        <v>-1</v>
      </c>
      <c r="U483" s="106" t="str">
        <f t="shared" si="8"/>
        <v>#N/A</v>
      </c>
      <c r="V483" s="84" t="str">
        <f t="shared" si="9"/>
        <v/>
      </c>
      <c r="W483" s="109" t="str">
        <f t="shared" si="10"/>
        <v/>
      </c>
      <c r="X483" s="109" t="str">
        <f t="shared" si="11"/>
        <v/>
      </c>
      <c r="Y483" s="110" t="str">
        <f t="array" ref="Y483">_xlfn.XLOOKUP(A483,'Video Database'!L:L,'Video Database'!M:M,"")</f>
        <v>Middle of Funnel</v>
      </c>
    </row>
    <row r="484" ht="22.5" customHeight="1">
      <c r="A484" s="113">
        <f t="shared" si="12"/>
        <v>483</v>
      </c>
      <c r="B484" s="98" t="str">
        <f t="array" ref="B484">_xlfn.XLOOKUP(A484,'Video Database'!L:L,'Video Database'!D:D,"")</f>
        <v>Sierra</v>
      </c>
      <c r="C484" s="98" t="str">
        <f t="array" ref="C484">_xlfn.XLOOKUP(A484,'Video Database'!L:L,'Video Database'!E:E,"")</f>
        <v>Account 2</v>
      </c>
      <c r="D484" s="99" t="str">
        <f t="array" ref="D484">_xlfn.XLOOKUP(A484,'Video Database'!L:L,'Video Database'!G:G,"")</f>
        <v>Taste Salud Skin + Beauty Drink Mix</v>
      </c>
      <c r="E484" s="100">
        <f t="array" ref="E484">_xlfn.XLOOKUP(A484,'Video Database'!L:L,'Video Database'!H:H,"")</f>
        <v>1.1</v>
      </c>
      <c r="F484" s="101">
        <v>0.0</v>
      </c>
      <c r="G484" s="87">
        <v>0.0</v>
      </c>
      <c r="H484" s="114">
        <f t="array" ref="H484">_xlfn.XLOOKUP(A484,'Video Database'!L:L,'Video Database'!A:A,"")</f>
        <v>46191</v>
      </c>
      <c r="I484" s="103">
        <v>46201.0</v>
      </c>
      <c r="J484" s="104">
        <v>0.0</v>
      </c>
      <c r="K484" s="105"/>
      <c r="L484" s="105" t="str">
        <f t="shared" si="1"/>
        <v/>
      </c>
      <c r="O484" s="106" t="str">
        <f t="shared" si="2"/>
        <v>#N/A</v>
      </c>
      <c r="P484" s="106" t="str">
        <f t="shared" si="3"/>
        <v>#N/A</v>
      </c>
      <c r="Q484" s="84" t="str">
        <f t="shared" si="4"/>
        <v>#N/A</v>
      </c>
      <c r="R484" s="84" t="str">
        <f t="shared" si="5"/>
        <v>#N/A</v>
      </c>
      <c r="S484" s="107">
        <f t="shared" si="6"/>
        <v>-1.1</v>
      </c>
      <c r="T484" s="108">
        <f t="shared" si="7"/>
        <v>-1</v>
      </c>
      <c r="U484" s="106" t="str">
        <f t="shared" si="8"/>
        <v>#N/A</v>
      </c>
      <c r="V484" s="84" t="str">
        <f t="shared" si="9"/>
        <v/>
      </c>
      <c r="W484" s="109" t="str">
        <f t="shared" si="10"/>
        <v/>
      </c>
      <c r="X484" s="109" t="str">
        <f t="shared" si="11"/>
        <v/>
      </c>
      <c r="Y484" s="110" t="str">
        <f t="array" ref="Y484">_xlfn.XLOOKUP(A484,'Video Database'!L:L,'Video Database'!M:M,"")</f>
        <v>Bottom of Funnel</v>
      </c>
    </row>
    <row r="485" ht="22.5" customHeight="1">
      <c r="A485" s="113">
        <f t="shared" si="12"/>
        <v>484</v>
      </c>
      <c r="B485" s="98" t="str">
        <f t="array" ref="B485">_xlfn.XLOOKUP(A485,'Video Database'!L:L,'Video Database'!D:D,"")</f>
        <v>Erin</v>
      </c>
      <c r="C485" s="98" t="str">
        <f t="array" ref="C485">_xlfn.XLOOKUP(A485,'Video Database'!L:L,'Video Database'!E:E,"")</f>
        <v>Account 2</v>
      </c>
      <c r="D485" s="99" t="str">
        <f t="array" ref="D485">_xlfn.XLOOKUP(A485,'Video Database'!L:L,'Video Database'!G:G,"")</f>
        <v>Peta Jane Self-Tan Starter Kit Medium</v>
      </c>
      <c r="E485" s="100">
        <f t="array" ref="E485">_xlfn.XLOOKUP(A485,'Video Database'!L:L,'Video Database'!H:H,"")</f>
        <v>1.1</v>
      </c>
      <c r="F485" s="101">
        <v>0.0</v>
      </c>
      <c r="G485" s="87">
        <v>0.0</v>
      </c>
      <c r="H485" s="114">
        <f t="array" ref="H485">_xlfn.XLOOKUP(A485,'Video Database'!L:L,'Video Database'!A:A,"")</f>
        <v>46191</v>
      </c>
      <c r="I485" s="103">
        <v>46201.0</v>
      </c>
      <c r="J485" s="104">
        <v>0.0</v>
      </c>
      <c r="K485" s="105"/>
      <c r="L485" s="105" t="str">
        <f t="shared" si="1"/>
        <v/>
      </c>
      <c r="O485" s="106" t="str">
        <f t="shared" si="2"/>
        <v>#N/A</v>
      </c>
      <c r="P485" s="106" t="str">
        <f t="shared" si="3"/>
        <v>#N/A</v>
      </c>
      <c r="Q485" s="84" t="str">
        <f t="shared" si="4"/>
        <v>#N/A</v>
      </c>
      <c r="R485" s="84" t="str">
        <f t="shared" si="5"/>
        <v>#N/A</v>
      </c>
      <c r="S485" s="107">
        <f t="shared" si="6"/>
        <v>-1.1</v>
      </c>
      <c r="T485" s="108">
        <f t="shared" si="7"/>
        <v>-1</v>
      </c>
      <c r="U485" s="106" t="str">
        <f t="shared" si="8"/>
        <v>#N/A</v>
      </c>
      <c r="V485" s="84" t="str">
        <f t="shared" si="9"/>
        <v/>
      </c>
      <c r="W485" s="109" t="str">
        <f t="shared" si="10"/>
        <v/>
      </c>
      <c r="X485" s="109" t="str">
        <f t="shared" si="11"/>
        <v/>
      </c>
      <c r="Y485" s="110" t="str">
        <f t="array" ref="Y485">_xlfn.XLOOKUP(A485,'Video Database'!L:L,'Video Database'!M:M,"")</f>
        <v>Bottom of Funnel</v>
      </c>
    </row>
    <row r="486" ht="22.5" customHeight="1">
      <c r="A486" s="113">
        <f t="shared" si="12"/>
        <v>485</v>
      </c>
      <c r="B486" s="98" t="str">
        <f t="array" ref="B486">_xlfn.XLOOKUP(A486,'Video Database'!L:L,'Video Database'!D:D,"")</f>
        <v>Blakely</v>
      </c>
      <c r="C486" s="98" t="str">
        <f t="array" ref="C486">_xlfn.XLOOKUP(A486,'Video Database'!L:L,'Video Database'!E:E,"")</f>
        <v>Account 2</v>
      </c>
      <c r="D486" s="99" t="str">
        <f t="array" ref="D486">_xlfn.XLOOKUP(A486,'Video Database'!L:L,'Video Database'!G:G,"")</f>
        <v>ForestLeaf Grassfed Beef Liver</v>
      </c>
      <c r="E486" s="100">
        <f t="array" ref="E486">_xlfn.XLOOKUP(A486,'Video Database'!L:L,'Video Database'!H:H,"")</f>
        <v>0.11</v>
      </c>
      <c r="F486" s="101">
        <v>0.0</v>
      </c>
      <c r="G486" s="87">
        <v>0.0</v>
      </c>
      <c r="H486" s="114">
        <f t="array" ref="H486">_xlfn.XLOOKUP(A486,'Video Database'!L:L,'Video Database'!A:A,"")</f>
        <v>46191</v>
      </c>
      <c r="I486" s="103">
        <v>46201.0</v>
      </c>
      <c r="J486" s="104">
        <v>0.0</v>
      </c>
      <c r="K486" s="105"/>
      <c r="L486" s="105" t="str">
        <f t="shared" si="1"/>
        <v/>
      </c>
      <c r="O486" s="106" t="str">
        <f t="shared" si="2"/>
        <v>#N/A</v>
      </c>
      <c r="P486" s="106" t="str">
        <f t="shared" si="3"/>
        <v>#N/A</v>
      </c>
      <c r="Q486" s="84" t="str">
        <f t="shared" si="4"/>
        <v>#N/A</v>
      </c>
      <c r="R486" s="84" t="str">
        <f t="shared" si="5"/>
        <v>#N/A</v>
      </c>
      <c r="S486" s="107">
        <f t="shared" si="6"/>
        <v>-0.11</v>
      </c>
      <c r="T486" s="108">
        <f t="shared" si="7"/>
        <v>-1</v>
      </c>
      <c r="U486" s="106" t="str">
        <f t="shared" si="8"/>
        <v>#N/A</v>
      </c>
      <c r="V486" s="84" t="str">
        <f t="shared" si="9"/>
        <v/>
      </c>
      <c r="W486" s="109" t="str">
        <f t="shared" si="10"/>
        <v/>
      </c>
      <c r="X486" s="109" t="str">
        <f t="shared" si="11"/>
        <v/>
      </c>
      <c r="Y486" s="110" t="str">
        <f t="array" ref="Y486">_xlfn.XLOOKUP(A486,'Video Database'!L:L,'Video Database'!M:M,"")</f>
        <v>Product Overlay</v>
      </c>
    </row>
    <row r="487" ht="22.5" customHeight="1">
      <c r="A487" s="113">
        <f t="shared" si="12"/>
        <v>486</v>
      </c>
      <c r="B487" s="98" t="str">
        <f t="array" ref="B487">_xlfn.XLOOKUP(A487,'Video Database'!L:L,'Video Database'!D:D,"")</f>
        <v>Blakely</v>
      </c>
      <c r="C487" s="98" t="str">
        <f t="array" ref="C487">_xlfn.XLOOKUP(A487,'Video Database'!L:L,'Video Database'!E:E,"")</f>
        <v>Account 2</v>
      </c>
      <c r="D487" s="99" t="str">
        <f t="array" ref="D487">_xlfn.XLOOKUP(A487,'Video Database'!L:L,'Video Database'!G:G,"")</f>
        <v>DR.DENT Purple Mouthwash</v>
      </c>
      <c r="E487" s="100">
        <f t="array" ref="E487">_xlfn.XLOOKUP(A487,'Video Database'!L:L,'Video Database'!H:H,"")</f>
        <v>0.11</v>
      </c>
      <c r="F487" s="101">
        <v>0.0</v>
      </c>
      <c r="G487" s="87">
        <v>0.0</v>
      </c>
      <c r="H487" s="114">
        <f t="array" ref="H487">_xlfn.XLOOKUP(A487,'Video Database'!L:L,'Video Database'!A:A,"")</f>
        <v>46191</v>
      </c>
      <c r="I487" s="103">
        <v>46201.0</v>
      </c>
      <c r="J487" s="104">
        <v>0.0</v>
      </c>
      <c r="K487" s="105"/>
      <c r="L487" s="105" t="str">
        <f t="shared" si="1"/>
        <v/>
      </c>
      <c r="O487" s="106" t="str">
        <f t="shared" si="2"/>
        <v>#N/A</v>
      </c>
      <c r="P487" s="106" t="str">
        <f t="shared" si="3"/>
        <v>#N/A</v>
      </c>
      <c r="Q487" s="84" t="str">
        <f t="shared" si="4"/>
        <v>#N/A</v>
      </c>
      <c r="R487" s="84" t="str">
        <f t="shared" si="5"/>
        <v>#N/A</v>
      </c>
      <c r="S487" s="107">
        <f t="shared" si="6"/>
        <v>-0.11</v>
      </c>
      <c r="T487" s="108">
        <f t="shared" si="7"/>
        <v>-1</v>
      </c>
      <c r="U487" s="106" t="str">
        <f t="shared" si="8"/>
        <v>#N/A</v>
      </c>
      <c r="V487" s="84" t="str">
        <f t="shared" si="9"/>
        <v/>
      </c>
      <c r="W487" s="109" t="str">
        <f t="shared" si="10"/>
        <v/>
      </c>
      <c r="X487" s="109" t="str">
        <f t="shared" si="11"/>
        <v/>
      </c>
      <c r="Y487" s="110" t="str">
        <f t="array" ref="Y487">_xlfn.XLOOKUP(A487,'Video Database'!L:L,'Video Database'!M:M,"")</f>
        <v>Product Overlay</v>
      </c>
    </row>
    <row r="488" ht="22.5" customHeight="1">
      <c r="A488" s="113">
        <f t="shared" si="12"/>
        <v>487</v>
      </c>
      <c r="B488" s="98" t="str">
        <f t="array" ref="B488">_xlfn.XLOOKUP(A488,'Video Database'!L:L,'Video Database'!D:D,"")</f>
        <v>Blakely</v>
      </c>
      <c r="C488" s="98" t="str">
        <f t="array" ref="C488">_xlfn.XLOOKUP(A488,'Video Database'!L:L,'Video Database'!E:E,"")</f>
        <v>Account 2</v>
      </c>
      <c r="D488" s="99" t="str">
        <f t="array" ref="D488">_xlfn.XLOOKUP(A488,'Video Database'!L:L,'Video Database'!G:G,"")</f>
        <v>Goli Women's Complete Multi Gummy</v>
      </c>
      <c r="E488" s="100">
        <f t="array" ref="E488">_xlfn.XLOOKUP(A488,'Video Database'!L:L,'Video Database'!H:H,"")</f>
        <v>0.11</v>
      </c>
      <c r="F488" s="101">
        <v>0.0</v>
      </c>
      <c r="G488" s="87">
        <v>0.0</v>
      </c>
      <c r="H488" s="114">
        <f t="array" ref="H488">_xlfn.XLOOKUP(A488,'Video Database'!L:L,'Video Database'!A:A,"")</f>
        <v>46191</v>
      </c>
      <c r="I488" s="103">
        <v>46201.0</v>
      </c>
      <c r="J488" s="104">
        <v>0.0</v>
      </c>
      <c r="K488" s="105"/>
      <c r="L488" s="105" t="str">
        <f t="shared" si="1"/>
        <v/>
      </c>
      <c r="O488" s="106" t="str">
        <f t="shared" si="2"/>
        <v>#N/A</v>
      </c>
      <c r="P488" s="106" t="str">
        <f t="shared" si="3"/>
        <v>#N/A</v>
      </c>
      <c r="Q488" s="84" t="str">
        <f t="shared" si="4"/>
        <v>#N/A</v>
      </c>
      <c r="R488" s="84" t="str">
        <f t="shared" si="5"/>
        <v>#N/A</v>
      </c>
      <c r="S488" s="107">
        <f t="shared" si="6"/>
        <v>-0.11</v>
      </c>
      <c r="T488" s="108">
        <f t="shared" si="7"/>
        <v>-1</v>
      </c>
      <c r="U488" s="106" t="str">
        <f t="shared" si="8"/>
        <v>#N/A</v>
      </c>
      <c r="V488" s="84" t="str">
        <f t="shared" si="9"/>
        <v/>
      </c>
      <c r="W488" s="109" t="str">
        <f t="shared" si="10"/>
        <v/>
      </c>
      <c r="X488" s="109" t="str">
        <f t="shared" si="11"/>
        <v/>
      </c>
      <c r="Y488" s="110" t="str">
        <f t="array" ref="Y488">_xlfn.XLOOKUP(A488,'Video Database'!L:L,'Video Database'!M:M,"")</f>
        <v>Product Overlay</v>
      </c>
    </row>
    <row r="489" ht="22.5" customHeight="1">
      <c r="A489" s="113">
        <f t="shared" si="12"/>
        <v>488</v>
      </c>
      <c r="B489" s="98" t="str">
        <f t="array" ref="B489">_xlfn.XLOOKUP(A489,'Video Database'!L:L,'Video Database'!D:D,"")</f>
        <v>Blakely</v>
      </c>
      <c r="C489" s="98" t="str">
        <f t="array" ref="C489">_xlfn.XLOOKUP(A489,'Video Database'!L:L,'Video Database'!E:E,"")</f>
        <v>Account 2</v>
      </c>
      <c r="D489" s="99" t="str">
        <f t="array" ref="D489">_xlfn.XLOOKUP(A489,'Video Database'!L:L,'Video Database'!G:G,"")</f>
        <v>SNOW Diamond Tetth Whitening Strips</v>
      </c>
      <c r="E489" s="100">
        <f t="array" ref="E489">_xlfn.XLOOKUP(A489,'Video Database'!L:L,'Video Database'!H:H,"")</f>
        <v>0.11</v>
      </c>
      <c r="F489" s="101">
        <v>0.0</v>
      </c>
      <c r="G489" s="87">
        <v>0.0</v>
      </c>
      <c r="H489" s="114">
        <f t="array" ref="H489">_xlfn.XLOOKUP(A489,'Video Database'!L:L,'Video Database'!A:A,"")</f>
        <v>46191</v>
      </c>
      <c r="I489" s="103">
        <v>46201.0</v>
      </c>
      <c r="J489" s="104">
        <v>0.0</v>
      </c>
      <c r="K489" s="105"/>
      <c r="L489" s="105" t="str">
        <f t="shared" si="1"/>
        <v/>
      </c>
      <c r="O489" s="106" t="str">
        <f t="shared" si="2"/>
        <v>#N/A</v>
      </c>
      <c r="P489" s="106" t="str">
        <f t="shared" si="3"/>
        <v>#N/A</v>
      </c>
      <c r="Q489" s="84" t="str">
        <f t="shared" si="4"/>
        <v>#N/A</v>
      </c>
      <c r="R489" s="84" t="str">
        <f t="shared" si="5"/>
        <v>#N/A</v>
      </c>
      <c r="S489" s="107">
        <f t="shared" si="6"/>
        <v>-0.11</v>
      </c>
      <c r="T489" s="108">
        <f t="shared" si="7"/>
        <v>-1</v>
      </c>
      <c r="U489" s="106" t="str">
        <f t="shared" si="8"/>
        <v>#N/A</v>
      </c>
      <c r="V489" s="84" t="str">
        <f t="shared" si="9"/>
        <v/>
      </c>
      <c r="W489" s="109" t="str">
        <f t="shared" si="10"/>
        <v/>
      </c>
      <c r="X489" s="109" t="str">
        <f t="shared" si="11"/>
        <v/>
      </c>
      <c r="Y489" s="110" t="str">
        <f t="array" ref="Y489">_xlfn.XLOOKUP(A489,'Video Database'!L:L,'Video Database'!M:M,"")</f>
        <v>Product Overlay</v>
      </c>
    </row>
    <row r="490" ht="22.5" customHeight="1">
      <c r="A490" s="113">
        <f t="shared" si="12"/>
        <v>489</v>
      </c>
      <c r="B490" s="98" t="str">
        <f t="array" ref="B490">_xlfn.XLOOKUP(A490,'Video Database'!L:L,'Video Database'!D:D,"")</f>
        <v>Sierra</v>
      </c>
      <c r="C490" s="98" t="str">
        <f t="array" ref="C490">_xlfn.XLOOKUP(A490,'Video Database'!L:L,'Video Database'!E:E,"")</f>
        <v>Account 3</v>
      </c>
      <c r="D490" s="99" t="str">
        <f t="array" ref="D490">_xlfn.XLOOKUP(A490,'Video Database'!L:L,'Video Database'!G:G,"")</f>
        <v>SKIN1004 Hyla-Cica Water Fit Sunscreen</v>
      </c>
      <c r="E490" s="100">
        <f t="array" ref="E490">_xlfn.XLOOKUP(A490,'Video Database'!L:L,'Video Database'!H:H,"")</f>
        <v>1.1</v>
      </c>
      <c r="F490" s="101">
        <v>0.0</v>
      </c>
      <c r="G490" s="87">
        <v>0.0</v>
      </c>
      <c r="H490" s="114">
        <f t="array" ref="H490">_xlfn.XLOOKUP(A490,'Video Database'!L:L,'Video Database'!A:A,"")</f>
        <v>46191</v>
      </c>
      <c r="I490" s="103">
        <v>46201.0</v>
      </c>
      <c r="J490" s="104">
        <v>0.0</v>
      </c>
      <c r="K490" s="105"/>
      <c r="L490" s="105" t="str">
        <f t="shared" si="1"/>
        <v/>
      </c>
      <c r="O490" s="106" t="str">
        <f t="shared" si="2"/>
        <v>#N/A</v>
      </c>
      <c r="P490" s="106" t="str">
        <f t="shared" si="3"/>
        <v>#N/A</v>
      </c>
      <c r="Q490" s="84" t="str">
        <f t="shared" si="4"/>
        <v>#N/A</v>
      </c>
      <c r="R490" s="84" t="str">
        <f t="shared" si="5"/>
        <v>#N/A</v>
      </c>
      <c r="S490" s="107">
        <f t="shared" si="6"/>
        <v>-1.1</v>
      </c>
      <c r="T490" s="108">
        <f t="shared" si="7"/>
        <v>-1</v>
      </c>
      <c r="U490" s="106" t="str">
        <f t="shared" si="8"/>
        <v>#N/A</v>
      </c>
      <c r="V490" s="84" t="str">
        <f t="shared" si="9"/>
        <v/>
      </c>
      <c r="W490" s="109" t="str">
        <f t="shared" si="10"/>
        <v/>
      </c>
      <c r="X490" s="109" t="str">
        <f t="shared" si="11"/>
        <v/>
      </c>
      <c r="Y490" s="110" t="str">
        <f t="array" ref="Y490">_xlfn.XLOOKUP(A490,'Video Database'!L:L,'Video Database'!M:M,"")</f>
        <v>Middle of Funnel</v>
      </c>
    </row>
    <row r="491" ht="22.5" customHeight="1">
      <c r="A491" s="113">
        <f t="shared" si="12"/>
        <v>490</v>
      </c>
      <c r="B491" s="98" t="str">
        <f t="array" ref="B491">_xlfn.XLOOKUP(A491,'Video Database'!L:L,'Video Database'!D:D,"")</f>
        <v>Erin</v>
      </c>
      <c r="C491" s="98" t="str">
        <f t="array" ref="C491">_xlfn.XLOOKUP(A491,'Video Database'!L:L,'Video Database'!E:E,"")</f>
        <v>Account 3</v>
      </c>
      <c r="D491" s="99" t="str">
        <f t="array" ref="D491">_xlfn.XLOOKUP(A491,'Video Database'!L:L,'Video Database'!G:G,"")</f>
        <v>Peta Jane Self-Tan Starter Kit Medium</v>
      </c>
      <c r="E491" s="100">
        <f t="array" ref="E491">_xlfn.XLOOKUP(A491,'Video Database'!L:L,'Video Database'!H:H,"")</f>
        <v>1.1</v>
      </c>
      <c r="F491" s="101">
        <v>0.0</v>
      </c>
      <c r="G491" s="87">
        <v>0.0</v>
      </c>
      <c r="H491" s="114">
        <f t="array" ref="H491">_xlfn.XLOOKUP(A491,'Video Database'!L:L,'Video Database'!A:A,"")</f>
        <v>46191</v>
      </c>
      <c r="I491" s="103">
        <v>46201.0</v>
      </c>
      <c r="J491" s="104">
        <v>0.0</v>
      </c>
      <c r="K491" s="105"/>
      <c r="L491" s="105" t="str">
        <f t="shared" si="1"/>
        <v/>
      </c>
      <c r="O491" s="106" t="str">
        <f t="shared" si="2"/>
        <v>#N/A</v>
      </c>
      <c r="P491" s="106" t="str">
        <f t="shared" si="3"/>
        <v>#N/A</v>
      </c>
      <c r="Q491" s="84" t="str">
        <f t="shared" si="4"/>
        <v>#N/A</v>
      </c>
      <c r="R491" s="84" t="str">
        <f t="shared" si="5"/>
        <v>#N/A</v>
      </c>
      <c r="S491" s="107">
        <f t="shared" si="6"/>
        <v>-1.1</v>
      </c>
      <c r="T491" s="108">
        <f t="shared" si="7"/>
        <v>-1</v>
      </c>
      <c r="U491" s="106" t="str">
        <f t="shared" si="8"/>
        <v>#N/A</v>
      </c>
      <c r="V491" s="84" t="str">
        <f t="shared" si="9"/>
        <v/>
      </c>
      <c r="W491" s="109" t="str">
        <f t="shared" si="10"/>
        <v/>
      </c>
      <c r="X491" s="109" t="str">
        <f t="shared" si="11"/>
        <v/>
      </c>
      <c r="Y491" s="110" t="str">
        <f t="array" ref="Y491">_xlfn.XLOOKUP(A491,'Video Database'!L:L,'Video Database'!M:M,"")</f>
        <v>Bottom of Funnel</v>
      </c>
    </row>
    <row r="492" ht="22.5" customHeight="1">
      <c r="A492" s="113">
        <f t="shared" si="12"/>
        <v>491</v>
      </c>
      <c r="B492" s="98" t="str">
        <f t="array" ref="B492">_xlfn.XLOOKUP(A492,'Video Database'!L:L,'Video Database'!D:D,"")</f>
        <v>Blakely</v>
      </c>
      <c r="C492" s="98" t="str">
        <f t="array" ref="C492">_xlfn.XLOOKUP(A492,'Video Database'!L:L,'Video Database'!E:E,"")</f>
        <v>Account 3</v>
      </c>
      <c r="D492" s="99" t="str">
        <f t="array" ref="D492">_xlfn.XLOOKUP(A492,'Video Database'!L:L,'Video Database'!G:G,"")</f>
        <v>DR.DENT Purple Mouthwash</v>
      </c>
      <c r="E492" s="100">
        <f t="array" ref="E492">_xlfn.XLOOKUP(A492,'Video Database'!L:L,'Video Database'!H:H,"")</f>
        <v>0.11</v>
      </c>
      <c r="F492" s="101">
        <v>0.0</v>
      </c>
      <c r="G492" s="87">
        <v>0.0</v>
      </c>
      <c r="H492" s="114">
        <f t="array" ref="H492">_xlfn.XLOOKUP(A492,'Video Database'!L:L,'Video Database'!A:A,"")</f>
        <v>46191</v>
      </c>
      <c r="I492" s="103">
        <v>46201.0</v>
      </c>
      <c r="J492" s="104">
        <v>0.0</v>
      </c>
      <c r="K492" s="105"/>
      <c r="L492" s="105" t="str">
        <f t="shared" si="1"/>
        <v/>
      </c>
      <c r="O492" s="106" t="str">
        <f t="shared" si="2"/>
        <v>#N/A</v>
      </c>
      <c r="P492" s="106" t="str">
        <f t="shared" si="3"/>
        <v>#N/A</v>
      </c>
      <c r="Q492" s="84" t="str">
        <f t="shared" si="4"/>
        <v>#N/A</v>
      </c>
      <c r="R492" s="84" t="str">
        <f t="shared" si="5"/>
        <v>#N/A</v>
      </c>
      <c r="S492" s="107">
        <f t="shared" si="6"/>
        <v>-0.11</v>
      </c>
      <c r="T492" s="108">
        <f t="shared" si="7"/>
        <v>-1</v>
      </c>
      <c r="U492" s="106" t="str">
        <f t="shared" si="8"/>
        <v>#N/A</v>
      </c>
      <c r="V492" s="84" t="str">
        <f t="shared" si="9"/>
        <v/>
      </c>
      <c r="W492" s="109" t="str">
        <f t="shared" si="10"/>
        <v/>
      </c>
      <c r="X492" s="109" t="str">
        <f t="shared" si="11"/>
        <v/>
      </c>
      <c r="Y492" s="110" t="str">
        <f t="array" ref="Y492">_xlfn.XLOOKUP(A492,'Video Database'!L:L,'Video Database'!M:M,"")</f>
        <v>Product Overlay</v>
      </c>
    </row>
    <row r="493" ht="22.5" customHeight="1">
      <c r="A493" s="113">
        <f t="shared" si="12"/>
        <v>492</v>
      </c>
      <c r="B493" s="98" t="str">
        <f t="array" ref="B493">_xlfn.XLOOKUP(A493,'Video Database'!L:L,'Video Database'!D:D,"")</f>
        <v>Blakely</v>
      </c>
      <c r="C493" s="98" t="str">
        <f t="array" ref="C493">_xlfn.XLOOKUP(A493,'Video Database'!L:L,'Video Database'!E:E,"")</f>
        <v>Account 3</v>
      </c>
      <c r="D493" s="99" t="str">
        <f t="array" ref="D493">_xlfn.XLOOKUP(A493,'Video Database'!L:L,'Video Database'!G:G,"")</f>
        <v>Cutler Nutrition Liquid Carnitine 3000</v>
      </c>
      <c r="E493" s="100">
        <f t="array" ref="E493">_xlfn.XLOOKUP(A493,'Video Database'!L:L,'Video Database'!H:H,"")</f>
        <v>0.11</v>
      </c>
      <c r="F493" s="101">
        <v>0.0</v>
      </c>
      <c r="G493" s="87">
        <v>0.0</v>
      </c>
      <c r="H493" s="114">
        <f t="array" ref="H493">_xlfn.XLOOKUP(A493,'Video Database'!L:L,'Video Database'!A:A,"")</f>
        <v>46191</v>
      </c>
      <c r="I493" s="103">
        <v>46201.0</v>
      </c>
      <c r="J493" s="104">
        <v>0.0</v>
      </c>
      <c r="K493" s="105"/>
      <c r="L493" s="105" t="str">
        <f t="shared" si="1"/>
        <v/>
      </c>
      <c r="O493" s="106" t="str">
        <f t="shared" si="2"/>
        <v>#N/A</v>
      </c>
      <c r="P493" s="106" t="str">
        <f t="shared" si="3"/>
        <v>#N/A</v>
      </c>
      <c r="Q493" s="84" t="str">
        <f t="shared" si="4"/>
        <v>#N/A</v>
      </c>
      <c r="R493" s="84" t="str">
        <f t="shared" si="5"/>
        <v>#N/A</v>
      </c>
      <c r="S493" s="107">
        <f t="shared" si="6"/>
        <v>-0.11</v>
      </c>
      <c r="T493" s="108">
        <f t="shared" si="7"/>
        <v>-1</v>
      </c>
      <c r="U493" s="106" t="str">
        <f t="shared" si="8"/>
        <v>#N/A</v>
      </c>
      <c r="V493" s="84" t="str">
        <f t="shared" si="9"/>
        <v/>
      </c>
      <c r="W493" s="109" t="str">
        <f t="shared" si="10"/>
        <v/>
      </c>
      <c r="X493" s="109" t="str">
        <f t="shared" si="11"/>
        <v/>
      </c>
      <c r="Y493" s="110" t="str">
        <f t="array" ref="Y493">_xlfn.XLOOKUP(A493,'Video Database'!L:L,'Video Database'!M:M,"")</f>
        <v>Product Overlay</v>
      </c>
    </row>
    <row r="494" ht="22.5" customHeight="1">
      <c r="A494" s="113">
        <f t="shared" si="12"/>
        <v>493</v>
      </c>
      <c r="B494" s="98" t="str">
        <f t="array" ref="B494">_xlfn.XLOOKUP(A494,'Video Database'!L:L,'Video Database'!D:D,"")</f>
        <v>Blakely</v>
      </c>
      <c r="C494" s="98" t="str">
        <f t="array" ref="C494">_xlfn.XLOOKUP(A494,'Video Database'!L:L,'Video Database'!E:E,"")</f>
        <v>Account 3</v>
      </c>
      <c r="D494" s="99" t="str">
        <f t="array" ref="D494">_xlfn.XLOOKUP(A494,'Video Database'!L:L,'Video Database'!G:G,"")</f>
        <v>AmpDaddy Charger Bundle</v>
      </c>
      <c r="E494" s="100">
        <f t="array" ref="E494">_xlfn.XLOOKUP(A494,'Video Database'!L:L,'Video Database'!H:H,"")</f>
        <v>0.11</v>
      </c>
      <c r="F494" s="101">
        <v>0.0</v>
      </c>
      <c r="G494" s="87">
        <v>0.0</v>
      </c>
      <c r="H494" s="114">
        <f t="array" ref="H494">_xlfn.XLOOKUP(A494,'Video Database'!L:L,'Video Database'!A:A,"")</f>
        <v>46191</v>
      </c>
      <c r="I494" s="103">
        <v>46201.0</v>
      </c>
      <c r="J494" s="104">
        <v>0.0</v>
      </c>
      <c r="K494" s="105"/>
      <c r="L494" s="105" t="str">
        <f t="shared" si="1"/>
        <v/>
      </c>
      <c r="O494" s="106" t="str">
        <f t="shared" si="2"/>
        <v>#N/A</v>
      </c>
      <c r="P494" s="106" t="str">
        <f t="shared" si="3"/>
        <v>#N/A</v>
      </c>
      <c r="Q494" s="84" t="str">
        <f t="shared" si="4"/>
        <v>#N/A</v>
      </c>
      <c r="R494" s="84" t="str">
        <f t="shared" si="5"/>
        <v>#N/A</v>
      </c>
      <c r="S494" s="107">
        <f t="shared" si="6"/>
        <v>-0.11</v>
      </c>
      <c r="T494" s="108">
        <f t="shared" si="7"/>
        <v>-1</v>
      </c>
      <c r="U494" s="106" t="str">
        <f t="shared" si="8"/>
        <v>#N/A</v>
      </c>
      <c r="V494" s="84" t="str">
        <f t="shared" si="9"/>
        <v/>
      </c>
      <c r="W494" s="109" t="str">
        <f t="shared" si="10"/>
        <v/>
      </c>
      <c r="X494" s="109" t="str">
        <f t="shared" si="11"/>
        <v/>
      </c>
      <c r="Y494" s="110" t="str">
        <f t="array" ref="Y494">_xlfn.XLOOKUP(A494,'Video Database'!L:L,'Video Database'!M:M,"")</f>
        <v>Product Overlay</v>
      </c>
    </row>
    <row r="495" ht="22.5" customHeight="1">
      <c r="A495" s="113">
        <f t="shared" si="12"/>
        <v>494</v>
      </c>
      <c r="B495" s="98" t="str">
        <f t="array" ref="B495">_xlfn.XLOOKUP(A495,'Video Database'!L:L,'Video Database'!D:D,"")</f>
        <v>Blakely</v>
      </c>
      <c r="C495" s="98" t="str">
        <f t="array" ref="C495">_xlfn.XLOOKUP(A495,'Video Database'!L:L,'Video Database'!E:E,"")</f>
        <v>Account 3</v>
      </c>
      <c r="D495" s="99" t="str">
        <f t="array" ref="D495">_xlfn.XLOOKUP(A495,'Video Database'!L:L,'Video Database'!G:G,"")</f>
        <v>Clip Light</v>
      </c>
      <c r="E495" s="100">
        <f t="array" ref="E495">_xlfn.XLOOKUP(A495,'Video Database'!L:L,'Video Database'!H:H,"")</f>
        <v>0.11</v>
      </c>
      <c r="F495" s="101">
        <v>0.0</v>
      </c>
      <c r="G495" s="87">
        <v>0.0</v>
      </c>
      <c r="H495" s="114">
        <f t="array" ref="H495">_xlfn.XLOOKUP(A495,'Video Database'!L:L,'Video Database'!A:A,"")</f>
        <v>46191</v>
      </c>
      <c r="I495" s="103">
        <v>46201.0</v>
      </c>
      <c r="J495" s="104">
        <v>0.0</v>
      </c>
      <c r="K495" s="105"/>
      <c r="L495" s="105" t="str">
        <f t="shared" si="1"/>
        <v/>
      </c>
      <c r="O495" s="106" t="str">
        <f t="shared" si="2"/>
        <v>#N/A</v>
      </c>
      <c r="P495" s="106" t="str">
        <f t="shared" si="3"/>
        <v>#N/A</v>
      </c>
      <c r="Q495" s="84" t="str">
        <f t="shared" si="4"/>
        <v>#N/A</v>
      </c>
      <c r="R495" s="84" t="str">
        <f t="shared" si="5"/>
        <v>#N/A</v>
      </c>
      <c r="S495" s="107">
        <f t="shared" si="6"/>
        <v>-0.11</v>
      </c>
      <c r="T495" s="108">
        <f t="shared" si="7"/>
        <v>-1</v>
      </c>
      <c r="U495" s="106" t="str">
        <f t="shared" si="8"/>
        <v>#N/A</v>
      </c>
      <c r="V495" s="84" t="str">
        <f t="shared" si="9"/>
        <v/>
      </c>
      <c r="W495" s="109" t="str">
        <f t="shared" si="10"/>
        <v/>
      </c>
      <c r="X495" s="109" t="str">
        <f t="shared" si="11"/>
        <v/>
      </c>
      <c r="Y495" s="110" t="str">
        <f t="array" ref="Y495">_xlfn.XLOOKUP(A495,'Video Database'!L:L,'Video Database'!M:M,"")</f>
        <v>Product Overlay</v>
      </c>
    </row>
    <row r="496" ht="22.5" customHeight="1">
      <c r="A496" s="113">
        <f t="shared" si="12"/>
        <v>495</v>
      </c>
      <c r="B496" s="98" t="str">
        <f t="array" ref="B496">_xlfn.XLOOKUP(A496,'Video Database'!L:L,'Video Database'!D:D,"")</f>
        <v>Blakely</v>
      </c>
      <c r="C496" s="98" t="str">
        <f t="array" ref="C496">_xlfn.XLOOKUP(A496,'Video Database'!L:L,'Video Database'!E:E,"")</f>
        <v>Account 3</v>
      </c>
      <c r="D496" s="99" t="str">
        <f t="array" ref="D496">_xlfn.XLOOKUP(A496,'Video Database'!L:L,'Video Database'!G:G,"")</f>
        <v>BioEmblem Magnesium</v>
      </c>
      <c r="E496" s="100">
        <f t="array" ref="E496">_xlfn.XLOOKUP(A496,'Video Database'!L:L,'Video Database'!H:H,"")</f>
        <v>0.11</v>
      </c>
      <c r="F496" s="101">
        <v>0.0</v>
      </c>
      <c r="G496" s="87">
        <v>0.0</v>
      </c>
      <c r="H496" s="114">
        <f t="array" ref="H496">_xlfn.XLOOKUP(A496,'Video Database'!L:L,'Video Database'!A:A,"")</f>
        <v>46191</v>
      </c>
      <c r="I496" s="103">
        <v>46201.0</v>
      </c>
      <c r="J496" s="104">
        <v>0.0</v>
      </c>
      <c r="K496" s="105"/>
      <c r="L496" s="105" t="str">
        <f t="shared" si="1"/>
        <v/>
      </c>
      <c r="O496" s="106" t="str">
        <f t="shared" si="2"/>
        <v>#N/A</v>
      </c>
      <c r="P496" s="106" t="str">
        <f t="shared" si="3"/>
        <v>#N/A</v>
      </c>
      <c r="Q496" s="84" t="str">
        <f t="shared" si="4"/>
        <v>#N/A</v>
      </c>
      <c r="R496" s="84" t="str">
        <f t="shared" si="5"/>
        <v>#N/A</v>
      </c>
      <c r="S496" s="107">
        <f t="shared" si="6"/>
        <v>-0.11</v>
      </c>
      <c r="T496" s="108">
        <f t="shared" si="7"/>
        <v>-1</v>
      </c>
      <c r="U496" s="106" t="str">
        <f t="shared" si="8"/>
        <v>#N/A</v>
      </c>
      <c r="V496" s="84" t="str">
        <f t="shared" si="9"/>
        <v/>
      </c>
      <c r="W496" s="109" t="str">
        <f t="shared" si="10"/>
        <v/>
      </c>
      <c r="X496" s="109" t="str">
        <f t="shared" si="11"/>
        <v/>
      </c>
      <c r="Y496" s="110" t="str">
        <f t="array" ref="Y496">_xlfn.XLOOKUP(A496,'Video Database'!L:L,'Video Database'!M:M,"")</f>
        <v>Product Overlay</v>
      </c>
    </row>
    <row r="497" ht="22.5" customHeight="1">
      <c r="A497" s="113">
        <f t="shared" si="12"/>
        <v>496</v>
      </c>
      <c r="B497" s="98" t="str">
        <f t="array" ref="B497">_xlfn.XLOOKUP(A497,'Video Database'!L:L,'Video Database'!D:D,"")</f>
        <v>Blakely</v>
      </c>
      <c r="C497" s="98" t="str">
        <f t="array" ref="C497">_xlfn.XLOOKUP(A497,'Video Database'!L:L,'Video Database'!E:E,"")</f>
        <v>Account 3</v>
      </c>
      <c r="D497" s="99" t="str">
        <f t="array" ref="D497">_xlfn.XLOOKUP(A497,'Video Database'!L:L,'Video Database'!G:G,"")</f>
        <v>BetterAlt All-in-one supplement</v>
      </c>
      <c r="E497" s="100">
        <f t="array" ref="E497">_xlfn.XLOOKUP(A497,'Video Database'!L:L,'Video Database'!H:H,"")</f>
        <v>0.11</v>
      </c>
      <c r="F497" s="101">
        <v>0.0</v>
      </c>
      <c r="G497" s="87">
        <v>0.0</v>
      </c>
      <c r="H497" s="114">
        <f t="array" ref="H497">_xlfn.XLOOKUP(A497,'Video Database'!L:L,'Video Database'!A:A,"")</f>
        <v>46191</v>
      </c>
      <c r="I497" s="103">
        <v>46201.0</v>
      </c>
      <c r="J497" s="104">
        <v>0.0</v>
      </c>
      <c r="K497" s="105"/>
      <c r="L497" s="105" t="str">
        <f t="shared" si="1"/>
        <v/>
      </c>
      <c r="O497" s="106" t="str">
        <f t="shared" si="2"/>
        <v>#N/A</v>
      </c>
      <c r="P497" s="106" t="str">
        <f t="shared" si="3"/>
        <v>#N/A</v>
      </c>
      <c r="Q497" s="84" t="str">
        <f t="shared" si="4"/>
        <v>#N/A</v>
      </c>
      <c r="R497" s="84" t="str">
        <f t="shared" si="5"/>
        <v>#N/A</v>
      </c>
      <c r="S497" s="107">
        <f t="shared" si="6"/>
        <v>-0.11</v>
      </c>
      <c r="T497" s="108">
        <f t="shared" si="7"/>
        <v>-1</v>
      </c>
      <c r="U497" s="106" t="str">
        <f t="shared" si="8"/>
        <v>#N/A</v>
      </c>
      <c r="V497" s="84" t="str">
        <f t="shared" si="9"/>
        <v/>
      </c>
      <c r="W497" s="109" t="str">
        <f t="shared" si="10"/>
        <v/>
      </c>
      <c r="X497" s="109" t="str">
        <f t="shared" si="11"/>
        <v/>
      </c>
      <c r="Y497" s="110" t="str">
        <f t="array" ref="Y497">_xlfn.XLOOKUP(A497,'Video Database'!L:L,'Video Database'!M:M,"")</f>
        <v>Product Overlay</v>
      </c>
    </row>
    <row r="498" ht="22.5" customHeight="1">
      <c r="A498" s="113">
        <f t="shared" si="12"/>
        <v>497</v>
      </c>
      <c r="B498" s="98" t="str">
        <f t="array" ref="B498">_xlfn.XLOOKUP(A498,'Video Database'!L:L,'Video Database'!D:D,"")</f>
        <v>Blakely</v>
      </c>
      <c r="C498" s="98" t="str">
        <f t="array" ref="C498">_xlfn.XLOOKUP(A498,'Video Database'!L:L,'Video Database'!E:E,"")</f>
        <v>Account 3</v>
      </c>
      <c r="D498" s="99" t="str">
        <f t="array" ref="D498">_xlfn.XLOOKUP(A498,'Video Database'!L:L,'Video Database'!G:G,"")</f>
        <v>Bracelet - Silver Bracelet Bundle</v>
      </c>
      <c r="E498" s="100">
        <f t="array" ref="E498">_xlfn.XLOOKUP(A498,'Video Database'!L:L,'Video Database'!H:H,"")</f>
        <v>0.11</v>
      </c>
      <c r="F498" s="101">
        <v>0.0</v>
      </c>
      <c r="G498" s="87">
        <v>0.0</v>
      </c>
      <c r="H498" s="114">
        <f t="array" ref="H498">_xlfn.XLOOKUP(A498,'Video Database'!L:L,'Video Database'!A:A,"")</f>
        <v>46191</v>
      </c>
      <c r="I498" s="103">
        <v>46201.0</v>
      </c>
      <c r="J498" s="104">
        <v>0.0</v>
      </c>
      <c r="K498" s="105"/>
      <c r="L498" s="105" t="str">
        <f t="shared" si="1"/>
        <v/>
      </c>
      <c r="O498" s="106" t="str">
        <f t="shared" si="2"/>
        <v>#N/A</v>
      </c>
      <c r="P498" s="106" t="str">
        <f t="shared" si="3"/>
        <v>#N/A</v>
      </c>
      <c r="Q498" s="84" t="str">
        <f t="shared" si="4"/>
        <v>#N/A</v>
      </c>
      <c r="R498" s="84" t="str">
        <f t="shared" si="5"/>
        <v>#N/A</v>
      </c>
      <c r="S498" s="107">
        <f t="shared" si="6"/>
        <v>-0.11</v>
      </c>
      <c r="T498" s="108">
        <f t="shared" si="7"/>
        <v>-1</v>
      </c>
      <c r="U498" s="106" t="str">
        <f t="shared" si="8"/>
        <v>#N/A</v>
      </c>
      <c r="V498" s="84" t="str">
        <f t="shared" si="9"/>
        <v/>
      </c>
      <c r="W498" s="109" t="str">
        <f t="shared" si="10"/>
        <v/>
      </c>
      <c r="X498" s="109" t="str">
        <f t="shared" si="11"/>
        <v/>
      </c>
      <c r="Y498" s="110" t="str">
        <f t="array" ref="Y498">_xlfn.XLOOKUP(A498,'Video Database'!L:L,'Video Database'!M:M,"")</f>
        <v>Product Overlay</v>
      </c>
    </row>
    <row r="499" ht="22.5" customHeight="1">
      <c r="A499" s="113">
        <f t="shared" si="12"/>
        <v>498</v>
      </c>
      <c r="B499" s="98" t="str">
        <f t="array" ref="B499">_xlfn.XLOOKUP(A499,'Video Database'!L:L,'Video Database'!D:D,"")</f>
        <v>Blakely</v>
      </c>
      <c r="C499" s="98" t="str">
        <f t="array" ref="C499">_xlfn.XLOOKUP(A499,'Video Database'!L:L,'Video Database'!E:E,"")</f>
        <v>Account 3</v>
      </c>
      <c r="D499" s="99" t="str">
        <f t="array" ref="D499">_xlfn.XLOOKUP(A499,'Video Database'!L:L,'Video Database'!G:G,"")</f>
        <v>ForestLeaf Grassfed Beef Liver</v>
      </c>
      <c r="E499" s="100">
        <f t="array" ref="E499">_xlfn.XLOOKUP(A499,'Video Database'!L:L,'Video Database'!H:H,"")</f>
        <v>0.11</v>
      </c>
      <c r="F499" s="101">
        <v>0.0</v>
      </c>
      <c r="G499" s="87">
        <v>0.0</v>
      </c>
      <c r="H499" s="114">
        <f t="array" ref="H499">_xlfn.XLOOKUP(A499,'Video Database'!L:L,'Video Database'!A:A,"")</f>
        <v>46191</v>
      </c>
      <c r="I499" s="103">
        <v>46201.0</v>
      </c>
      <c r="J499" s="104">
        <v>0.0</v>
      </c>
      <c r="K499" s="105"/>
      <c r="L499" s="105" t="str">
        <f t="shared" si="1"/>
        <v/>
      </c>
      <c r="O499" s="106" t="str">
        <f t="shared" si="2"/>
        <v>#N/A</v>
      </c>
      <c r="P499" s="106" t="str">
        <f t="shared" si="3"/>
        <v>#N/A</v>
      </c>
      <c r="Q499" s="84" t="str">
        <f t="shared" si="4"/>
        <v>#N/A</v>
      </c>
      <c r="R499" s="84" t="str">
        <f t="shared" si="5"/>
        <v>#N/A</v>
      </c>
      <c r="S499" s="107">
        <f t="shared" si="6"/>
        <v>-0.11</v>
      </c>
      <c r="T499" s="108">
        <f t="shared" si="7"/>
        <v>-1</v>
      </c>
      <c r="U499" s="106" t="str">
        <f t="shared" si="8"/>
        <v>#N/A</v>
      </c>
      <c r="V499" s="84" t="str">
        <f t="shared" si="9"/>
        <v/>
      </c>
      <c r="W499" s="109" t="str">
        <f t="shared" si="10"/>
        <v/>
      </c>
      <c r="X499" s="109" t="str">
        <f t="shared" si="11"/>
        <v/>
      </c>
      <c r="Y499" s="110" t="str">
        <f t="array" ref="Y499">_xlfn.XLOOKUP(A499,'Video Database'!L:L,'Video Database'!M:M,"")</f>
        <v>Product Overlay</v>
      </c>
    </row>
    <row r="500" ht="22.5" customHeight="1">
      <c r="A500" s="113">
        <f t="shared" si="12"/>
        <v>499</v>
      </c>
      <c r="B500" s="98" t="str">
        <f t="array" ref="B500">_xlfn.XLOOKUP(A500,'Video Database'!L:L,'Video Database'!D:D,"")</f>
        <v>Blakely</v>
      </c>
      <c r="C500" s="98" t="str">
        <f t="array" ref="C500">_xlfn.XLOOKUP(A500,'Video Database'!L:L,'Video Database'!E:E,"")</f>
        <v>Account 3</v>
      </c>
      <c r="D500" s="99" t="str">
        <f t="array" ref="D500">_xlfn.XLOOKUP(A500,'Video Database'!L:L,'Video Database'!G:G,"")</f>
        <v>Portable Magnetic Phone Mount</v>
      </c>
      <c r="E500" s="100">
        <f t="array" ref="E500">_xlfn.XLOOKUP(A500,'Video Database'!L:L,'Video Database'!H:H,"")</f>
        <v>0.11</v>
      </c>
      <c r="F500" s="101">
        <v>0.0</v>
      </c>
      <c r="G500" s="87">
        <v>0.0</v>
      </c>
      <c r="H500" s="114">
        <f t="array" ref="H500">_xlfn.XLOOKUP(A500,'Video Database'!L:L,'Video Database'!A:A,"")</f>
        <v>46191</v>
      </c>
      <c r="I500" s="103">
        <v>46201.0</v>
      </c>
      <c r="J500" s="104">
        <v>0.0</v>
      </c>
      <c r="K500" s="105"/>
      <c r="L500" s="105" t="str">
        <f t="shared" si="1"/>
        <v/>
      </c>
      <c r="O500" s="106" t="str">
        <f t="shared" si="2"/>
        <v>#N/A</v>
      </c>
      <c r="P500" s="106" t="str">
        <f t="shared" si="3"/>
        <v>#N/A</v>
      </c>
      <c r="Q500" s="84" t="str">
        <f t="shared" si="4"/>
        <v>#N/A</v>
      </c>
      <c r="R500" s="84" t="str">
        <f t="shared" si="5"/>
        <v>#N/A</v>
      </c>
      <c r="S500" s="107">
        <f t="shared" si="6"/>
        <v>-0.11</v>
      </c>
      <c r="T500" s="108">
        <f t="shared" si="7"/>
        <v>-1</v>
      </c>
      <c r="U500" s="106" t="str">
        <f t="shared" si="8"/>
        <v>#N/A</v>
      </c>
      <c r="V500" s="84" t="str">
        <f t="shared" si="9"/>
        <v/>
      </c>
      <c r="W500" s="109" t="str">
        <f t="shared" si="10"/>
        <v/>
      </c>
      <c r="X500" s="109" t="str">
        <f t="shared" si="11"/>
        <v/>
      </c>
      <c r="Y500" s="110" t="str">
        <f t="array" ref="Y500">_xlfn.XLOOKUP(A500,'Video Database'!L:L,'Video Database'!M:M,"")</f>
        <v>Product Overlay</v>
      </c>
    </row>
    <row r="501" ht="22.5" customHeight="1">
      <c r="A501" s="113">
        <f t="shared" si="12"/>
        <v>500</v>
      </c>
      <c r="B501" s="98" t="str">
        <f t="array" ref="B501">_xlfn.XLOOKUP(A501,'Video Database'!L:L,'Video Database'!D:D,"")</f>
        <v>Sierra</v>
      </c>
      <c r="C501" s="98" t="str">
        <f t="array" ref="C501">_xlfn.XLOOKUP(A501,'Video Database'!L:L,'Video Database'!E:E,"")</f>
        <v>Account 4</v>
      </c>
      <c r="D501" s="99" t="str">
        <f t="array" ref="D501">_xlfn.XLOOKUP(A501,'Video Database'!L:L,'Video Database'!G:G,"")</f>
        <v>SKIN1004 Hyla-Cica Water Fit Sunscreen</v>
      </c>
      <c r="E501" s="100">
        <f t="array" ref="E501">_xlfn.XLOOKUP(A501,'Video Database'!L:L,'Video Database'!H:H,"")</f>
        <v>1.1</v>
      </c>
      <c r="F501" s="101">
        <v>0.0</v>
      </c>
      <c r="G501" s="87">
        <v>0.0</v>
      </c>
      <c r="H501" s="114">
        <f t="array" ref="H501">_xlfn.XLOOKUP(A501,'Video Database'!L:L,'Video Database'!A:A,"")</f>
        <v>46191</v>
      </c>
      <c r="I501" s="103">
        <v>46201.0</v>
      </c>
      <c r="J501" s="104">
        <v>0.0</v>
      </c>
      <c r="K501" s="105"/>
      <c r="L501" s="105" t="str">
        <f t="shared" si="1"/>
        <v/>
      </c>
      <c r="O501" s="106" t="str">
        <f t="shared" si="2"/>
        <v>#N/A</v>
      </c>
      <c r="P501" s="106" t="str">
        <f t="shared" si="3"/>
        <v>#N/A</v>
      </c>
      <c r="Q501" s="84" t="str">
        <f t="shared" si="4"/>
        <v>#N/A</v>
      </c>
      <c r="R501" s="84" t="str">
        <f t="shared" si="5"/>
        <v>#N/A</v>
      </c>
      <c r="S501" s="107">
        <f t="shared" si="6"/>
        <v>-1.1</v>
      </c>
      <c r="T501" s="108">
        <f t="shared" si="7"/>
        <v>-1</v>
      </c>
      <c r="U501" s="106" t="str">
        <f t="shared" si="8"/>
        <v>#N/A</v>
      </c>
      <c r="V501" s="84" t="str">
        <f t="shared" si="9"/>
        <v/>
      </c>
      <c r="W501" s="109" t="str">
        <f t="shared" si="10"/>
        <v/>
      </c>
      <c r="X501" s="109" t="str">
        <f t="shared" si="11"/>
        <v/>
      </c>
      <c r="Y501" s="110" t="str">
        <f t="array" ref="Y501">_xlfn.XLOOKUP(A501,'Video Database'!L:L,'Video Database'!M:M,"")</f>
        <v>Middle of Funnel</v>
      </c>
    </row>
    <row r="502" ht="22.5" customHeight="1">
      <c r="A502" s="113">
        <f t="shared" si="12"/>
        <v>501</v>
      </c>
      <c r="B502" s="98" t="str">
        <f t="array" ref="B502">_xlfn.XLOOKUP(A502,'Video Database'!L:L,'Video Database'!D:D,"")</f>
        <v>Erin</v>
      </c>
      <c r="C502" s="98" t="str">
        <f t="array" ref="C502">_xlfn.XLOOKUP(A502,'Video Database'!L:L,'Video Database'!E:E,"")</f>
        <v>Account 4</v>
      </c>
      <c r="D502" s="99" t="str">
        <f t="array" ref="D502">_xlfn.XLOOKUP(A502,'Video Database'!L:L,'Video Database'!G:G,"")</f>
        <v>Peta Jane Self-Tan Starter Kit Medium</v>
      </c>
      <c r="E502" s="100">
        <f t="array" ref="E502">_xlfn.XLOOKUP(A502,'Video Database'!L:L,'Video Database'!H:H,"")</f>
        <v>1.1</v>
      </c>
      <c r="F502" s="101">
        <v>0.0</v>
      </c>
      <c r="G502" s="87">
        <v>0.0</v>
      </c>
      <c r="H502" s="114">
        <f t="array" ref="H502">_xlfn.XLOOKUP(A502,'Video Database'!L:L,'Video Database'!A:A,"")</f>
        <v>46191</v>
      </c>
      <c r="I502" s="103">
        <v>46201.0</v>
      </c>
      <c r="J502" s="104">
        <v>0.0</v>
      </c>
      <c r="K502" s="105"/>
      <c r="L502" s="105" t="str">
        <f t="shared" si="1"/>
        <v/>
      </c>
      <c r="O502" s="106" t="str">
        <f t="shared" si="2"/>
        <v>#N/A</v>
      </c>
      <c r="P502" s="106" t="str">
        <f t="shared" si="3"/>
        <v>#N/A</v>
      </c>
      <c r="Q502" s="84" t="str">
        <f t="shared" si="4"/>
        <v>#N/A</v>
      </c>
      <c r="R502" s="84" t="str">
        <f t="shared" si="5"/>
        <v>#N/A</v>
      </c>
      <c r="S502" s="107">
        <f t="shared" si="6"/>
        <v>-1.1</v>
      </c>
      <c r="T502" s="108">
        <f t="shared" si="7"/>
        <v>-1</v>
      </c>
      <c r="U502" s="106" t="str">
        <f t="shared" si="8"/>
        <v>#N/A</v>
      </c>
      <c r="V502" s="84" t="str">
        <f t="shared" si="9"/>
        <v/>
      </c>
      <c r="W502" s="109" t="str">
        <f t="shared" si="10"/>
        <v/>
      </c>
      <c r="X502" s="109" t="str">
        <f t="shared" si="11"/>
        <v/>
      </c>
      <c r="Y502" s="110" t="str">
        <f t="array" ref="Y502">_xlfn.XLOOKUP(A502,'Video Database'!L:L,'Video Database'!M:M,"")</f>
        <v>Bottom of Funnel</v>
      </c>
    </row>
    <row r="503" ht="22.5" customHeight="1">
      <c r="A503" s="113">
        <f t="shared" si="12"/>
        <v>502</v>
      </c>
      <c r="B503" s="98" t="str">
        <f t="array" ref="B503">_xlfn.XLOOKUP(A503,'Video Database'!L:L,'Video Database'!D:D,"")</f>
        <v>Blakely</v>
      </c>
      <c r="C503" s="98" t="str">
        <f t="array" ref="C503">_xlfn.XLOOKUP(A503,'Video Database'!L:L,'Video Database'!E:E,"")</f>
        <v>Account 4</v>
      </c>
      <c r="D503" s="99" t="str">
        <f t="array" ref="D503">_xlfn.XLOOKUP(A503,'Video Database'!L:L,'Video Database'!G:G,"")</f>
        <v>Cutler Nutrition Liquid Carnitine 3000</v>
      </c>
      <c r="E503" s="100">
        <f t="array" ref="E503">_xlfn.XLOOKUP(A503,'Video Database'!L:L,'Video Database'!H:H,"")</f>
        <v>0.11</v>
      </c>
      <c r="F503" s="101">
        <v>0.0</v>
      </c>
      <c r="G503" s="87">
        <v>0.0</v>
      </c>
      <c r="H503" s="114">
        <f t="array" ref="H503">_xlfn.XLOOKUP(A503,'Video Database'!L:L,'Video Database'!A:A,"")</f>
        <v>46191</v>
      </c>
      <c r="I503" s="103">
        <v>46201.0</v>
      </c>
      <c r="J503" s="104">
        <v>0.0</v>
      </c>
      <c r="K503" s="105"/>
      <c r="L503" s="105" t="str">
        <f t="shared" si="1"/>
        <v/>
      </c>
      <c r="O503" s="106" t="str">
        <f t="shared" si="2"/>
        <v>#N/A</v>
      </c>
      <c r="P503" s="106" t="str">
        <f t="shared" si="3"/>
        <v>#N/A</v>
      </c>
      <c r="Q503" s="84" t="str">
        <f t="shared" si="4"/>
        <v>#N/A</v>
      </c>
      <c r="R503" s="84" t="str">
        <f t="shared" si="5"/>
        <v>#N/A</v>
      </c>
      <c r="S503" s="107">
        <f t="shared" si="6"/>
        <v>-0.11</v>
      </c>
      <c r="T503" s="108">
        <f t="shared" si="7"/>
        <v>-1</v>
      </c>
      <c r="U503" s="106" t="str">
        <f t="shared" si="8"/>
        <v>#N/A</v>
      </c>
      <c r="V503" s="84" t="str">
        <f t="shared" si="9"/>
        <v/>
      </c>
      <c r="W503" s="109" t="str">
        <f t="shared" si="10"/>
        <v/>
      </c>
      <c r="X503" s="109" t="str">
        <f t="shared" si="11"/>
        <v/>
      </c>
      <c r="Y503" s="110" t="str">
        <f t="array" ref="Y503">_xlfn.XLOOKUP(A503,'Video Database'!L:L,'Video Database'!M:M,"")</f>
        <v>Product Overlay</v>
      </c>
    </row>
    <row r="504" ht="22.5" customHeight="1">
      <c r="A504" s="113">
        <f t="shared" si="12"/>
        <v>503</v>
      </c>
      <c r="B504" s="98" t="str">
        <f t="array" ref="B504">_xlfn.XLOOKUP(A504,'Video Database'!L:L,'Video Database'!D:D,"")</f>
        <v>Blakely</v>
      </c>
      <c r="C504" s="98" t="str">
        <f t="array" ref="C504">_xlfn.XLOOKUP(A504,'Video Database'!L:L,'Video Database'!E:E,"")</f>
        <v>Account 4</v>
      </c>
      <c r="D504" s="99" t="str">
        <f t="array" ref="D504">_xlfn.XLOOKUP(A504,'Video Database'!L:L,'Video Database'!G:G,"")</f>
        <v>COSRX US The Copper Peptide Serum</v>
      </c>
      <c r="E504" s="100">
        <f t="array" ref="E504">_xlfn.XLOOKUP(A504,'Video Database'!L:L,'Video Database'!H:H,"")</f>
        <v>0.11</v>
      </c>
      <c r="F504" s="101">
        <v>0.0</v>
      </c>
      <c r="G504" s="87">
        <v>0.0</v>
      </c>
      <c r="H504" s="114">
        <f t="array" ref="H504">_xlfn.XLOOKUP(A504,'Video Database'!L:L,'Video Database'!A:A,"")</f>
        <v>46191</v>
      </c>
      <c r="I504" s="103">
        <v>46201.0</v>
      </c>
      <c r="J504" s="104">
        <v>0.0</v>
      </c>
      <c r="K504" s="105"/>
      <c r="L504" s="105" t="str">
        <f t="shared" si="1"/>
        <v/>
      </c>
      <c r="O504" s="106" t="str">
        <f t="shared" si="2"/>
        <v>#N/A</v>
      </c>
      <c r="P504" s="106" t="str">
        <f t="shared" si="3"/>
        <v>#N/A</v>
      </c>
      <c r="Q504" s="84" t="str">
        <f t="shared" si="4"/>
        <v>#N/A</v>
      </c>
      <c r="R504" s="84" t="str">
        <f t="shared" si="5"/>
        <v>#N/A</v>
      </c>
      <c r="S504" s="107">
        <f t="shared" si="6"/>
        <v>-0.11</v>
      </c>
      <c r="T504" s="108">
        <f t="shared" si="7"/>
        <v>-1</v>
      </c>
      <c r="U504" s="106" t="str">
        <f t="shared" si="8"/>
        <v>#N/A</v>
      </c>
      <c r="V504" s="84" t="str">
        <f t="shared" si="9"/>
        <v/>
      </c>
      <c r="W504" s="109" t="str">
        <f t="shared" si="10"/>
        <v/>
      </c>
      <c r="X504" s="109" t="str">
        <f t="shared" si="11"/>
        <v/>
      </c>
      <c r="Y504" s="110" t="str">
        <f t="array" ref="Y504">_xlfn.XLOOKUP(A504,'Video Database'!L:L,'Video Database'!M:M,"")</f>
        <v>Product Overlay</v>
      </c>
    </row>
    <row r="505" ht="22.5" customHeight="1">
      <c r="A505" s="113">
        <f t="shared" si="12"/>
        <v>504</v>
      </c>
      <c r="B505" s="98" t="str">
        <f t="array" ref="B505">_xlfn.XLOOKUP(A505,'Video Database'!L:L,'Video Database'!D:D,"")</f>
        <v>Blakely</v>
      </c>
      <c r="C505" s="98" t="str">
        <f t="array" ref="C505">_xlfn.XLOOKUP(A505,'Video Database'!L:L,'Video Database'!E:E,"")</f>
        <v>Account 4</v>
      </c>
      <c r="D505" s="99" t="str">
        <f t="array" ref="D505">_xlfn.XLOOKUP(A505,'Video Database'!L:L,'Video Database'!G:G,"")</f>
        <v>AmpDaddy Charger Bundle</v>
      </c>
      <c r="E505" s="100">
        <f t="array" ref="E505">_xlfn.XLOOKUP(A505,'Video Database'!L:L,'Video Database'!H:H,"")</f>
        <v>0.11</v>
      </c>
      <c r="F505" s="101">
        <v>0.0</v>
      </c>
      <c r="G505" s="87">
        <v>0.0</v>
      </c>
      <c r="H505" s="114">
        <f t="array" ref="H505">_xlfn.XLOOKUP(A505,'Video Database'!L:L,'Video Database'!A:A,"")</f>
        <v>46191</v>
      </c>
      <c r="I505" s="103">
        <v>46201.0</v>
      </c>
      <c r="J505" s="104">
        <v>0.0</v>
      </c>
      <c r="K505" s="105"/>
      <c r="L505" s="105" t="str">
        <f t="shared" si="1"/>
        <v/>
      </c>
      <c r="O505" s="106" t="str">
        <f t="shared" si="2"/>
        <v>#N/A</v>
      </c>
      <c r="P505" s="106" t="str">
        <f t="shared" si="3"/>
        <v>#N/A</v>
      </c>
      <c r="Q505" s="84" t="str">
        <f t="shared" si="4"/>
        <v>#N/A</v>
      </c>
      <c r="R505" s="84" t="str">
        <f t="shared" si="5"/>
        <v>#N/A</v>
      </c>
      <c r="S505" s="107">
        <f t="shared" si="6"/>
        <v>-0.11</v>
      </c>
      <c r="T505" s="108">
        <f t="shared" si="7"/>
        <v>-1</v>
      </c>
      <c r="U505" s="106" t="str">
        <f t="shared" si="8"/>
        <v>#N/A</v>
      </c>
      <c r="V505" s="84" t="str">
        <f t="shared" si="9"/>
        <v/>
      </c>
      <c r="W505" s="109" t="str">
        <f t="shared" si="10"/>
        <v/>
      </c>
      <c r="X505" s="109" t="str">
        <f t="shared" si="11"/>
        <v/>
      </c>
      <c r="Y505" s="110" t="str">
        <f t="array" ref="Y505">_xlfn.XLOOKUP(A505,'Video Database'!L:L,'Video Database'!M:M,"")</f>
        <v>Product Overlay</v>
      </c>
    </row>
    <row r="506" ht="22.5" customHeight="1">
      <c r="A506" s="113">
        <f t="shared" si="12"/>
        <v>505</v>
      </c>
      <c r="B506" s="98" t="str">
        <f t="array" ref="B506">_xlfn.XLOOKUP(A506,'Video Database'!L:L,'Video Database'!D:D,"")</f>
        <v>Blakely</v>
      </c>
      <c r="C506" s="98" t="str">
        <f t="array" ref="C506">_xlfn.XLOOKUP(A506,'Video Database'!L:L,'Video Database'!E:E,"")</f>
        <v>Account 4</v>
      </c>
      <c r="D506" s="99" t="str">
        <f t="array" ref="D506">_xlfn.XLOOKUP(A506,'Video Database'!L:L,'Video Database'!G:G,"")</f>
        <v>Beast Bites Creatine Gummies</v>
      </c>
      <c r="E506" s="100">
        <f t="array" ref="E506">_xlfn.XLOOKUP(A506,'Video Database'!L:L,'Video Database'!H:H,"")</f>
        <v>0.11</v>
      </c>
      <c r="F506" s="101">
        <v>0.0</v>
      </c>
      <c r="G506" s="87">
        <v>0.0</v>
      </c>
      <c r="H506" s="114">
        <f t="array" ref="H506">_xlfn.XLOOKUP(A506,'Video Database'!L:L,'Video Database'!A:A,"")</f>
        <v>46191</v>
      </c>
      <c r="I506" s="103">
        <v>46201.0</v>
      </c>
      <c r="J506" s="104">
        <v>0.0</v>
      </c>
      <c r="K506" s="105"/>
      <c r="L506" s="105" t="str">
        <f t="shared" si="1"/>
        <v/>
      </c>
      <c r="O506" s="106" t="str">
        <f t="shared" si="2"/>
        <v>#N/A</v>
      </c>
      <c r="P506" s="106" t="str">
        <f t="shared" si="3"/>
        <v>#N/A</v>
      </c>
      <c r="Q506" s="84" t="str">
        <f t="shared" si="4"/>
        <v>#N/A</v>
      </c>
      <c r="R506" s="84" t="str">
        <f t="shared" si="5"/>
        <v>#N/A</v>
      </c>
      <c r="S506" s="107">
        <f t="shared" si="6"/>
        <v>-0.11</v>
      </c>
      <c r="T506" s="108">
        <f t="shared" si="7"/>
        <v>-1</v>
      </c>
      <c r="U506" s="106" t="str">
        <f t="shared" si="8"/>
        <v>#N/A</v>
      </c>
      <c r="V506" s="84" t="str">
        <f t="shared" si="9"/>
        <v/>
      </c>
      <c r="W506" s="109" t="str">
        <f t="shared" si="10"/>
        <v/>
      </c>
      <c r="X506" s="109" t="str">
        <f t="shared" si="11"/>
        <v/>
      </c>
      <c r="Y506" s="110" t="str">
        <f t="array" ref="Y506">_xlfn.XLOOKUP(A506,'Video Database'!L:L,'Video Database'!M:M,"")</f>
        <v>Product Overlay</v>
      </c>
    </row>
    <row r="507" ht="22.5" customHeight="1">
      <c r="A507" s="113">
        <f t="shared" si="12"/>
        <v>506</v>
      </c>
      <c r="B507" s="98" t="str">
        <f t="array" ref="B507">_xlfn.XLOOKUP(A507,'Video Database'!L:L,'Video Database'!D:D,"")</f>
        <v>Blakely</v>
      </c>
      <c r="C507" s="98" t="str">
        <f t="array" ref="C507">_xlfn.XLOOKUP(A507,'Video Database'!L:L,'Video Database'!E:E,"")</f>
        <v>Account 4</v>
      </c>
      <c r="D507" s="99" t="str">
        <f t="array" ref="D507">_xlfn.XLOOKUP(A507,'Video Database'!L:L,'Video Database'!G:G,"")</f>
        <v>ForestLeaf Grassfed Beef Liver</v>
      </c>
      <c r="E507" s="100">
        <f t="array" ref="E507">_xlfn.XLOOKUP(A507,'Video Database'!L:L,'Video Database'!H:H,"")</f>
        <v>0.11</v>
      </c>
      <c r="F507" s="101">
        <v>0.0</v>
      </c>
      <c r="G507" s="87">
        <v>0.0</v>
      </c>
      <c r="H507" s="114">
        <f t="array" ref="H507">_xlfn.XLOOKUP(A507,'Video Database'!L:L,'Video Database'!A:A,"")</f>
        <v>46191</v>
      </c>
      <c r="I507" s="103">
        <v>46201.0</v>
      </c>
      <c r="J507" s="104">
        <v>0.0</v>
      </c>
      <c r="K507" s="105"/>
      <c r="L507" s="105" t="str">
        <f t="shared" si="1"/>
        <v/>
      </c>
      <c r="O507" s="106" t="str">
        <f t="shared" si="2"/>
        <v>#N/A</v>
      </c>
      <c r="P507" s="106" t="str">
        <f t="shared" si="3"/>
        <v>#N/A</v>
      </c>
      <c r="Q507" s="84" t="str">
        <f t="shared" si="4"/>
        <v>#N/A</v>
      </c>
      <c r="R507" s="84" t="str">
        <f t="shared" si="5"/>
        <v>#N/A</v>
      </c>
      <c r="S507" s="107">
        <f t="shared" si="6"/>
        <v>-0.11</v>
      </c>
      <c r="T507" s="108">
        <f t="shared" si="7"/>
        <v>-1</v>
      </c>
      <c r="U507" s="106" t="str">
        <f t="shared" si="8"/>
        <v>#N/A</v>
      </c>
      <c r="V507" s="84" t="str">
        <f t="shared" si="9"/>
        <v/>
      </c>
      <c r="W507" s="109" t="str">
        <f t="shared" si="10"/>
        <v/>
      </c>
      <c r="X507" s="109" t="str">
        <f t="shared" si="11"/>
        <v/>
      </c>
      <c r="Y507" s="110" t="str">
        <f t="array" ref="Y507">_xlfn.XLOOKUP(A507,'Video Database'!L:L,'Video Database'!M:M,"")</f>
        <v>Product Overlay</v>
      </c>
    </row>
    <row r="508" ht="22.5" customHeight="1">
      <c r="A508" s="113">
        <f t="shared" si="12"/>
        <v>507</v>
      </c>
      <c r="B508" s="98" t="str">
        <f t="array" ref="B508">_xlfn.XLOOKUP(A508,'Video Database'!L:L,'Video Database'!D:D,"")</f>
        <v>Blakely</v>
      </c>
      <c r="C508" s="98" t="str">
        <f t="array" ref="C508">_xlfn.XLOOKUP(A508,'Video Database'!L:L,'Video Database'!E:E,"")</f>
        <v>Account 4</v>
      </c>
      <c r="D508" s="99" t="str">
        <f t="array" ref="D508">_xlfn.XLOOKUP(A508,'Video Database'!L:L,'Video Database'!G:G,"")</f>
        <v>Portable Magnetic Phone Mount</v>
      </c>
      <c r="E508" s="100">
        <f t="array" ref="E508">_xlfn.XLOOKUP(A508,'Video Database'!L:L,'Video Database'!H:H,"")</f>
        <v>0.11</v>
      </c>
      <c r="F508" s="101">
        <v>11.54</v>
      </c>
      <c r="G508" s="87">
        <v>2.0</v>
      </c>
      <c r="H508" s="114">
        <f t="array" ref="H508">_xlfn.XLOOKUP(A508,'Video Database'!L:L,'Video Database'!A:A,"")</f>
        <v>46191</v>
      </c>
      <c r="I508" s="103">
        <v>46201.0</v>
      </c>
      <c r="J508" s="104">
        <v>2.63</v>
      </c>
      <c r="K508" s="87">
        <v>36.0</v>
      </c>
      <c r="L508" s="105">
        <f t="shared" si="1"/>
        <v>1600</v>
      </c>
      <c r="M508" s="87">
        <v>1600.0</v>
      </c>
      <c r="O508" s="106">
        <f t="shared" si="2"/>
        <v>0.0225</v>
      </c>
      <c r="P508" s="106">
        <f t="shared" si="3"/>
        <v>0.05555555556</v>
      </c>
      <c r="Q508" s="84">
        <f t="shared" si="4"/>
        <v>1.315</v>
      </c>
      <c r="R508" s="84">
        <f t="shared" si="5"/>
        <v>5.77</v>
      </c>
      <c r="S508" s="107">
        <f t="shared" si="6"/>
        <v>2.52</v>
      </c>
      <c r="T508" s="108">
        <f t="shared" si="7"/>
        <v>22.90909091</v>
      </c>
      <c r="U508" s="106">
        <f t="shared" si="8"/>
        <v>0.9581749049</v>
      </c>
      <c r="V508" s="129">
        <f t="shared" si="9"/>
        <v>0.055</v>
      </c>
      <c r="W508" s="109">
        <f t="shared" si="10"/>
        <v>0.003055555556</v>
      </c>
      <c r="X508" s="109">
        <f t="shared" si="11"/>
        <v>0.9532062392</v>
      </c>
      <c r="Y508" s="110" t="str">
        <f t="array" ref="Y508">_xlfn.XLOOKUP(A508,'Video Database'!L:L,'Video Database'!M:M,"")</f>
        <v>Product Overlay</v>
      </c>
    </row>
    <row r="509" ht="22.5" customHeight="1">
      <c r="A509" s="113">
        <f t="shared" si="12"/>
        <v>508</v>
      </c>
      <c r="B509" s="98" t="str">
        <f t="array" ref="B509">_xlfn.XLOOKUP(A509,'Video Database'!L:L,'Video Database'!D:D,"")</f>
        <v>Blakely</v>
      </c>
      <c r="C509" s="98" t="str">
        <f t="array" ref="C509">_xlfn.XLOOKUP(A509,'Video Database'!L:L,'Video Database'!E:E,"")</f>
        <v>Account 4</v>
      </c>
      <c r="D509" s="99" t="str">
        <f t="array" ref="D509">_xlfn.XLOOKUP(A509,'Video Database'!L:L,'Video Database'!G:G,"")</f>
        <v>BetterAlt All-in-one supplement</v>
      </c>
      <c r="E509" s="100">
        <f t="array" ref="E509">_xlfn.XLOOKUP(A509,'Video Database'!L:L,'Video Database'!H:H,"")</f>
        <v>0.11</v>
      </c>
      <c r="F509" s="101">
        <v>0.0</v>
      </c>
      <c r="G509" s="87">
        <v>0.0</v>
      </c>
      <c r="H509" s="114">
        <f t="array" ref="H509">_xlfn.XLOOKUP(A509,'Video Database'!L:L,'Video Database'!A:A,"")</f>
        <v>46191</v>
      </c>
      <c r="I509" s="103">
        <v>46201.0</v>
      </c>
      <c r="J509" s="104">
        <v>0.0</v>
      </c>
      <c r="K509" s="105"/>
      <c r="L509" s="105" t="str">
        <f t="shared" si="1"/>
        <v/>
      </c>
      <c r="O509" s="106" t="str">
        <f t="shared" si="2"/>
        <v>#N/A</v>
      </c>
      <c r="P509" s="106" t="str">
        <f t="shared" si="3"/>
        <v>#N/A</v>
      </c>
      <c r="Q509" s="84" t="str">
        <f t="shared" si="4"/>
        <v>#N/A</v>
      </c>
      <c r="R509" s="84" t="str">
        <f t="shared" si="5"/>
        <v>#N/A</v>
      </c>
      <c r="S509" s="107">
        <f t="shared" si="6"/>
        <v>-0.11</v>
      </c>
      <c r="T509" s="108">
        <f t="shared" si="7"/>
        <v>-1</v>
      </c>
      <c r="U509" s="106" t="str">
        <f t="shared" si="8"/>
        <v>#N/A</v>
      </c>
      <c r="V509" s="84" t="str">
        <f t="shared" si="9"/>
        <v/>
      </c>
      <c r="W509" s="109" t="str">
        <f t="shared" si="10"/>
        <v/>
      </c>
      <c r="X509" s="109" t="str">
        <f t="shared" si="11"/>
        <v/>
      </c>
      <c r="Y509" s="110" t="str">
        <f t="array" ref="Y509">_xlfn.XLOOKUP(A509,'Video Database'!L:L,'Video Database'!M:M,"")</f>
        <v>Product Overlay</v>
      </c>
    </row>
    <row r="510" ht="22.5" customHeight="1">
      <c r="A510" s="113">
        <f t="shared" si="12"/>
        <v>509</v>
      </c>
      <c r="B510" s="98" t="str">
        <f t="array" ref="B510">_xlfn.XLOOKUP(A510,'Video Database'!L:L,'Video Database'!D:D,"")</f>
        <v>Blakely</v>
      </c>
      <c r="C510" s="98" t="str">
        <f t="array" ref="C510">_xlfn.XLOOKUP(A510,'Video Database'!L:L,'Video Database'!E:E,"")</f>
        <v>Account 4</v>
      </c>
      <c r="D510" s="99" t="str">
        <f t="array" ref="D510">_xlfn.XLOOKUP(A510,'Video Database'!L:L,'Video Database'!G:G,"")</f>
        <v>COSRX US The Copper Peptide Serum</v>
      </c>
      <c r="E510" s="100">
        <f t="array" ref="E510">_xlfn.XLOOKUP(A510,'Video Database'!L:L,'Video Database'!H:H,"")</f>
        <v>0.11</v>
      </c>
      <c r="F510" s="101">
        <v>0.0</v>
      </c>
      <c r="G510" s="87">
        <v>0.0</v>
      </c>
      <c r="H510" s="114">
        <f t="array" ref="H510">_xlfn.XLOOKUP(A510,'Video Database'!L:L,'Video Database'!A:A,"")</f>
        <v>46191</v>
      </c>
      <c r="I510" s="103">
        <v>46201.0</v>
      </c>
      <c r="J510" s="104">
        <v>0.0</v>
      </c>
      <c r="K510" s="105"/>
      <c r="L510" s="105" t="str">
        <f t="shared" si="1"/>
        <v/>
      </c>
      <c r="O510" s="106" t="str">
        <f t="shared" si="2"/>
        <v>#N/A</v>
      </c>
      <c r="P510" s="106" t="str">
        <f t="shared" si="3"/>
        <v>#N/A</v>
      </c>
      <c r="Q510" s="84" t="str">
        <f t="shared" si="4"/>
        <v>#N/A</v>
      </c>
      <c r="R510" s="84" t="str">
        <f t="shared" si="5"/>
        <v>#N/A</v>
      </c>
      <c r="S510" s="107">
        <f t="shared" si="6"/>
        <v>-0.11</v>
      </c>
      <c r="T510" s="108">
        <f t="shared" si="7"/>
        <v>-1</v>
      </c>
      <c r="U510" s="106" t="str">
        <f t="shared" si="8"/>
        <v>#N/A</v>
      </c>
      <c r="V510" s="84" t="str">
        <f t="shared" si="9"/>
        <v/>
      </c>
      <c r="W510" s="109" t="str">
        <f t="shared" si="10"/>
        <v/>
      </c>
      <c r="X510" s="109" t="str">
        <f t="shared" si="11"/>
        <v/>
      </c>
      <c r="Y510" s="110" t="str">
        <f t="array" ref="Y510">_xlfn.XLOOKUP(A510,'Video Database'!L:L,'Video Database'!M:M,"")</f>
        <v>Product Overlay</v>
      </c>
    </row>
    <row r="511" ht="22.5" customHeight="1">
      <c r="A511" s="113">
        <f t="shared" si="12"/>
        <v>510</v>
      </c>
      <c r="B511" s="98" t="str">
        <f t="array" ref="B511">_xlfn.XLOOKUP(A511,'Video Database'!L:L,'Video Database'!D:D,"")</f>
        <v>Blakely</v>
      </c>
      <c r="C511" s="98" t="str">
        <f t="array" ref="C511">_xlfn.XLOOKUP(A511,'Video Database'!L:L,'Video Database'!E:E,"")</f>
        <v>Account 4</v>
      </c>
      <c r="D511" s="99" t="str">
        <f t="array" ref="D511">_xlfn.XLOOKUP(A511,'Video Database'!L:L,'Video Database'!G:G,"")</f>
        <v>COSRX US The Copper Peptide Serum</v>
      </c>
      <c r="E511" s="100">
        <f t="array" ref="E511">_xlfn.XLOOKUP(A511,'Video Database'!L:L,'Video Database'!H:H,"")</f>
        <v>0.11</v>
      </c>
      <c r="F511" s="101">
        <v>0.0</v>
      </c>
      <c r="G511" s="87">
        <v>0.0</v>
      </c>
      <c r="H511" s="114">
        <f t="array" ref="H511">_xlfn.XLOOKUP(A511,'Video Database'!L:L,'Video Database'!A:A,"")</f>
        <v>46191</v>
      </c>
      <c r="I511" s="103">
        <v>46201.0</v>
      </c>
      <c r="J511" s="104">
        <v>0.0</v>
      </c>
      <c r="K511" s="105"/>
      <c r="L511" s="105" t="str">
        <f t="shared" si="1"/>
        <v/>
      </c>
      <c r="O511" s="106" t="str">
        <f t="shared" si="2"/>
        <v>#N/A</v>
      </c>
      <c r="P511" s="106" t="str">
        <f t="shared" si="3"/>
        <v>#N/A</v>
      </c>
      <c r="Q511" s="84" t="str">
        <f t="shared" si="4"/>
        <v>#N/A</v>
      </c>
      <c r="R511" s="84" t="str">
        <f t="shared" si="5"/>
        <v>#N/A</v>
      </c>
      <c r="S511" s="107">
        <f t="shared" si="6"/>
        <v>-0.11</v>
      </c>
      <c r="T511" s="108">
        <f t="shared" si="7"/>
        <v>-1</v>
      </c>
      <c r="U511" s="106" t="str">
        <f t="shared" si="8"/>
        <v>#N/A</v>
      </c>
      <c r="V511" s="84" t="str">
        <f t="shared" si="9"/>
        <v/>
      </c>
      <c r="W511" s="109" t="str">
        <f t="shared" si="10"/>
        <v/>
      </c>
      <c r="X511" s="109" t="str">
        <f t="shared" si="11"/>
        <v/>
      </c>
      <c r="Y511" s="110" t="str">
        <f t="array" ref="Y511">_xlfn.XLOOKUP(A511,'Video Database'!L:L,'Video Database'!M:M,"")</f>
        <v>Product Overlay</v>
      </c>
    </row>
    <row r="512" ht="22.5" customHeight="1">
      <c r="A512" s="113">
        <f t="shared" si="12"/>
        <v>511</v>
      </c>
      <c r="B512" s="98" t="str">
        <f t="array" ref="B512">_xlfn.XLOOKUP(A512,'Video Database'!L:L,'Video Database'!D:D,"")</f>
        <v>Blakely</v>
      </c>
      <c r="C512" s="98" t="str">
        <f t="array" ref="C512">_xlfn.XLOOKUP(A512,'Video Database'!L:L,'Video Database'!E:E,"")</f>
        <v>Account 4</v>
      </c>
      <c r="D512" s="99" t="str">
        <f t="array" ref="D512">_xlfn.XLOOKUP(A512,'Video Database'!L:L,'Video Database'!G:G,"")</f>
        <v>Beast Bites Creatine Gummies</v>
      </c>
      <c r="E512" s="100">
        <f t="array" ref="E512">_xlfn.XLOOKUP(A512,'Video Database'!L:L,'Video Database'!H:H,"")</f>
        <v>0.11</v>
      </c>
      <c r="F512" s="101">
        <v>0.0</v>
      </c>
      <c r="G512" s="87">
        <v>0.0</v>
      </c>
      <c r="H512" s="114">
        <f t="array" ref="H512">_xlfn.XLOOKUP(A512,'Video Database'!L:L,'Video Database'!A:A,"")</f>
        <v>46191</v>
      </c>
      <c r="I512" s="103">
        <v>46201.0</v>
      </c>
      <c r="J512" s="104">
        <v>0.0</v>
      </c>
      <c r="K512" s="105"/>
      <c r="L512" s="105" t="str">
        <f t="shared" si="1"/>
        <v/>
      </c>
      <c r="O512" s="106" t="str">
        <f t="shared" si="2"/>
        <v>#N/A</v>
      </c>
      <c r="P512" s="106" t="str">
        <f t="shared" si="3"/>
        <v>#N/A</v>
      </c>
      <c r="Q512" s="84" t="str">
        <f t="shared" si="4"/>
        <v>#N/A</v>
      </c>
      <c r="R512" s="84" t="str">
        <f t="shared" si="5"/>
        <v>#N/A</v>
      </c>
      <c r="S512" s="107">
        <f t="shared" si="6"/>
        <v>-0.11</v>
      </c>
      <c r="T512" s="108">
        <f t="shared" si="7"/>
        <v>-1</v>
      </c>
      <c r="U512" s="106" t="str">
        <f t="shared" si="8"/>
        <v>#N/A</v>
      </c>
      <c r="V512" s="84" t="str">
        <f t="shared" si="9"/>
        <v/>
      </c>
      <c r="W512" s="109" t="str">
        <f t="shared" si="10"/>
        <v/>
      </c>
      <c r="X512" s="109" t="str">
        <f t="shared" si="11"/>
        <v/>
      </c>
      <c r="Y512" s="110" t="str">
        <f t="array" ref="Y512">_xlfn.XLOOKUP(A512,'Video Database'!L:L,'Video Database'!M:M,"")</f>
        <v>Product Overlay</v>
      </c>
    </row>
    <row r="513" ht="22.5" customHeight="1">
      <c r="A513" s="113">
        <f t="shared" si="12"/>
        <v>512</v>
      </c>
      <c r="B513" s="98" t="str">
        <f t="array" ref="B513">_xlfn.XLOOKUP(A513,'Video Database'!L:L,'Video Database'!D:D,"")</f>
        <v>Blakely</v>
      </c>
      <c r="C513" s="98" t="str">
        <f t="array" ref="C513">_xlfn.XLOOKUP(A513,'Video Database'!L:L,'Video Database'!E:E,"")</f>
        <v>Account 4</v>
      </c>
      <c r="D513" s="99" t="str">
        <f t="array" ref="D513">_xlfn.XLOOKUP(A513,'Video Database'!L:L,'Video Database'!G:G,"")</f>
        <v>COSRX US The Copper Peptide Serum</v>
      </c>
      <c r="E513" s="100">
        <f t="array" ref="E513">_xlfn.XLOOKUP(A513,'Video Database'!L:L,'Video Database'!H:H,"")</f>
        <v>0.11</v>
      </c>
      <c r="F513" s="101">
        <v>0.0</v>
      </c>
      <c r="G513" s="87">
        <v>0.0</v>
      </c>
      <c r="H513" s="114">
        <f t="array" ref="H513">_xlfn.XLOOKUP(A513,'Video Database'!L:L,'Video Database'!A:A,"")</f>
        <v>46191</v>
      </c>
      <c r="I513" s="103">
        <v>46201.0</v>
      </c>
      <c r="J513" s="104">
        <v>0.0</v>
      </c>
      <c r="K513" s="105"/>
      <c r="L513" s="105" t="str">
        <f t="shared" si="1"/>
        <v/>
      </c>
      <c r="O513" s="106" t="str">
        <f t="shared" si="2"/>
        <v>#N/A</v>
      </c>
      <c r="P513" s="106" t="str">
        <f t="shared" si="3"/>
        <v>#N/A</v>
      </c>
      <c r="Q513" s="84" t="str">
        <f t="shared" si="4"/>
        <v>#N/A</v>
      </c>
      <c r="R513" s="84" t="str">
        <f t="shared" si="5"/>
        <v>#N/A</v>
      </c>
      <c r="S513" s="107">
        <f t="shared" si="6"/>
        <v>-0.11</v>
      </c>
      <c r="T513" s="108">
        <f t="shared" si="7"/>
        <v>-1</v>
      </c>
      <c r="U513" s="106" t="str">
        <f t="shared" si="8"/>
        <v>#N/A</v>
      </c>
      <c r="V513" s="84" t="str">
        <f t="shared" si="9"/>
        <v/>
      </c>
      <c r="W513" s="109" t="str">
        <f t="shared" si="10"/>
        <v/>
      </c>
      <c r="X513" s="109" t="str">
        <f t="shared" si="11"/>
        <v/>
      </c>
      <c r="Y513" s="110" t="str">
        <f t="array" ref="Y513">_xlfn.XLOOKUP(A513,'Video Database'!L:L,'Video Database'!M:M,"")</f>
        <v>Product Overlay</v>
      </c>
    </row>
    <row r="514" ht="22.5" customHeight="1">
      <c r="A514" s="113">
        <f t="shared" si="12"/>
        <v>513</v>
      </c>
      <c r="B514" s="98" t="str">
        <f t="array" ref="B514">_xlfn.XLOOKUP(A514,'Video Database'!L:L,'Video Database'!D:D,"")</f>
        <v>Blakely</v>
      </c>
      <c r="C514" s="98" t="str">
        <f t="array" ref="C514">_xlfn.XLOOKUP(A514,'Video Database'!L:L,'Video Database'!E:E,"")</f>
        <v>Account 4</v>
      </c>
      <c r="D514" s="99" t="str">
        <f t="array" ref="D514">_xlfn.XLOOKUP(A514,'Video Database'!L:L,'Video Database'!G:G,"")</f>
        <v>Goli Women's Complete Multi Gummy</v>
      </c>
      <c r="E514" s="100">
        <f t="array" ref="E514">_xlfn.XLOOKUP(A514,'Video Database'!L:L,'Video Database'!H:H,"")</f>
        <v>0.11</v>
      </c>
      <c r="F514" s="101">
        <v>0.0</v>
      </c>
      <c r="G514" s="87">
        <v>0.0</v>
      </c>
      <c r="H514" s="114">
        <f t="array" ref="H514">_xlfn.XLOOKUP(A514,'Video Database'!L:L,'Video Database'!A:A,"")</f>
        <v>46191</v>
      </c>
      <c r="I514" s="103">
        <v>46201.0</v>
      </c>
      <c r="J514" s="104">
        <v>0.0</v>
      </c>
      <c r="K514" s="105"/>
      <c r="L514" s="105" t="str">
        <f t="shared" si="1"/>
        <v/>
      </c>
      <c r="O514" s="106" t="str">
        <f t="shared" si="2"/>
        <v>#N/A</v>
      </c>
      <c r="P514" s="106" t="str">
        <f t="shared" si="3"/>
        <v>#N/A</v>
      </c>
      <c r="Q514" s="84" t="str">
        <f t="shared" si="4"/>
        <v>#N/A</v>
      </c>
      <c r="R514" s="84" t="str">
        <f t="shared" si="5"/>
        <v>#N/A</v>
      </c>
      <c r="S514" s="107">
        <f t="shared" si="6"/>
        <v>-0.11</v>
      </c>
      <c r="T514" s="108">
        <f t="shared" si="7"/>
        <v>-1</v>
      </c>
      <c r="U514" s="106" t="str">
        <f t="shared" si="8"/>
        <v>#N/A</v>
      </c>
      <c r="V514" s="84" t="str">
        <f t="shared" si="9"/>
        <v/>
      </c>
      <c r="W514" s="109" t="str">
        <f t="shared" si="10"/>
        <v/>
      </c>
      <c r="X514" s="109" t="str">
        <f t="shared" si="11"/>
        <v/>
      </c>
      <c r="Y514" s="110" t="str">
        <f t="array" ref="Y514">_xlfn.XLOOKUP(A514,'Video Database'!L:L,'Video Database'!M:M,"")</f>
        <v>Product Overlay</v>
      </c>
    </row>
    <row r="515" ht="22.5" customHeight="1">
      <c r="A515" s="113">
        <f t="shared" si="12"/>
        <v>514</v>
      </c>
      <c r="B515" s="98" t="str">
        <f t="array" ref="B515">_xlfn.XLOOKUP(A515,'Video Database'!L:L,'Video Database'!D:D,"")</f>
        <v>Blakely</v>
      </c>
      <c r="C515" s="98" t="str">
        <f t="array" ref="C515">_xlfn.XLOOKUP(A515,'Video Database'!L:L,'Video Database'!E:E,"")</f>
        <v>Account 1</v>
      </c>
      <c r="D515" s="99" t="str">
        <f t="array" ref="D515">_xlfn.XLOOKUP(A515,'Video Database'!L:L,'Video Database'!G:G,"")</f>
        <v>Beast Bites Creatine Gummies</v>
      </c>
      <c r="E515" s="100">
        <f t="array" ref="E515">_xlfn.XLOOKUP(A515,'Video Database'!L:L,'Video Database'!H:H,"")</f>
        <v>0.11</v>
      </c>
      <c r="F515" s="101">
        <v>0.0</v>
      </c>
      <c r="G515" s="87">
        <v>0.0</v>
      </c>
      <c r="H515" s="114">
        <f t="array" ref="H515">_xlfn.XLOOKUP(A515,'Video Database'!L:L,'Video Database'!A:A,"")</f>
        <v>46192</v>
      </c>
      <c r="I515" s="103">
        <v>46201.0</v>
      </c>
      <c r="J515" s="104">
        <v>0.0</v>
      </c>
      <c r="K515" s="105"/>
      <c r="L515" s="105" t="str">
        <f t="shared" si="1"/>
        <v/>
      </c>
      <c r="O515" s="106" t="str">
        <f t="shared" si="2"/>
        <v>#N/A</v>
      </c>
      <c r="P515" s="106" t="str">
        <f t="shared" si="3"/>
        <v>#N/A</v>
      </c>
      <c r="Q515" s="84" t="str">
        <f t="shared" si="4"/>
        <v>#N/A</v>
      </c>
      <c r="R515" s="84" t="str">
        <f t="shared" si="5"/>
        <v>#N/A</v>
      </c>
      <c r="S515" s="107">
        <f t="shared" si="6"/>
        <v>-0.11</v>
      </c>
      <c r="T515" s="108">
        <f t="shared" si="7"/>
        <v>-1</v>
      </c>
      <c r="U515" s="106" t="str">
        <f t="shared" si="8"/>
        <v>#N/A</v>
      </c>
      <c r="V515" s="84" t="str">
        <f t="shared" si="9"/>
        <v/>
      </c>
      <c r="W515" s="109" t="str">
        <f t="shared" si="10"/>
        <v/>
      </c>
      <c r="X515" s="109" t="str">
        <f t="shared" si="11"/>
        <v/>
      </c>
      <c r="Y515" s="110" t="str">
        <f t="array" ref="Y515">_xlfn.XLOOKUP(A515,'Video Database'!L:L,'Video Database'!M:M,"")</f>
        <v>Product Overlay</v>
      </c>
    </row>
    <row r="516" ht="22.5" customHeight="1">
      <c r="A516" s="113">
        <f t="shared" si="12"/>
        <v>515</v>
      </c>
      <c r="B516" s="98" t="str">
        <f t="array" ref="B516">_xlfn.XLOOKUP(A516,'Video Database'!L:L,'Video Database'!D:D,"")</f>
        <v>Erin</v>
      </c>
      <c r="C516" s="98" t="str">
        <f t="array" ref="C516">_xlfn.XLOOKUP(A516,'Video Database'!L:L,'Video Database'!E:E,"")</f>
        <v>Account 1</v>
      </c>
      <c r="D516" s="99" t="str">
        <f t="array" ref="D516">_xlfn.XLOOKUP(A516,'Video Database'!L:L,'Video Database'!G:G,"")</f>
        <v>SNOW Diamond Tetth Whitening Strips</v>
      </c>
      <c r="E516" s="100">
        <f t="array" ref="E516">_xlfn.XLOOKUP(A516,'Video Database'!L:L,'Video Database'!H:H,"")</f>
        <v>0.7337</v>
      </c>
      <c r="F516" s="101">
        <v>0.0</v>
      </c>
      <c r="G516" s="87">
        <v>0.0</v>
      </c>
      <c r="H516" s="114">
        <f t="array" ref="H516">_xlfn.XLOOKUP(A516,'Video Database'!L:L,'Video Database'!A:A,"")</f>
        <v>46192</v>
      </c>
      <c r="I516" s="103">
        <v>46201.0</v>
      </c>
      <c r="J516" s="104">
        <v>0.0</v>
      </c>
      <c r="K516" s="105"/>
      <c r="L516" s="105" t="str">
        <f t="shared" si="1"/>
        <v/>
      </c>
      <c r="O516" s="106" t="str">
        <f t="shared" si="2"/>
        <v>#N/A</v>
      </c>
      <c r="P516" s="106" t="str">
        <f t="shared" si="3"/>
        <v>#N/A</v>
      </c>
      <c r="Q516" s="84" t="str">
        <f t="shared" si="4"/>
        <v>#N/A</v>
      </c>
      <c r="R516" s="84" t="str">
        <f t="shared" si="5"/>
        <v>#N/A</v>
      </c>
      <c r="S516" s="107">
        <f t="shared" si="6"/>
        <v>-0.7337</v>
      </c>
      <c r="T516" s="108">
        <f t="shared" si="7"/>
        <v>-1</v>
      </c>
      <c r="U516" s="106" t="str">
        <f t="shared" si="8"/>
        <v>#N/A</v>
      </c>
      <c r="V516" s="84" t="str">
        <f t="shared" si="9"/>
        <v/>
      </c>
      <c r="W516" s="109" t="str">
        <f t="shared" si="10"/>
        <v/>
      </c>
      <c r="X516" s="109" t="str">
        <f t="shared" si="11"/>
        <v/>
      </c>
      <c r="Y516" s="110" t="str">
        <f t="array" ref="Y516">_xlfn.XLOOKUP(A516,'Video Database'!L:L,'Video Database'!M:M,"")</f>
        <v>Bottom of Funnel</v>
      </c>
    </row>
    <row r="517" ht="22.5" customHeight="1">
      <c r="A517" s="113">
        <f t="shared" si="12"/>
        <v>516</v>
      </c>
      <c r="B517" s="98" t="str">
        <f t="array" ref="B517">_xlfn.XLOOKUP(A517,'Video Database'!L:L,'Video Database'!D:D,"")</f>
        <v>Erin</v>
      </c>
      <c r="C517" s="98" t="str">
        <f t="array" ref="C517">_xlfn.XLOOKUP(A517,'Video Database'!L:L,'Video Database'!E:E,"")</f>
        <v>Account 1</v>
      </c>
      <c r="D517" s="99" t="str">
        <f t="array" ref="D517">_xlfn.XLOOKUP(A517,'Video Database'!L:L,'Video Database'!G:G,"")</f>
        <v>SNOW Diamond Tetth Whitening Strips</v>
      </c>
      <c r="E517" s="100">
        <f t="array" ref="E517">_xlfn.XLOOKUP(A517,'Video Database'!L:L,'Video Database'!H:H,"")</f>
        <v>0.7337</v>
      </c>
      <c r="F517" s="101">
        <v>0.0</v>
      </c>
      <c r="G517" s="87">
        <v>0.0</v>
      </c>
      <c r="H517" s="114">
        <f t="array" ref="H517">_xlfn.XLOOKUP(A517,'Video Database'!L:L,'Video Database'!A:A,"")</f>
        <v>46192</v>
      </c>
      <c r="I517" s="103">
        <v>46201.0</v>
      </c>
      <c r="J517" s="104">
        <v>0.0</v>
      </c>
      <c r="K517" s="105"/>
      <c r="L517" s="105" t="str">
        <f t="shared" si="1"/>
        <v/>
      </c>
      <c r="O517" s="106" t="str">
        <f t="shared" si="2"/>
        <v>#N/A</v>
      </c>
      <c r="P517" s="106" t="str">
        <f t="shared" si="3"/>
        <v>#N/A</v>
      </c>
      <c r="Q517" s="84" t="str">
        <f t="shared" si="4"/>
        <v>#N/A</v>
      </c>
      <c r="R517" s="84" t="str">
        <f t="shared" si="5"/>
        <v>#N/A</v>
      </c>
      <c r="S517" s="107">
        <f t="shared" si="6"/>
        <v>-0.7337</v>
      </c>
      <c r="T517" s="108">
        <f t="shared" si="7"/>
        <v>-1</v>
      </c>
      <c r="U517" s="106" t="str">
        <f t="shared" si="8"/>
        <v>#N/A</v>
      </c>
      <c r="V517" s="84" t="str">
        <f t="shared" si="9"/>
        <v/>
      </c>
      <c r="W517" s="109" t="str">
        <f t="shared" si="10"/>
        <v/>
      </c>
      <c r="X517" s="109" t="str">
        <f t="shared" si="11"/>
        <v/>
      </c>
      <c r="Y517" s="110" t="str">
        <f t="array" ref="Y517">_xlfn.XLOOKUP(A517,'Video Database'!L:L,'Video Database'!M:M,"")</f>
        <v>Bottom of Funnel</v>
      </c>
    </row>
    <row r="518" ht="22.5" customHeight="1">
      <c r="A518" s="113">
        <f t="shared" si="12"/>
        <v>517</v>
      </c>
      <c r="B518" s="98" t="str">
        <f t="array" ref="B518">_xlfn.XLOOKUP(A518,'Video Database'!L:L,'Video Database'!D:D,"")</f>
        <v>Erin</v>
      </c>
      <c r="C518" s="98" t="str">
        <f t="array" ref="C518">_xlfn.XLOOKUP(A518,'Video Database'!L:L,'Video Database'!E:E,"")</f>
        <v>Account 1</v>
      </c>
      <c r="D518" s="99" t="str">
        <f t="array" ref="D518">_xlfn.XLOOKUP(A518,'Video Database'!L:L,'Video Database'!G:G,"")</f>
        <v>SNOW Diamond Tetth Whitening Strips</v>
      </c>
      <c r="E518" s="100">
        <f t="array" ref="E518">_xlfn.XLOOKUP(A518,'Video Database'!L:L,'Video Database'!H:H,"")</f>
        <v>0.7337</v>
      </c>
      <c r="F518" s="101">
        <v>0.0</v>
      </c>
      <c r="G518" s="87">
        <v>0.0</v>
      </c>
      <c r="H518" s="114">
        <f t="array" ref="H518">_xlfn.XLOOKUP(A518,'Video Database'!L:L,'Video Database'!A:A,"")</f>
        <v>46192</v>
      </c>
      <c r="I518" s="103">
        <v>46201.0</v>
      </c>
      <c r="J518" s="104">
        <v>0.0</v>
      </c>
      <c r="K518" s="105"/>
      <c r="L518" s="105" t="str">
        <f t="shared" si="1"/>
        <v/>
      </c>
      <c r="O518" s="106" t="str">
        <f t="shared" si="2"/>
        <v>#N/A</v>
      </c>
      <c r="P518" s="106" t="str">
        <f t="shared" si="3"/>
        <v>#N/A</v>
      </c>
      <c r="Q518" s="84" t="str">
        <f t="shared" si="4"/>
        <v>#N/A</v>
      </c>
      <c r="R518" s="84" t="str">
        <f t="shared" si="5"/>
        <v>#N/A</v>
      </c>
      <c r="S518" s="107">
        <f t="shared" si="6"/>
        <v>-0.7337</v>
      </c>
      <c r="T518" s="108">
        <f t="shared" si="7"/>
        <v>-1</v>
      </c>
      <c r="U518" s="106" t="str">
        <f t="shared" si="8"/>
        <v>#N/A</v>
      </c>
      <c r="V518" s="84" t="str">
        <f t="shared" si="9"/>
        <v/>
      </c>
      <c r="W518" s="109" t="str">
        <f t="shared" si="10"/>
        <v/>
      </c>
      <c r="X518" s="109" t="str">
        <f t="shared" si="11"/>
        <v/>
      </c>
      <c r="Y518" s="110" t="str">
        <f t="array" ref="Y518">_xlfn.XLOOKUP(A518,'Video Database'!L:L,'Video Database'!M:M,"")</f>
        <v>Bottom of Funnel</v>
      </c>
    </row>
    <row r="519" ht="22.5" customHeight="1">
      <c r="A519" s="113">
        <f t="shared" si="12"/>
        <v>518</v>
      </c>
      <c r="B519" s="98" t="str">
        <f t="array" ref="B519">_xlfn.XLOOKUP(A519,'Video Database'!L:L,'Video Database'!D:D,"")</f>
        <v>Erin</v>
      </c>
      <c r="C519" s="98" t="str">
        <f t="array" ref="C519">_xlfn.XLOOKUP(A519,'Video Database'!L:L,'Video Database'!E:E,"")</f>
        <v>Account 1</v>
      </c>
      <c r="D519" s="99" t="str">
        <f t="array" ref="D519">_xlfn.XLOOKUP(A519,'Video Database'!L:L,'Video Database'!G:G,"")</f>
        <v>LullaBites Natural Sleep Gummies</v>
      </c>
      <c r="E519" s="100">
        <f t="array" ref="E519">_xlfn.XLOOKUP(A519,'Video Database'!L:L,'Video Database'!H:H,"")</f>
        <v>0.7337</v>
      </c>
      <c r="F519" s="101">
        <v>0.0</v>
      </c>
      <c r="G519" s="87">
        <v>0.0</v>
      </c>
      <c r="H519" s="114">
        <f t="array" ref="H519">_xlfn.XLOOKUP(A519,'Video Database'!L:L,'Video Database'!A:A,"")</f>
        <v>46192</v>
      </c>
      <c r="I519" s="103">
        <v>46201.0</v>
      </c>
      <c r="J519" s="104">
        <v>0.0</v>
      </c>
      <c r="K519" s="105"/>
      <c r="L519" s="105" t="str">
        <f t="shared" si="1"/>
        <v/>
      </c>
      <c r="O519" s="106" t="str">
        <f t="shared" si="2"/>
        <v>#N/A</v>
      </c>
      <c r="P519" s="106" t="str">
        <f t="shared" si="3"/>
        <v>#N/A</v>
      </c>
      <c r="Q519" s="84" t="str">
        <f t="shared" si="4"/>
        <v>#N/A</v>
      </c>
      <c r="R519" s="84" t="str">
        <f t="shared" si="5"/>
        <v>#N/A</v>
      </c>
      <c r="S519" s="107">
        <f t="shared" si="6"/>
        <v>-0.7337</v>
      </c>
      <c r="T519" s="108">
        <f t="shared" si="7"/>
        <v>-1</v>
      </c>
      <c r="U519" s="106" t="str">
        <f t="shared" si="8"/>
        <v>#N/A</v>
      </c>
      <c r="V519" s="84" t="str">
        <f t="shared" si="9"/>
        <v/>
      </c>
      <c r="W519" s="109" t="str">
        <f t="shared" si="10"/>
        <v/>
      </c>
      <c r="X519" s="109" t="str">
        <f t="shared" si="11"/>
        <v/>
      </c>
      <c r="Y519" s="110" t="str">
        <f t="array" ref="Y519">_xlfn.XLOOKUP(A519,'Video Database'!L:L,'Video Database'!M:M,"")</f>
        <v>Bottom of Funnel</v>
      </c>
    </row>
    <row r="520" ht="22.5" customHeight="1">
      <c r="A520" s="113">
        <f t="shared" si="12"/>
        <v>519</v>
      </c>
      <c r="B520" s="98" t="str">
        <f t="array" ref="B520">_xlfn.XLOOKUP(A520,'Video Database'!L:L,'Video Database'!D:D,"")</f>
        <v>Erin</v>
      </c>
      <c r="C520" s="98" t="str">
        <f t="array" ref="C520">_xlfn.XLOOKUP(A520,'Video Database'!L:L,'Video Database'!E:E,"")</f>
        <v>Account 1</v>
      </c>
      <c r="D520" s="99" t="str">
        <f t="array" ref="D520">_xlfn.XLOOKUP(A520,'Video Database'!L:L,'Video Database'!G:G,"")</f>
        <v>LullaBites Natural Sleep Gummies</v>
      </c>
      <c r="E520" s="100">
        <f t="array" ref="E520">_xlfn.XLOOKUP(A520,'Video Database'!L:L,'Video Database'!H:H,"")</f>
        <v>0.7337</v>
      </c>
      <c r="F520" s="101">
        <v>0.0</v>
      </c>
      <c r="G520" s="87">
        <v>0.0</v>
      </c>
      <c r="H520" s="114">
        <f t="array" ref="H520">_xlfn.XLOOKUP(A520,'Video Database'!L:L,'Video Database'!A:A,"")</f>
        <v>46192</v>
      </c>
      <c r="I520" s="103">
        <v>46201.0</v>
      </c>
      <c r="J520" s="104">
        <v>0.0</v>
      </c>
      <c r="K520" s="105"/>
      <c r="L520" s="105" t="str">
        <f t="shared" si="1"/>
        <v/>
      </c>
      <c r="O520" s="106" t="str">
        <f t="shared" si="2"/>
        <v>#N/A</v>
      </c>
      <c r="P520" s="106" t="str">
        <f t="shared" si="3"/>
        <v>#N/A</v>
      </c>
      <c r="Q520" s="84" t="str">
        <f t="shared" si="4"/>
        <v>#N/A</v>
      </c>
      <c r="R520" s="84" t="str">
        <f t="shared" si="5"/>
        <v>#N/A</v>
      </c>
      <c r="S520" s="107">
        <f t="shared" si="6"/>
        <v>-0.7337</v>
      </c>
      <c r="T520" s="108">
        <f t="shared" si="7"/>
        <v>-1</v>
      </c>
      <c r="U520" s="106" t="str">
        <f t="shared" si="8"/>
        <v>#N/A</v>
      </c>
      <c r="V520" s="84" t="str">
        <f t="shared" si="9"/>
        <v/>
      </c>
      <c r="W520" s="109" t="str">
        <f t="shared" si="10"/>
        <v/>
      </c>
      <c r="X520" s="109" t="str">
        <f t="shared" si="11"/>
        <v/>
      </c>
      <c r="Y520" s="110" t="str">
        <f t="array" ref="Y520">_xlfn.XLOOKUP(A520,'Video Database'!L:L,'Video Database'!M:M,"")</f>
        <v>Bottom of Funnel</v>
      </c>
    </row>
    <row r="521" ht="22.5" customHeight="1">
      <c r="A521" s="113">
        <f t="shared" si="12"/>
        <v>520</v>
      </c>
      <c r="B521" s="98" t="str">
        <f t="array" ref="B521">_xlfn.XLOOKUP(A521,'Video Database'!L:L,'Video Database'!D:D,"")</f>
        <v>Erin</v>
      </c>
      <c r="C521" s="98" t="str">
        <f t="array" ref="C521">_xlfn.XLOOKUP(A521,'Video Database'!L:L,'Video Database'!E:E,"")</f>
        <v>Account 1</v>
      </c>
      <c r="D521" s="99" t="str">
        <f t="array" ref="D521">_xlfn.XLOOKUP(A521,'Video Database'!L:L,'Video Database'!G:G,"")</f>
        <v>LullaBites Natural Sleep Gummies</v>
      </c>
      <c r="E521" s="100">
        <f t="array" ref="E521">_xlfn.XLOOKUP(A521,'Video Database'!L:L,'Video Database'!H:H,"")</f>
        <v>0.7337</v>
      </c>
      <c r="F521" s="101">
        <v>0.0</v>
      </c>
      <c r="G521" s="87">
        <v>0.0</v>
      </c>
      <c r="H521" s="114">
        <f t="array" ref="H521">_xlfn.XLOOKUP(A521,'Video Database'!L:L,'Video Database'!A:A,"")</f>
        <v>46192</v>
      </c>
      <c r="I521" s="103">
        <v>46201.0</v>
      </c>
      <c r="J521" s="104">
        <v>0.0</v>
      </c>
      <c r="K521" s="105"/>
      <c r="L521" s="105" t="str">
        <f t="shared" si="1"/>
        <v/>
      </c>
      <c r="O521" s="106" t="str">
        <f t="shared" si="2"/>
        <v>#N/A</v>
      </c>
      <c r="P521" s="106" t="str">
        <f t="shared" si="3"/>
        <v>#N/A</v>
      </c>
      <c r="Q521" s="84" t="str">
        <f t="shared" si="4"/>
        <v>#N/A</v>
      </c>
      <c r="R521" s="84" t="str">
        <f t="shared" si="5"/>
        <v>#N/A</v>
      </c>
      <c r="S521" s="107">
        <f t="shared" si="6"/>
        <v>-0.7337</v>
      </c>
      <c r="T521" s="108">
        <f t="shared" si="7"/>
        <v>-1</v>
      </c>
      <c r="U521" s="106" t="str">
        <f t="shared" si="8"/>
        <v>#N/A</v>
      </c>
      <c r="V521" s="84" t="str">
        <f t="shared" si="9"/>
        <v/>
      </c>
      <c r="W521" s="109" t="str">
        <f t="shared" si="10"/>
        <v/>
      </c>
      <c r="X521" s="109" t="str">
        <f t="shared" si="11"/>
        <v/>
      </c>
      <c r="Y521" s="110" t="str">
        <f t="array" ref="Y521">_xlfn.XLOOKUP(A521,'Video Database'!L:L,'Video Database'!M:M,"")</f>
        <v>Bottom of Funnel</v>
      </c>
    </row>
    <row r="522" ht="22.5" customHeight="1">
      <c r="A522" s="113">
        <f t="shared" si="12"/>
        <v>521</v>
      </c>
      <c r="B522" s="98" t="str">
        <f t="array" ref="B522">_xlfn.XLOOKUP(A522,'Video Database'!L:L,'Video Database'!D:D,"")</f>
        <v>Erin</v>
      </c>
      <c r="C522" s="98" t="str">
        <f t="array" ref="C522">_xlfn.XLOOKUP(A522,'Video Database'!L:L,'Video Database'!E:E,"")</f>
        <v>Account 1</v>
      </c>
      <c r="D522" s="99" t="str">
        <f t="array" ref="D522">_xlfn.XLOOKUP(A522,'Video Database'!L:L,'Video Database'!G:G,"")</f>
        <v>SNOW Diamond Tetth Whitening Strips</v>
      </c>
      <c r="E522" s="100">
        <f t="array" ref="E522">_xlfn.XLOOKUP(A522,'Video Database'!L:L,'Video Database'!H:H,"")</f>
        <v>0.7337</v>
      </c>
      <c r="F522" s="101">
        <v>0.0</v>
      </c>
      <c r="G522" s="87">
        <v>0.0</v>
      </c>
      <c r="H522" s="114">
        <f t="array" ref="H522">_xlfn.XLOOKUP(A522,'Video Database'!L:L,'Video Database'!A:A,"")</f>
        <v>46192</v>
      </c>
      <c r="I522" s="103">
        <v>46201.0</v>
      </c>
      <c r="J522" s="104">
        <v>0.0</v>
      </c>
      <c r="K522" s="105"/>
      <c r="L522" s="105" t="str">
        <f t="shared" si="1"/>
        <v/>
      </c>
      <c r="O522" s="106" t="str">
        <f t="shared" si="2"/>
        <v>#N/A</v>
      </c>
      <c r="P522" s="106" t="str">
        <f t="shared" si="3"/>
        <v>#N/A</v>
      </c>
      <c r="Q522" s="84" t="str">
        <f t="shared" si="4"/>
        <v>#N/A</v>
      </c>
      <c r="R522" s="84" t="str">
        <f t="shared" si="5"/>
        <v>#N/A</v>
      </c>
      <c r="S522" s="107">
        <f t="shared" si="6"/>
        <v>-0.7337</v>
      </c>
      <c r="T522" s="108">
        <f t="shared" si="7"/>
        <v>-1</v>
      </c>
      <c r="U522" s="106" t="str">
        <f t="shared" si="8"/>
        <v>#N/A</v>
      </c>
      <c r="V522" s="84" t="str">
        <f t="shared" si="9"/>
        <v/>
      </c>
      <c r="W522" s="109" t="str">
        <f t="shared" si="10"/>
        <v/>
      </c>
      <c r="X522" s="109" t="str">
        <f t="shared" si="11"/>
        <v/>
      </c>
      <c r="Y522" s="110" t="str">
        <f t="array" ref="Y522">_xlfn.XLOOKUP(A522,'Video Database'!L:L,'Video Database'!M:M,"")</f>
        <v>Bottom of Funnel</v>
      </c>
    </row>
    <row r="523" ht="22.5" customHeight="1">
      <c r="A523" s="113">
        <f t="shared" si="12"/>
        <v>522</v>
      </c>
      <c r="B523" s="98" t="str">
        <f t="array" ref="B523">_xlfn.XLOOKUP(A523,'Video Database'!L:L,'Video Database'!D:D,"")</f>
        <v>Erin</v>
      </c>
      <c r="C523" s="98" t="str">
        <f t="array" ref="C523">_xlfn.XLOOKUP(A523,'Video Database'!L:L,'Video Database'!E:E,"")</f>
        <v>Account 1</v>
      </c>
      <c r="D523" s="99" t="str">
        <f t="array" ref="D523">_xlfn.XLOOKUP(A523,'Video Database'!L:L,'Video Database'!G:G,"")</f>
        <v>LullaBites Natural Sleep Gummies</v>
      </c>
      <c r="E523" s="100">
        <f t="array" ref="E523">_xlfn.XLOOKUP(A523,'Video Database'!L:L,'Video Database'!H:H,"")</f>
        <v>0.7337</v>
      </c>
      <c r="F523" s="101">
        <v>0.0</v>
      </c>
      <c r="G523" s="87">
        <v>0.0</v>
      </c>
      <c r="H523" s="114">
        <f t="array" ref="H523">_xlfn.XLOOKUP(A523,'Video Database'!L:L,'Video Database'!A:A,"")</f>
        <v>46192</v>
      </c>
      <c r="I523" s="103">
        <v>46201.0</v>
      </c>
      <c r="J523" s="104">
        <v>0.0</v>
      </c>
      <c r="K523" s="105"/>
      <c r="L523" s="105" t="str">
        <f t="shared" si="1"/>
        <v/>
      </c>
      <c r="O523" s="106" t="str">
        <f t="shared" si="2"/>
        <v>#N/A</v>
      </c>
      <c r="P523" s="106" t="str">
        <f t="shared" si="3"/>
        <v>#N/A</v>
      </c>
      <c r="Q523" s="84" t="str">
        <f t="shared" si="4"/>
        <v>#N/A</v>
      </c>
      <c r="R523" s="84" t="str">
        <f t="shared" si="5"/>
        <v>#N/A</v>
      </c>
      <c r="S523" s="107">
        <f t="shared" si="6"/>
        <v>-0.7337</v>
      </c>
      <c r="T523" s="108">
        <f t="shared" si="7"/>
        <v>-1</v>
      </c>
      <c r="U523" s="106" t="str">
        <f t="shared" si="8"/>
        <v>#N/A</v>
      </c>
      <c r="V523" s="84" t="str">
        <f t="shared" si="9"/>
        <v/>
      </c>
      <c r="W523" s="109" t="str">
        <f t="shared" si="10"/>
        <v/>
      </c>
      <c r="X523" s="109" t="str">
        <f t="shared" si="11"/>
        <v/>
      </c>
      <c r="Y523" s="110" t="str">
        <f t="array" ref="Y523">_xlfn.XLOOKUP(A523,'Video Database'!L:L,'Video Database'!M:M,"")</f>
        <v>Bottom of Funnel</v>
      </c>
    </row>
    <row r="524" ht="22.5" customHeight="1">
      <c r="A524" s="113">
        <f t="shared" si="12"/>
        <v>523</v>
      </c>
      <c r="B524" s="98" t="str">
        <f t="array" ref="B524">_xlfn.XLOOKUP(A524,'Video Database'!L:L,'Video Database'!D:D,"")</f>
        <v>Erin</v>
      </c>
      <c r="C524" s="98" t="str">
        <f t="array" ref="C524">_xlfn.XLOOKUP(A524,'Video Database'!L:L,'Video Database'!E:E,"")</f>
        <v>Account 1</v>
      </c>
      <c r="D524" s="99" t="str">
        <f t="array" ref="D524">_xlfn.XLOOKUP(A524,'Video Database'!L:L,'Video Database'!G:G,"")</f>
        <v>SNOW Diamond Tetth Whitening Strips</v>
      </c>
      <c r="E524" s="100">
        <f t="array" ref="E524">_xlfn.XLOOKUP(A524,'Video Database'!L:L,'Video Database'!H:H,"")</f>
        <v>0.7337</v>
      </c>
      <c r="F524" s="101">
        <v>0.0</v>
      </c>
      <c r="G524" s="87">
        <v>0.0</v>
      </c>
      <c r="H524" s="114">
        <f t="array" ref="H524">_xlfn.XLOOKUP(A524,'Video Database'!L:L,'Video Database'!A:A,"")</f>
        <v>46192</v>
      </c>
      <c r="I524" s="103">
        <v>46201.0</v>
      </c>
      <c r="J524" s="104">
        <v>0.0</v>
      </c>
      <c r="K524" s="105"/>
      <c r="L524" s="105" t="str">
        <f t="shared" si="1"/>
        <v/>
      </c>
      <c r="O524" s="106" t="str">
        <f t="shared" si="2"/>
        <v>#N/A</v>
      </c>
      <c r="P524" s="106" t="str">
        <f t="shared" si="3"/>
        <v>#N/A</v>
      </c>
      <c r="Q524" s="84" t="str">
        <f t="shared" si="4"/>
        <v>#N/A</v>
      </c>
      <c r="R524" s="84" t="str">
        <f t="shared" si="5"/>
        <v>#N/A</v>
      </c>
      <c r="S524" s="107">
        <f t="shared" si="6"/>
        <v>-0.7337</v>
      </c>
      <c r="T524" s="108">
        <f t="shared" si="7"/>
        <v>-1</v>
      </c>
      <c r="U524" s="106" t="str">
        <f t="shared" si="8"/>
        <v>#N/A</v>
      </c>
      <c r="V524" s="84" t="str">
        <f t="shared" si="9"/>
        <v/>
      </c>
      <c r="W524" s="109" t="str">
        <f t="shared" si="10"/>
        <v/>
      </c>
      <c r="X524" s="109" t="str">
        <f t="shared" si="11"/>
        <v/>
      </c>
      <c r="Y524" s="110" t="str">
        <f t="array" ref="Y524">_xlfn.XLOOKUP(A524,'Video Database'!L:L,'Video Database'!M:M,"")</f>
        <v>Bottom of Funnel</v>
      </c>
    </row>
    <row r="525" ht="22.5" customHeight="1">
      <c r="A525" s="113">
        <f t="shared" si="12"/>
        <v>524</v>
      </c>
      <c r="B525" s="98" t="str">
        <f t="array" ref="B525">_xlfn.XLOOKUP(A525,'Video Database'!L:L,'Video Database'!D:D,"")</f>
        <v>Erin</v>
      </c>
      <c r="C525" s="98" t="str">
        <f t="array" ref="C525">_xlfn.XLOOKUP(A525,'Video Database'!L:L,'Video Database'!E:E,"")</f>
        <v>Account 1</v>
      </c>
      <c r="D525" s="99" t="str">
        <f t="array" ref="D525">_xlfn.XLOOKUP(A525,'Video Database'!L:L,'Video Database'!G:G,"")</f>
        <v>LullaBites Natural Sleep Gummies</v>
      </c>
      <c r="E525" s="100">
        <f t="array" ref="E525">_xlfn.XLOOKUP(A525,'Video Database'!L:L,'Video Database'!H:H,"")</f>
        <v>0.7337</v>
      </c>
      <c r="F525" s="101">
        <v>0.0</v>
      </c>
      <c r="G525" s="87">
        <v>0.0</v>
      </c>
      <c r="H525" s="114">
        <f t="array" ref="H525">_xlfn.XLOOKUP(A525,'Video Database'!L:L,'Video Database'!A:A,"")</f>
        <v>46192</v>
      </c>
      <c r="I525" s="103">
        <v>46201.0</v>
      </c>
      <c r="J525" s="104">
        <v>0.0</v>
      </c>
      <c r="K525" s="105"/>
      <c r="L525" s="105" t="str">
        <f t="shared" si="1"/>
        <v/>
      </c>
      <c r="O525" s="106" t="str">
        <f t="shared" si="2"/>
        <v>#N/A</v>
      </c>
      <c r="P525" s="106" t="str">
        <f t="shared" si="3"/>
        <v>#N/A</v>
      </c>
      <c r="Q525" s="84" t="str">
        <f t="shared" si="4"/>
        <v>#N/A</v>
      </c>
      <c r="R525" s="84" t="str">
        <f t="shared" si="5"/>
        <v>#N/A</v>
      </c>
      <c r="S525" s="107">
        <f t="shared" si="6"/>
        <v>-0.7337</v>
      </c>
      <c r="T525" s="108">
        <f t="shared" si="7"/>
        <v>-1</v>
      </c>
      <c r="U525" s="106" t="str">
        <f t="shared" si="8"/>
        <v>#N/A</v>
      </c>
      <c r="V525" s="84" t="str">
        <f t="shared" si="9"/>
        <v/>
      </c>
      <c r="W525" s="109" t="str">
        <f t="shared" si="10"/>
        <v/>
      </c>
      <c r="X525" s="109" t="str">
        <f t="shared" si="11"/>
        <v/>
      </c>
      <c r="Y525" s="110" t="str">
        <f t="array" ref="Y525">_xlfn.XLOOKUP(A525,'Video Database'!L:L,'Video Database'!M:M,"")</f>
        <v>Bottom of Funnel</v>
      </c>
    </row>
    <row r="526" ht="22.5" customHeight="1">
      <c r="A526" s="113">
        <f t="shared" si="12"/>
        <v>525</v>
      </c>
      <c r="B526" s="98" t="str">
        <f t="array" ref="B526">_xlfn.XLOOKUP(A526,'Video Database'!L:L,'Video Database'!D:D,"")</f>
        <v>Blakely</v>
      </c>
      <c r="C526" s="98" t="str">
        <f t="array" ref="C526">_xlfn.XLOOKUP(A526,'Video Database'!L:L,'Video Database'!E:E,"")</f>
        <v>Account 2</v>
      </c>
      <c r="D526" s="99" t="str">
        <f t="array" ref="D526">_xlfn.XLOOKUP(A526,'Video Database'!L:L,'Video Database'!G:G,"")</f>
        <v>ForestLeaf Grassfed Beef Liver</v>
      </c>
      <c r="E526" s="100">
        <f t="array" ref="E526">_xlfn.XLOOKUP(A526,'Video Database'!L:L,'Video Database'!H:H,"")</f>
        <v>0.11</v>
      </c>
      <c r="F526" s="101">
        <v>0.0</v>
      </c>
      <c r="G526" s="87">
        <v>0.0</v>
      </c>
      <c r="H526" s="114">
        <f t="array" ref="H526">_xlfn.XLOOKUP(A526,'Video Database'!L:L,'Video Database'!A:A,"")</f>
        <v>46192</v>
      </c>
      <c r="I526" s="103">
        <v>46201.0</v>
      </c>
      <c r="J526" s="104">
        <v>0.0</v>
      </c>
      <c r="K526" s="105"/>
      <c r="L526" s="105" t="str">
        <f t="shared" si="1"/>
        <v/>
      </c>
      <c r="O526" s="106" t="str">
        <f t="shared" si="2"/>
        <v>#N/A</v>
      </c>
      <c r="P526" s="106" t="str">
        <f t="shared" si="3"/>
        <v>#N/A</v>
      </c>
      <c r="Q526" s="84" t="str">
        <f t="shared" si="4"/>
        <v>#N/A</v>
      </c>
      <c r="R526" s="84" t="str">
        <f t="shared" si="5"/>
        <v>#N/A</v>
      </c>
      <c r="S526" s="107">
        <f t="shared" si="6"/>
        <v>-0.11</v>
      </c>
      <c r="T526" s="108">
        <f t="shared" si="7"/>
        <v>-1</v>
      </c>
      <c r="U526" s="106" t="str">
        <f t="shared" si="8"/>
        <v>#N/A</v>
      </c>
      <c r="V526" s="84" t="str">
        <f t="shared" si="9"/>
        <v/>
      </c>
      <c r="W526" s="109" t="str">
        <f t="shared" si="10"/>
        <v/>
      </c>
      <c r="X526" s="109" t="str">
        <f t="shared" si="11"/>
        <v/>
      </c>
      <c r="Y526" s="110" t="str">
        <f t="array" ref="Y526">_xlfn.XLOOKUP(A526,'Video Database'!L:L,'Video Database'!M:M,"")</f>
        <v>Product Overlay</v>
      </c>
    </row>
    <row r="527" ht="22.5" customHeight="1">
      <c r="A527" s="113">
        <f t="shared" si="12"/>
        <v>526</v>
      </c>
      <c r="B527" s="98" t="str">
        <f t="array" ref="B527">_xlfn.XLOOKUP(A527,'Video Database'!L:L,'Video Database'!D:D,"")</f>
        <v>Erin</v>
      </c>
      <c r="C527" s="98" t="str">
        <f t="array" ref="C527">_xlfn.XLOOKUP(A527,'Video Database'!L:L,'Video Database'!E:E,"")</f>
        <v>Account 2</v>
      </c>
      <c r="D527" s="99" t="str">
        <f t="array" ref="D527">_xlfn.XLOOKUP(A527,'Video Database'!L:L,'Video Database'!G:G,"")</f>
        <v>SNOW Diamond Tetth Whitening Strips</v>
      </c>
      <c r="E527" s="100">
        <f t="array" ref="E527">_xlfn.XLOOKUP(A527,'Video Database'!L:L,'Video Database'!H:H,"")</f>
        <v>0.7337</v>
      </c>
      <c r="F527" s="101">
        <v>0.0</v>
      </c>
      <c r="G527" s="87">
        <v>0.0</v>
      </c>
      <c r="H527" s="114">
        <f t="array" ref="H527">_xlfn.XLOOKUP(A527,'Video Database'!L:L,'Video Database'!A:A,"")</f>
        <v>46192</v>
      </c>
      <c r="I527" s="103">
        <v>46201.0</v>
      </c>
      <c r="J527" s="104">
        <v>0.0</v>
      </c>
      <c r="K527" s="105"/>
      <c r="L527" s="105" t="str">
        <f t="shared" si="1"/>
        <v/>
      </c>
      <c r="O527" s="106" t="str">
        <f t="shared" si="2"/>
        <v>#N/A</v>
      </c>
      <c r="P527" s="106" t="str">
        <f t="shared" si="3"/>
        <v>#N/A</v>
      </c>
      <c r="Q527" s="84" t="str">
        <f t="shared" si="4"/>
        <v>#N/A</v>
      </c>
      <c r="R527" s="84" t="str">
        <f t="shared" si="5"/>
        <v>#N/A</v>
      </c>
      <c r="S527" s="107">
        <f t="shared" si="6"/>
        <v>-0.7337</v>
      </c>
      <c r="T527" s="108">
        <f t="shared" si="7"/>
        <v>-1</v>
      </c>
      <c r="U527" s="106" t="str">
        <f t="shared" si="8"/>
        <v>#N/A</v>
      </c>
      <c r="V527" s="84" t="str">
        <f t="shared" si="9"/>
        <v/>
      </c>
      <c r="W527" s="109" t="str">
        <f t="shared" si="10"/>
        <v/>
      </c>
      <c r="X527" s="109" t="str">
        <f t="shared" si="11"/>
        <v/>
      </c>
      <c r="Y527" s="110" t="str">
        <f t="array" ref="Y527">_xlfn.XLOOKUP(A527,'Video Database'!L:L,'Video Database'!M:M,"")</f>
        <v>Bottom of Funnel</v>
      </c>
    </row>
    <row r="528" ht="22.5" customHeight="1">
      <c r="A528" s="113">
        <f t="shared" si="12"/>
        <v>527</v>
      </c>
      <c r="B528" s="98" t="str">
        <f t="array" ref="B528">_xlfn.XLOOKUP(A528,'Video Database'!L:L,'Video Database'!D:D,"")</f>
        <v>Erin</v>
      </c>
      <c r="C528" s="98" t="str">
        <f t="array" ref="C528">_xlfn.XLOOKUP(A528,'Video Database'!L:L,'Video Database'!E:E,"")</f>
        <v>Account 2</v>
      </c>
      <c r="D528" s="99" t="str">
        <f t="array" ref="D528">_xlfn.XLOOKUP(A528,'Video Database'!L:L,'Video Database'!G:G,"")</f>
        <v>LullaBites Natural Sleep Gummies</v>
      </c>
      <c r="E528" s="100">
        <f t="array" ref="E528">_xlfn.XLOOKUP(A528,'Video Database'!L:L,'Video Database'!H:H,"")</f>
        <v>0.7337</v>
      </c>
      <c r="F528" s="101">
        <v>0.0</v>
      </c>
      <c r="G528" s="87">
        <v>0.0</v>
      </c>
      <c r="H528" s="114">
        <f t="array" ref="H528">_xlfn.XLOOKUP(A528,'Video Database'!L:L,'Video Database'!A:A,"")</f>
        <v>46192</v>
      </c>
      <c r="I528" s="103">
        <v>46201.0</v>
      </c>
      <c r="J528" s="104">
        <v>0.0</v>
      </c>
      <c r="K528" s="105"/>
      <c r="L528" s="105" t="str">
        <f t="shared" si="1"/>
        <v/>
      </c>
      <c r="O528" s="106" t="str">
        <f t="shared" si="2"/>
        <v>#N/A</v>
      </c>
      <c r="P528" s="106" t="str">
        <f t="shared" si="3"/>
        <v>#N/A</v>
      </c>
      <c r="Q528" s="84" t="str">
        <f t="shared" si="4"/>
        <v>#N/A</v>
      </c>
      <c r="R528" s="84" t="str">
        <f t="shared" si="5"/>
        <v>#N/A</v>
      </c>
      <c r="S528" s="107">
        <f t="shared" si="6"/>
        <v>-0.7337</v>
      </c>
      <c r="T528" s="108">
        <f t="shared" si="7"/>
        <v>-1</v>
      </c>
      <c r="U528" s="106" t="str">
        <f t="shared" si="8"/>
        <v>#N/A</v>
      </c>
      <c r="V528" s="84" t="str">
        <f t="shared" si="9"/>
        <v/>
      </c>
      <c r="W528" s="109" t="str">
        <f t="shared" si="10"/>
        <v/>
      </c>
      <c r="X528" s="109" t="str">
        <f t="shared" si="11"/>
        <v/>
      </c>
      <c r="Y528" s="110" t="str">
        <f t="array" ref="Y528">_xlfn.XLOOKUP(A528,'Video Database'!L:L,'Video Database'!M:M,"")</f>
        <v>Bottom of Funnel</v>
      </c>
    </row>
    <row r="529" ht="22.5" customHeight="1">
      <c r="A529" s="113">
        <f t="shared" si="12"/>
        <v>528</v>
      </c>
      <c r="B529" s="98" t="str">
        <f t="array" ref="B529">_xlfn.XLOOKUP(A529,'Video Database'!L:L,'Video Database'!D:D,"")</f>
        <v>Erin</v>
      </c>
      <c r="C529" s="98" t="str">
        <f t="array" ref="C529">_xlfn.XLOOKUP(A529,'Video Database'!L:L,'Video Database'!E:E,"")</f>
        <v>Account 2</v>
      </c>
      <c r="D529" s="99" t="str">
        <f t="array" ref="D529">_xlfn.XLOOKUP(A529,'Video Database'!L:L,'Video Database'!G:G,"")</f>
        <v>LullaBites Natural Sleep Gummies</v>
      </c>
      <c r="E529" s="100">
        <f t="array" ref="E529">_xlfn.XLOOKUP(A529,'Video Database'!L:L,'Video Database'!H:H,"")</f>
        <v>0.7337</v>
      </c>
      <c r="F529" s="101">
        <v>0.0</v>
      </c>
      <c r="G529" s="87">
        <v>0.0</v>
      </c>
      <c r="H529" s="114">
        <f t="array" ref="H529">_xlfn.XLOOKUP(A529,'Video Database'!L:L,'Video Database'!A:A,"")</f>
        <v>46192</v>
      </c>
      <c r="I529" s="103">
        <v>46201.0</v>
      </c>
      <c r="J529" s="104">
        <v>0.0</v>
      </c>
      <c r="K529" s="105"/>
      <c r="L529" s="105" t="str">
        <f t="shared" si="1"/>
        <v/>
      </c>
      <c r="O529" s="106" t="str">
        <f t="shared" si="2"/>
        <v>#N/A</v>
      </c>
      <c r="P529" s="106" t="str">
        <f t="shared" si="3"/>
        <v>#N/A</v>
      </c>
      <c r="Q529" s="84" t="str">
        <f t="shared" si="4"/>
        <v>#N/A</v>
      </c>
      <c r="R529" s="84" t="str">
        <f t="shared" si="5"/>
        <v>#N/A</v>
      </c>
      <c r="S529" s="107">
        <f t="shared" si="6"/>
        <v>-0.7337</v>
      </c>
      <c r="T529" s="108">
        <f t="shared" si="7"/>
        <v>-1</v>
      </c>
      <c r="U529" s="106" t="str">
        <f t="shared" si="8"/>
        <v>#N/A</v>
      </c>
      <c r="V529" s="84" t="str">
        <f t="shared" si="9"/>
        <v/>
      </c>
      <c r="W529" s="109" t="str">
        <f t="shared" si="10"/>
        <v/>
      </c>
      <c r="X529" s="109" t="str">
        <f t="shared" si="11"/>
        <v/>
      </c>
      <c r="Y529" s="110" t="str">
        <f t="array" ref="Y529">_xlfn.XLOOKUP(A529,'Video Database'!L:L,'Video Database'!M:M,"")</f>
        <v>Bottom of Funnel</v>
      </c>
    </row>
    <row r="530" ht="22.5" customHeight="1">
      <c r="A530" s="113">
        <f t="shared" si="12"/>
        <v>529</v>
      </c>
      <c r="B530" s="98" t="str">
        <f t="array" ref="B530">_xlfn.XLOOKUP(A530,'Video Database'!L:L,'Video Database'!D:D,"")</f>
        <v>Erin</v>
      </c>
      <c r="C530" s="98" t="str">
        <f t="array" ref="C530">_xlfn.XLOOKUP(A530,'Video Database'!L:L,'Video Database'!E:E,"")</f>
        <v>Account 2</v>
      </c>
      <c r="D530" s="99" t="str">
        <f t="array" ref="D530">_xlfn.XLOOKUP(A530,'Video Database'!L:L,'Video Database'!G:G,"")</f>
        <v>LullaBites Natural Sleep Gummies</v>
      </c>
      <c r="E530" s="100">
        <f t="array" ref="E530">_xlfn.XLOOKUP(A530,'Video Database'!L:L,'Video Database'!H:H,"")</f>
        <v>0.7337</v>
      </c>
      <c r="F530" s="101">
        <v>0.0</v>
      </c>
      <c r="G530" s="87">
        <v>0.0</v>
      </c>
      <c r="H530" s="114">
        <f t="array" ref="H530">_xlfn.XLOOKUP(A530,'Video Database'!L:L,'Video Database'!A:A,"")</f>
        <v>46192</v>
      </c>
      <c r="I530" s="103">
        <v>46201.0</v>
      </c>
      <c r="J530" s="104">
        <v>0.0</v>
      </c>
      <c r="K530" s="105"/>
      <c r="L530" s="105" t="str">
        <f t="shared" si="1"/>
        <v/>
      </c>
      <c r="O530" s="106" t="str">
        <f t="shared" si="2"/>
        <v>#N/A</v>
      </c>
      <c r="P530" s="106" t="str">
        <f t="shared" si="3"/>
        <v>#N/A</v>
      </c>
      <c r="Q530" s="84" t="str">
        <f t="shared" si="4"/>
        <v>#N/A</v>
      </c>
      <c r="R530" s="84" t="str">
        <f t="shared" si="5"/>
        <v>#N/A</v>
      </c>
      <c r="S530" s="107">
        <f t="shared" si="6"/>
        <v>-0.7337</v>
      </c>
      <c r="T530" s="108">
        <f t="shared" si="7"/>
        <v>-1</v>
      </c>
      <c r="U530" s="106" t="str">
        <f t="shared" si="8"/>
        <v>#N/A</v>
      </c>
      <c r="V530" s="84" t="str">
        <f t="shared" si="9"/>
        <v/>
      </c>
      <c r="W530" s="109" t="str">
        <f t="shared" si="10"/>
        <v/>
      </c>
      <c r="X530" s="109" t="str">
        <f t="shared" si="11"/>
        <v/>
      </c>
      <c r="Y530" s="110" t="str">
        <f t="array" ref="Y530">_xlfn.XLOOKUP(A530,'Video Database'!L:L,'Video Database'!M:M,"")</f>
        <v>Bottom of Funnel</v>
      </c>
    </row>
    <row r="531" ht="22.5" customHeight="1">
      <c r="A531" s="113">
        <f t="shared" si="12"/>
        <v>530</v>
      </c>
      <c r="B531" s="98" t="str">
        <f t="array" ref="B531">_xlfn.XLOOKUP(A531,'Video Database'!L:L,'Video Database'!D:D,"")</f>
        <v>Erin</v>
      </c>
      <c r="C531" s="98" t="str">
        <f t="array" ref="C531">_xlfn.XLOOKUP(A531,'Video Database'!L:L,'Video Database'!E:E,"")</f>
        <v>Account 2</v>
      </c>
      <c r="D531" s="99" t="str">
        <f t="array" ref="D531">_xlfn.XLOOKUP(A531,'Video Database'!L:L,'Video Database'!G:G,"")</f>
        <v>SNOW Diamond Tetth Whitening Strips</v>
      </c>
      <c r="E531" s="100">
        <f t="array" ref="E531">_xlfn.XLOOKUP(A531,'Video Database'!L:L,'Video Database'!H:H,"")</f>
        <v>0.7337</v>
      </c>
      <c r="F531" s="101">
        <v>0.0</v>
      </c>
      <c r="G531" s="87">
        <v>0.0</v>
      </c>
      <c r="H531" s="114">
        <f t="array" ref="H531">_xlfn.XLOOKUP(A531,'Video Database'!L:L,'Video Database'!A:A,"")</f>
        <v>46192</v>
      </c>
      <c r="I531" s="103">
        <v>46201.0</v>
      </c>
      <c r="J531" s="104">
        <v>0.0</v>
      </c>
      <c r="K531" s="105"/>
      <c r="L531" s="105" t="str">
        <f t="shared" si="1"/>
        <v/>
      </c>
      <c r="O531" s="106" t="str">
        <f t="shared" si="2"/>
        <v>#N/A</v>
      </c>
      <c r="P531" s="106" t="str">
        <f t="shared" si="3"/>
        <v>#N/A</v>
      </c>
      <c r="Q531" s="84" t="str">
        <f t="shared" si="4"/>
        <v>#N/A</v>
      </c>
      <c r="R531" s="84" t="str">
        <f t="shared" si="5"/>
        <v>#N/A</v>
      </c>
      <c r="S531" s="107">
        <f t="shared" si="6"/>
        <v>-0.7337</v>
      </c>
      <c r="T531" s="108">
        <f t="shared" si="7"/>
        <v>-1</v>
      </c>
      <c r="U531" s="106" t="str">
        <f t="shared" si="8"/>
        <v>#N/A</v>
      </c>
      <c r="V531" s="84" t="str">
        <f t="shared" si="9"/>
        <v/>
      </c>
      <c r="W531" s="109" t="str">
        <f t="shared" si="10"/>
        <v/>
      </c>
      <c r="X531" s="109" t="str">
        <f t="shared" si="11"/>
        <v/>
      </c>
      <c r="Y531" s="110" t="str">
        <f t="array" ref="Y531">_xlfn.XLOOKUP(A531,'Video Database'!L:L,'Video Database'!M:M,"")</f>
        <v>Bottom of Funnel</v>
      </c>
    </row>
    <row r="532" ht="22.5" customHeight="1">
      <c r="A532" s="113">
        <f t="shared" si="12"/>
        <v>531</v>
      </c>
      <c r="B532" s="98" t="str">
        <f t="array" ref="B532">_xlfn.XLOOKUP(A532,'Video Database'!L:L,'Video Database'!D:D,"")</f>
        <v>Erin</v>
      </c>
      <c r="C532" s="98" t="str">
        <f t="array" ref="C532">_xlfn.XLOOKUP(A532,'Video Database'!L:L,'Video Database'!E:E,"")</f>
        <v>Account 2</v>
      </c>
      <c r="D532" s="99" t="str">
        <f t="array" ref="D532">_xlfn.XLOOKUP(A532,'Video Database'!L:L,'Video Database'!G:G,"")</f>
        <v>SNOW Diamond Tetth Whitening Strips</v>
      </c>
      <c r="E532" s="100">
        <f t="array" ref="E532">_xlfn.XLOOKUP(A532,'Video Database'!L:L,'Video Database'!H:H,"")</f>
        <v>0.7337</v>
      </c>
      <c r="F532" s="101">
        <v>0.0</v>
      </c>
      <c r="G532" s="87">
        <v>0.0</v>
      </c>
      <c r="H532" s="114">
        <f t="array" ref="H532">_xlfn.XLOOKUP(A532,'Video Database'!L:L,'Video Database'!A:A,"")</f>
        <v>46192</v>
      </c>
      <c r="I532" s="103">
        <v>46201.0</v>
      </c>
      <c r="J532" s="104">
        <v>0.0</v>
      </c>
      <c r="K532" s="105"/>
      <c r="L532" s="105" t="str">
        <f t="shared" si="1"/>
        <v/>
      </c>
      <c r="O532" s="106" t="str">
        <f t="shared" si="2"/>
        <v>#N/A</v>
      </c>
      <c r="P532" s="106" t="str">
        <f t="shared" si="3"/>
        <v>#N/A</v>
      </c>
      <c r="Q532" s="84" t="str">
        <f t="shared" si="4"/>
        <v>#N/A</v>
      </c>
      <c r="R532" s="84" t="str">
        <f t="shared" si="5"/>
        <v>#N/A</v>
      </c>
      <c r="S532" s="107">
        <f t="shared" si="6"/>
        <v>-0.7337</v>
      </c>
      <c r="T532" s="108">
        <f t="shared" si="7"/>
        <v>-1</v>
      </c>
      <c r="U532" s="106" t="str">
        <f t="shared" si="8"/>
        <v>#N/A</v>
      </c>
      <c r="V532" s="84" t="str">
        <f t="shared" si="9"/>
        <v/>
      </c>
      <c r="W532" s="109" t="str">
        <f t="shared" si="10"/>
        <v/>
      </c>
      <c r="X532" s="109" t="str">
        <f t="shared" si="11"/>
        <v/>
      </c>
      <c r="Y532" s="110" t="str">
        <f t="array" ref="Y532">_xlfn.XLOOKUP(A532,'Video Database'!L:L,'Video Database'!M:M,"")</f>
        <v>Bottom of Funnel</v>
      </c>
    </row>
    <row r="533" ht="22.5" customHeight="1">
      <c r="A533" s="113">
        <f t="shared" si="12"/>
        <v>532</v>
      </c>
      <c r="B533" s="98" t="str">
        <f t="array" ref="B533">_xlfn.XLOOKUP(A533,'Video Database'!L:L,'Video Database'!D:D,"")</f>
        <v>Erin</v>
      </c>
      <c r="C533" s="98" t="str">
        <f t="array" ref="C533">_xlfn.XLOOKUP(A533,'Video Database'!L:L,'Video Database'!E:E,"")</f>
        <v>Account 2</v>
      </c>
      <c r="D533" s="99" t="str">
        <f t="array" ref="D533">_xlfn.XLOOKUP(A533,'Video Database'!L:L,'Video Database'!G:G,"")</f>
        <v>SNOW Diamond Tetth Whitening Strips</v>
      </c>
      <c r="E533" s="100">
        <f t="array" ref="E533">_xlfn.XLOOKUP(A533,'Video Database'!L:L,'Video Database'!H:H,"")</f>
        <v>0.7337</v>
      </c>
      <c r="F533" s="101">
        <v>0.0</v>
      </c>
      <c r="G533" s="87">
        <v>0.0</v>
      </c>
      <c r="H533" s="114">
        <f t="array" ref="H533">_xlfn.XLOOKUP(A533,'Video Database'!L:L,'Video Database'!A:A,"")</f>
        <v>46192</v>
      </c>
      <c r="I533" s="103">
        <v>46201.0</v>
      </c>
      <c r="J533" s="104">
        <v>0.0</v>
      </c>
      <c r="K533" s="105"/>
      <c r="L533" s="105" t="str">
        <f t="shared" si="1"/>
        <v/>
      </c>
      <c r="O533" s="106" t="str">
        <f t="shared" si="2"/>
        <v>#N/A</v>
      </c>
      <c r="P533" s="106" t="str">
        <f t="shared" si="3"/>
        <v>#N/A</v>
      </c>
      <c r="Q533" s="84" t="str">
        <f t="shared" si="4"/>
        <v>#N/A</v>
      </c>
      <c r="R533" s="84" t="str">
        <f t="shared" si="5"/>
        <v>#N/A</v>
      </c>
      <c r="S533" s="107">
        <f t="shared" si="6"/>
        <v>-0.7337</v>
      </c>
      <c r="T533" s="108">
        <f t="shared" si="7"/>
        <v>-1</v>
      </c>
      <c r="U533" s="106" t="str">
        <f t="shared" si="8"/>
        <v>#N/A</v>
      </c>
      <c r="V533" s="84" t="str">
        <f t="shared" si="9"/>
        <v/>
      </c>
      <c r="W533" s="109" t="str">
        <f t="shared" si="10"/>
        <v/>
      </c>
      <c r="X533" s="109" t="str">
        <f t="shared" si="11"/>
        <v/>
      </c>
      <c r="Y533" s="110" t="str">
        <f t="array" ref="Y533">_xlfn.XLOOKUP(A533,'Video Database'!L:L,'Video Database'!M:M,"")</f>
        <v>Bottom of Funnel</v>
      </c>
    </row>
    <row r="534" ht="22.5" customHeight="1">
      <c r="A534" s="113">
        <f t="shared" si="12"/>
        <v>533</v>
      </c>
      <c r="B534" s="98" t="str">
        <f t="array" ref="B534">_xlfn.XLOOKUP(A534,'Video Database'!L:L,'Video Database'!D:D,"")</f>
        <v>Erin</v>
      </c>
      <c r="C534" s="98" t="str">
        <f t="array" ref="C534">_xlfn.XLOOKUP(A534,'Video Database'!L:L,'Video Database'!E:E,"")</f>
        <v>Account 2</v>
      </c>
      <c r="D534" s="99" t="str">
        <f t="array" ref="D534">_xlfn.XLOOKUP(A534,'Video Database'!L:L,'Video Database'!G:G,"")</f>
        <v>SNOW Diamond Tetth Whitening Strips</v>
      </c>
      <c r="E534" s="100">
        <f t="array" ref="E534">_xlfn.XLOOKUP(A534,'Video Database'!L:L,'Video Database'!H:H,"")</f>
        <v>0.7337</v>
      </c>
      <c r="F534" s="101">
        <v>0.0</v>
      </c>
      <c r="G534" s="87">
        <v>0.0</v>
      </c>
      <c r="H534" s="114">
        <f t="array" ref="H534">_xlfn.XLOOKUP(A534,'Video Database'!L:L,'Video Database'!A:A,"")</f>
        <v>46192</v>
      </c>
      <c r="I534" s="103">
        <v>46201.0</v>
      </c>
      <c r="J534" s="104">
        <v>0.0</v>
      </c>
      <c r="K534" s="105"/>
      <c r="L534" s="105" t="str">
        <f t="shared" si="1"/>
        <v/>
      </c>
      <c r="O534" s="106" t="str">
        <f t="shared" si="2"/>
        <v>#N/A</v>
      </c>
      <c r="P534" s="106" t="str">
        <f t="shared" si="3"/>
        <v>#N/A</v>
      </c>
      <c r="Q534" s="84" t="str">
        <f t="shared" si="4"/>
        <v>#N/A</v>
      </c>
      <c r="R534" s="84" t="str">
        <f t="shared" si="5"/>
        <v>#N/A</v>
      </c>
      <c r="S534" s="107">
        <f t="shared" si="6"/>
        <v>-0.7337</v>
      </c>
      <c r="T534" s="108">
        <f t="shared" si="7"/>
        <v>-1</v>
      </c>
      <c r="U534" s="106" t="str">
        <f t="shared" si="8"/>
        <v>#N/A</v>
      </c>
      <c r="V534" s="84" t="str">
        <f t="shared" si="9"/>
        <v/>
      </c>
      <c r="W534" s="109" t="str">
        <f t="shared" si="10"/>
        <v/>
      </c>
      <c r="X534" s="109" t="str">
        <f t="shared" si="11"/>
        <v/>
      </c>
      <c r="Y534" s="110" t="str">
        <f t="array" ref="Y534">_xlfn.XLOOKUP(A534,'Video Database'!L:L,'Video Database'!M:M,"")</f>
        <v>Bottom of Funnel</v>
      </c>
    </row>
    <row r="535" ht="22.5" customHeight="1">
      <c r="A535" s="113">
        <f t="shared" si="12"/>
        <v>534</v>
      </c>
      <c r="B535" s="98" t="str">
        <f t="array" ref="B535">_xlfn.XLOOKUP(A535,'Video Database'!L:L,'Video Database'!D:D,"")</f>
        <v>Erin</v>
      </c>
      <c r="C535" s="98" t="str">
        <f t="array" ref="C535">_xlfn.XLOOKUP(A535,'Video Database'!L:L,'Video Database'!E:E,"")</f>
        <v>Account 2</v>
      </c>
      <c r="D535" s="99" t="str">
        <f t="array" ref="D535">_xlfn.XLOOKUP(A535,'Video Database'!L:L,'Video Database'!G:G,"")</f>
        <v>LullaBites Natural Sleep Gummies</v>
      </c>
      <c r="E535" s="100">
        <f t="array" ref="E535">_xlfn.XLOOKUP(A535,'Video Database'!L:L,'Video Database'!H:H,"")</f>
        <v>0.7337</v>
      </c>
      <c r="F535" s="101">
        <v>0.0</v>
      </c>
      <c r="G535" s="87">
        <v>0.0</v>
      </c>
      <c r="H535" s="114">
        <f t="array" ref="H535">_xlfn.XLOOKUP(A535,'Video Database'!L:L,'Video Database'!A:A,"")</f>
        <v>46192</v>
      </c>
      <c r="I535" s="103">
        <v>46201.0</v>
      </c>
      <c r="J535" s="104">
        <v>0.0</v>
      </c>
      <c r="K535" s="105"/>
      <c r="L535" s="105" t="str">
        <f t="shared" si="1"/>
        <v/>
      </c>
      <c r="O535" s="106" t="str">
        <f t="shared" si="2"/>
        <v>#N/A</v>
      </c>
      <c r="P535" s="106" t="str">
        <f t="shared" si="3"/>
        <v>#N/A</v>
      </c>
      <c r="Q535" s="84" t="str">
        <f t="shared" si="4"/>
        <v>#N/A</v>
      </c>
      <c r="R535" s="84" t="str">
        <f t="shared" si="5"/>
        <v>#N/A</v>
      </c>
      <c r="S535" s="107">
        <f t="shared" si="6"/>
        <v>-0.7337</v>
      </c>
      <c r="T535" s="108">
        <f t="shared" si="7"/>
        <v>-1</v>
      </c>
      <c r="U535" s="106" t="str">
        <f t="shared" si="8"/>
        <v>#N/A</v>
      </c>
      <c r="V535" s="84" t="str">
        <f t="shared" si="9"/>
        <v/>
      </c>
      <c r="W535" s="109" t="str">
        <f t="shared" si="10"/>
        <v/>
      </c>
      <c r="X535" s="109" t="str">
        <f t="shared" si="11"/>
        <v/>
      </c>
      <c r="Y535" s="110" t="str">
        <f t="array" ref="Y535">_xlfn.XLOOKUP(A535,'Video Database'!L:L,'Video Database'!M:M,"")</f>
        <v>Bottom of Funnel</v>
      </c>
    </row>
    <row r="536" ht="22.5" customHeight="1">
      <c r="A536" s="113">
        <f t="shared" si="12"/>
        <v>535</v>
      </c>
      <c r="B536" s="98" t="str">
        <f t="array" ref="B536">_xlfn.XLOOKUP(A536,'Video Database'!L:L,'Video Database'!D:D,"")</f>
        <v>Erin</v>
      </c>
      <c r="C536" s="98" t="str">
        <f t="array" ref="C536">_xlfn.XLOOKUP(A536,'Video Database'!L:L,'Video Database'!E:E,"")</f>
        <v>Account 2</v>
      </c>
      <c r="D536" s="99" t="str">
        <f t="array" ref="D536">_xlfn.XLOOKUP(A536,'Video Database'!L:L,'Video Database'!G:G,"")</f>
        <v>LullaBites Natural Sleep Gummies</v>
      </c>
      <c r="E536" s="100">
        <f t="array" ref="E536">_xlfn.XLOOKUP(A536,'Video Database'!L:L,'Video Database'!H:H,"")</f>
        <v>0.7337</v>
      </c>
      <c r="F536" s="101">
        <v>0.0</v>
      </c>
      <c r="G536" s="87">
        <v>0.0</v>
      </c>
      <c r="H536" s="114">
        <f t="array" ref="H536">_xlfn.XLOOKUP(A536,'Video Database'!L:L,'Video Database'!A:A,"")</f>
        <v>46192</v>
      </c>
      <c r="I536" s="103">
        <v>46201.0</v>
      </c>
      <c r="J536" s="104">
        <v>0.0</v>
      </c>
      <c r="K536" s="105"/>
      <c r="L536" s="105" t="str">
        <f t="shared" si="1"/>
        <v/>
      </c>
      <c r="O536" s="106" t="str">
        <f t="shared" si="2"/>
        <v>#N/A</v>
      </c>
      <c r="P536" s="106" t="str">
        <f t="shared" si="3"/>
        <v>#N/A</v>
      </c>
      <c r="Q536" s="84" t="str">
        <f t="shared" si="4"/>
        <v>#N/A</v>
      </c>
      <c r="R536" s="84" t="str">
        <f t="shared" si="5"/>
        <v>#N/A</v>
      </c>
      <c r="S536" s="107">
        <f t="shared" si="6"/>
        <v>-0.7337</v>
      </c>
      <c r="T536" s="108">
        <f t="shared" si="7"/>
        <v>-1</v>
      </c>
      <c r="U536" s="106" t="str">
        <f t="shared" si="8"/>
        <v>#N/A</v>
      </c>
      <c r="V536" s="84" t="str">
        <f t="shared" si="9"/>
        <v/>
      </c>
      <c r="W536" s="109" t="str">
        <f t="shared" si="10"/>
        <v/>
      </c>
      <c r="X536" s="109" t="str">
        <f t="shared" si="11"/>
        <v/>
      </c>
      <c r="Y536" s="110" t="str">
        <f t="array" ref="Y536">_xlfn.XLOOKUP(A536,'Video Database'!L:L,'Video Database'!M:M,"")</f>
        <v>Bottom of Funnel</v>
      </c>
    </row>
    <row r="537" ht="22.5" customHeight="1">
      <c r="A537" s="113">
        <f t="shared" si="12"/>
        <v>536</v>
      </c>
      <c r="B537" s="98" t="str">
        <f t="array" ref="B537">_xlfn.XLOOKUP(A537,'Video Database'!L:L,'Video Database'!D:D,"")</f>
        <v>Blakely</v>
      </c>
      <c r="C537" s="98" t="str">
        <f t="array" ref="C537">_xlfn.XLOOKUP(A537,'Video Database'!L:L,'Video Database'!E:E,"")</f>
        <v>Account 3</v>
      </c>
      <c r="D537" s="99" t="str">
        <f t="array" ref="D537">_xlfn.XLOOKUP(A537,'Video Database'!L:L,'Video Database'!G:G,"")</f>
        <v>Mushroom Coffee</v>
      </c>
      <c r="E537" s="100">
        <f t="array" ref="E537">_xlfn.XLOOKUP(A537,'Video Database'!L:L,'Video Database'!H:H,"")</f>
        <v>0.11</v>
      </c>
      <c r="F537" s="101">
        <v>0.0</v>
      </c>
      <c r="G537" s="87">
        <v>0.0</v>
      </c>
      <c r="H537" s="114">
        <f t="array" ref="H537">_xlfn.XLOOKUP(A537,'Video Database'!L:L,'Video Database'!A:A,"")</f>
        <v>46192</v>
      </c>
      <c r="I537" s="103">
        <v>46201.0</v>
      </c>
      <c r="J537" s="104">
        <v>0.0</v>
      </c>
      <c r="K537" s="105"/>
      <c r="L537" s="105" t="str">
        <f t="shared" si="1"/>
        <v/>
      </c>
      <c r="O537" s="106" t="str">
        <f t="shared" si="2"/>
        <v>#N/A</v>
      </c>
      <c r="P537" s="106" t="str">
        <f t="shared" si="3"/>
        <v>#N/A</v>
      </c>
      <c r="Q537" s="84" t="str">
        <f t="shared" si="4"/>
        <v>#N/A</v>
      </c>
      <c r="R537" s="84" t="str">
        <f t="shared" si="5"/>
        <v>#N/A</v>
      </c>
      <c r="S537" s="107">
        <f t="shared" si="6"/>
        <v>-0.11</v>
      </c>
      <c r="T537" s="108">
        <f t="shared" si="7"/>
        <v>-1</v>
      </c>
      <c r="U537" s="106" t="str">
        <f t="shared" si="8"/>
        <v>#N/A</v>
      </c>
      <c r="V537" s="84" t="str">
        <f t="shared" si="9"/>
        <v/>
      </c>
      <c r="W537" s="109" t="str">
        <f t="shared" si="10"/>
        <v/>
      </c>
      <c r="X537" s="109" t="str">
        <f t="shared" si="11"/>
        <v/>
      </c>
      <c r="Y537" s="110" t="str">
        <f t="array" ref="Y537">_xlfn.XLOOKUP(A537,'Video Database'!L:L,'Video Database'!M:M,"")</f>
        <v>Product Overlay</v>
      </c>
    </row>
    <row r="538" ht="22.5" customHeight="1">
      <c r="A538" s="113">
        <f t="shared" si="12"/>
        <v>537</v>
      </c>
      <c r="B538" s="98" t="str">
        <f t="array" ref="B538">_xlfn.XLOOKUP(A538,'Video Database'!L:L,'Video Database'!D:D,"")</f>
        <v>Erin</v>
      </c>
      <c r="C538" s="98" t="str">
        <f t="array" ref="C538">_xlfn.XLOOKUP(A538,'Video Database'!L:L,'Video Database'!E:E,"")</f>
        <v>Account 3</v>
      </c>
      <c r="D538" s="99" t="str">
        <f t="array" ref="D538">_xlfn.XLOOKUP(A538,'Video Database'!L:L,'Video Database'!G:G,"")</f>
        <v>SNOW Diamond Tetth Whitening Strips</v>
      </c>
      <c r="E538" s="100">
        <f t="array" ref="E538">_xlfn.XLOOKUP(A538,'Video Database'!L:L,'Video Database'!H:H,"")</f>
        <v>0.7337</v>
      </c>
      <c r="F538" s="101">
        <v>0.0</v>
      </c>
      <c r="G538" s="87">
        <v>0.0</v>
      </c>
      <c r="H538" s="114">
        <f t="array" ref="H538">_xlfn.XLOOKUP(A538,'Video Database'!L:L,'Video Database'!A:A,"")</f>
        <v>46192</v>
      </c>
      <c r="I538" s="103">
        <v>46201.0</v>
      </c>
      <c r="J538" s="104">
        <v>0.0</v>
      </c>
      <c r="K538" s="105"/>
      <c r="L538" s="105" t="str">
        <f t="shared" si="1"/>
        <v/>
      </c>
      <c r="O538" s="106" t="str">
        <f t="shared" si="2"/>
        <v>#N/A</v>
      </c>
      <c r="P538" s="106" t="str">
        <f t="shared" si="3"/>
        <v>#N/A</v>
      </c>
      <c r="Q538" s="84" t="str">
        <f t="shared" si="4"/>
        <v>#N/A</v>
      </c>
      <c r="R538" s="84" t="str">
        <f t="shared" si="5"/>
        <v>#N/A</v>
      </c>
      <c r="S538" s="107">
        <f t="shared" si="6"/>
        <v>-0.7337</v>
      </c>
      <c r="T538" s="108">
        <f t="shared" si="7"/>
        <v>-1</v>
      </c>
      <c r="U538" s="106" t="str">
        <f t="shared" si="8"/>
        <v>#N/A</v>
      </c>
      <c r="V538" s="84" t="str">
        <f t="shared" si="9"/>
        <v/>
      </c>
      <c r="W538" s="109" t="str">
        <f t="shared" si="10"/>
        <v/>
      </c>
      <c r="X538" s="109" t="str">
        <f t="shared" si="11"/>
        <v/>
      </c>
      <c r="Y538" s="110" t="str">
        <f t="array" ref="Y538">_xlfn.XLOOKUP(A538,'Video Database'!L:L,'Video Database'!M:M,"")</f>
        <v>Bottom of Funnel</v>
      </c>
    </row>
    <row r="539" ht="22.5" customHeight="1">
      <c r="A539" s="113">
        <f t="shared" si="12"/>
        <v>538</v>
      </c>
      <c r="B539" s="98" t="str">
        <f t="array" ref="B539">_xlfn.XLOOKUP(A539,'Video Database'!L:L,'Video Database'!D:D,"")</f>
        <v>Erin</v>
      </c>
      <c r="C539" s="98" t="str">
        <f t="array" ref="C539">_xlfn.XLOOKUP(A539,'Video Database'!L:L,'Video Database'!E:E,"")</f>
        <v>Account 3</v>
      </c>
      <c r="D539" s="99" t="str">
        <f t="array" ref="D539">_xlfn.XLOOKUP(A539,'Video Database'!L:L,'Video Database'!G:G,"")</f>
        <v>SNOW Diamond Tetth Whitening Strips</v>
      </c>
      <c r="E539" s="100">
        <f t="array" ref="E539">_xlfn.XLOOKUP(A539,'Video Database'!L:L,'Video Database'!H:H,"")</f>
        <v>0.7337</v>
      </c>
      <c r="F539" s="101">
        <v>0.0</v>
      </c>
      <c r="G539" s="87">
        <v>0.0</v>
      </c>
      <c r="H539" s="114">
        <f t="array" ref="H539">_xlfn.XLOOKUP(A539,'Video Database'!L:L,'Video Database'!A:A,"")</f>
        <v>46192</v>
      </c>
      <c r="I539" s="103">
        <v>46201.0</v>
      </c>
      <c r="J539" s="104">
        <v>0.0</v>
      </c>
      <c r="K539" s="105"/>
      <c r="L539" s="105" t="str">
        <f t="shared" si="1"/>
        <v/>
      </c>
      <c r="O539" s="106" t="str">
        <f t="shared" si="2"/>
        <v>#N/A</v>
      </c>
      <c r="P539" s="106" t="str">
        <f t="shared" si="3"/>
        <v>#N/A</v>
      </c>
      <c r="Q539" s="84" t="str">
        <f t="shared" si="4"/>
        <v>#N/A</v>
      </c>
      <c r="R539" s="84" t="str">
        <f t="shared" si="5"/>
        <v>#N/A</v>
      </c>
      <c r="S539" s="107">
        <f t="shared" si="6"/>
        <v>-0.7337</v>
      </c>
      <c r="T539" s="108">
        <f t="shared" si="7"/>
        <v>-1</v>
      </c>
      <c r="U539" s="106" t="str">
        <f t="shared" si="8"/>
        <v>#N/A</v>
      </c>
      <c r="V539" s="84" t="str">
        <f t="shared" si="9"/>
        <v/>
      </c>
      <c r="W539" s="109" t="str">
        <f t="shared" si="10"/>
        <v/>
      </c>
      <c r="X539" s="109" t="str">
        <f t="shared" si="11"/>
        <v/>
      </c>
      <c r="Y539" s="110" t="str">
        <f t="array" ref="Y539">_xlfn.XLOOKUP(A539,'Video Database'!L:L,'Video Database'!M:M,"")</f>
        <v>Bottom of Funnel</v>
      </c>
    </row>
    <row r="540" ht="22.5" customHeight="1">
      <c r="A540" s="113">
        <f t="shared" si="12"/>
        <v>539</v>
      </c>
      <c r="B540" s="98" t="str">
        <f t="array" ref="B540">_xlfn.XLOOKUP(A540,'Video Database'!L:L,'Video Database'!D:D,"")</f>
        <v>Erin</v>
      </c>
      <c r="C540" s="98" t="str">
        <f t="array" ref="C540">_xlfn.XLOOKUP(A540,'Video Database'!L:L,'Video Database'!E:E,"")</f>
        <v>Account 3</v>
      </c>
      <c r="D540" s="99" t="str">
        <f t="array" ref="D540">_xlfn.XLOOKUP(A540,'Video Database'!L:L,'Video Database'!G:G,"")</f>
        <v>SNOW Diamond Tetth Whitening Strips</v>
      </c>
      <c r="E540" s="100">
        <f t="array" ref="E540">_xlfn.XLOOKUP(A540,'Video Database'!L:L,'Video Database'!H:H,"")</f>
        <v>0.7337</v>
      </c>
      <c r="F540" s="101">
        <v>0.0</v>
      </c>
      <c r="G540" s="87">
        <v>0.0</v>
      </c>
      <c r="H540" s="114">
        <f t="array" ref="H540">_xlfn.XLOOKUP(A540,'Video Database'!L:L,'Video Database'!A:A,"")</f>
        <v>46192</v>
      </c>
      <c r="I540" s="103">
        <v>46201.0</v>
      </c>
      <c r="J540" s="104">
        <v>0.0</v>
      </c>
      <c r="K540" s="105"/>
      <c r="L540" s="105" t="str">
        <f t="shared" si="1"/>
        <v/>
      </c>
      <c r="O540" s="106" t="str">
        <f t="shared" si="2"/>
        <v>#N/A</v>
      </c>
      <c r="P540" s="106" t="str">
        <f t="shared" si="3"/>
        <v>#N/A</v>
      </c>
      <c r="Q540" s="84" t="str">
        <f t="shared" si="4"/>
        <v>#N/A</v>
      </c>
      <c r="R540" s="84" t="str">
        <f t="shared" si="5"/>
        <v>#N/A</v>
      </c>
      <c r="S540" s="107">
        <f t="shared" si="6"/>
        <v>-0.7337</v>
      </c>
      <c r="T540" s="108">
        <f t="shared" si="7"/>
        <v>-1</v>
      </c>
      <c r="U540" s="106" t="str">
        <f t="shared" si="8"/>
        <v>#N/A</v>
      </c>
      <c r="V540" s="84" t="str">
        <f t="shared" si="9"/>
        <v/>
      </c>
      <c r="W540" s="109" t="str">
        <f t="shared" si="10"/>
        <v/>
      </c>
      <c r="X540" s="109" t="str">
        <f t="shared" si="11"/>
        <v/>
      </c>
      <c r="Y540" s="110" t="str">
        <f t="array" ref="Y540">_xlfn.XLOOKUP(A540,'Video Database'!L:L,'Video Database'!M:M,"")</f>
        <v>Bottom of Funnel</v>
      </c>
    </row>
    <row r="541" ht="22.5" customHeight="1">
      <c r="A541" s="113">
        <f t="shared" si="12"/>
        <v>540</v>
      </c>
      <c r="B541" s="98" t="str">
        <f t="array" ref="B541">_xlfn.XLOOKUP(A541,'Video Database'!L:L,'Video Database'!D:D,"")</f>
        <v>Erin</v>
      </c>
      <c r="C541" s="98" t="str">
        <f t="array" ref="C541">_xlfn.XLOOKUP(A541,'Video Database'!L:L,'Video Database'!E:E,"")</f>
        <v>Account 3</v>
      </c>
      <c r="D541" s="99" t="str">
        <f t="array" ref="D541">_xlfn.XLOOKUP(A541,'Video Database'!L:L,'Video Database'!G:G,"")</f>
        <v>LullaBites Natural Sleep Gummies</v>
      </c>
      <c r="E541" s="100">
        <f t="array" ref="E541">_xlfn.XLOOKUP(A541,'Video Database'!L:L,'Video Database'!H:H,"")</f>
        <v>0.7337</v>
      </c>
      <c r="F541" s="101">
        <v>0.0</v>
      </c>
      <c r="G541" s="87">
        <v>0.0</v>
      </c>
      <c r="H541" s="114">
        <f t="array" ref="H541">_xlfn.XLOOKUP(A541,'Video Database'!L:L,'Video Database'!A:A,"")</f>
        <v>46192</v>
      </c>
      <c r="I541" s="103">
        <v>46201.0</v>
      </c>
      <c r="J541" s="104">
        <v>0.0</v>
      </c>
      <c r="K541" s="105"/>
      <c r="L541" s="105" t="str">
        <f t="shared" si="1"/>
        <v/>
      </c>
      <c r="O541" s="106" t="str">
        <f t="shared" si="2"/>
        <v>#N/A</v>
      </c>
      <c r="P541" s="106" t="str">
        <f t="shared" si="3"/>
        <v>#N/A</v>
      </c>
      <c r="Q541" s="84" t="str">
        <f t="shared" si="4"/>
        <v>#N/A</v>
      </c>
      <c r="R541" s="84" t="str">
        <f t="shared" si="5"/>
        <v>#N/A</v>
      </c>
      <c r="S541" s="107">
        <f t="shared" si="6"/>
        <v>-0.7337</v>
      </c>
      <c r="T541" s="108">
        <f t="shared" si="7"/>
        <v>-1</v>
      </c>
      <c r="U541" s="106" t="str">
        <f t="shared" si="8"/>
        <v>#N/A</v>
      </c>
      <c r="V541" s="84" t="str">
        <f t="shared" si="9"/>
        <v/>
      </c>
      <c r="W541" s="109" t="str">
        <f t="shared" si="10"/>
        <v/>
      </c>
      <c r="X541" s="109" t="str">
        <f t="shared" si="11"/>
        <v/>
      </c>
      <c r="Y541" s="110" t="str">
        <f t="array" ref="Y541">_xlfn.XLOOKUP(A541,'Video Database'!L:L,'Video Database'!M:M,"")</f>
        <v>Bottom of Funnel</v>
      </c>
    </row>
    <row r="542" ht="22.5" customHeight="1">
      <c r="A542" s="113">
        <f t="shared" si="12"/>
        <v>541</v>
      </c>
      <c r="B542" s="98" t="str">
        <f t="array" ref="B542">_xlfn.XLOOKUP(A542,'Video Database'!L:L,'Video Database'!D:D,"")</f>
        <v>Erin</v>
      </c>
      <c r="C542" s="98" t="str">
        <f t="array" ref="C542">_xlfn.XLOOKUP(A542,'Video Database'!L:L,'Video Database'!E:E,"")</f>
        <v>Account 3</v>
      </c>
      <c r="D542" s="99" t="str">
        <f t="array" ref="D542">_xlfn.XLOOKUP(A542,'Video Database'!L:L,'Video Database'!G:G,"")</f>
        <v>LullaBites Natural Sleep Gummies</v>
      </c>
      <c r="E542" s="100">
        <f t="array" ref="E542">_xlfn.XLOOKUP(A542,'Video Database'!L:L,'Video Database'!H:H,"")</f>
        <v>0.7337</v>
      </c>
      <c r="F542" s="101">
        <v>0.0</v>
      </c>
      <c r="G542" s="87">
        <v>0.0</v>
      </c>
      <c r="H542" s="114">
        <f t="array" ref="H542">_xlfn.XLOOKUP(A542,'Video Database'!L:L,'Video Database'!A:A,"")</f>
        <v>46192</v>
      </c>
      <c r="I542" s="103">
        <v>46201.0</v>
      </c>
      <c r="J542" s="104">
        <v>0.0</v>
      </c>
      <c r="K542" s="105"/>
      <c r="L542" s="105" t="str">
        <f t="shared" si="1"/>
        <v/>
      </c>
      <c r="O542" s="106" t="str">
        <f t="shared" si="2"/>
        <v>#N/A</v>
      </c>
      <c r="P542" s="106" t="str">
        <f t="shared" si="3"/>
        <v>#N/A</v>
      </c>
      <c r="Q542" s="84" t="str">
        <f t="shared" si="4"/>
        <v>#N/A</v>
      </c>
      <c r="R542" s="84" t="str">
        <f t="shared" si="5"/>
        <v>#N/A</v>
      </c>
      <c r="S542" s="107">
        <f t="shared" si="6"/>
        <v>-0.7337</v>
      </c>
      <c r="T542" s="108">
        <f t="shared" si="7"/>
        <v>-1</v>
      </c>
      <c r="U542" s="106" t="str">
        <f t="shared" si="8"/>
        <v>#N/A</v>
      </c>
      <c r="V542" s="84" t="str">
        <f t="shared" si="9"/>
        <v/>
      </c>
      <c r="W542" s="109" t="str">
        <f t="shared" si="10"/>
        <v/>
      </c>
      <c r="X542" s="109" t="str">
        <f t="shared" si="11"/>
        <v/>
      </c>
      <c r="Y542" s="110" t="str">
        <f t="array" ref="Y542">_xlfn.XLOOKUP(A542,'Video Database'!L:L,'Video Database'!M:M,"")</f>
        <v>Bottom of Funnel</v>
      </c>
    </row>
    <row r="543" ht="22.5" customHeight="1">
      <c r="A543" s="113">
        <f t="shared" si="12"/>
        <v>542</v>
      </c>
      <c r="B543" s="98" t="str">
        <f t="array" ref="B543">_xlfn.XLOOKUP(A543,'Video Database'!L:L,'Video Database'!D:D,"")</f>
        <v>Erin</v>
      </c>
      <c r="C543" s="98" t="str">
        <f t="array" ref="C543">_xlfn.XLOOKUP(A543,'Video Database'!L:L,'Video Database'!E:E,"")</f>
        <v>Account 3</v>
      </c>
      <c r="D543" s="99" t="str">
        <f t="array" ref="D543">_xlfn.XLOOKUP(A543,'Video Database'!L:L,'Video Database'!G:G,"")</f>
        <v>SNOW Diamond Tetth Whitening Strips</v>
      </c>
      <c r="E543" s="100">
        <f t="array" ref="E543">_xlfn.XLOOKUP(A543,'Video Database'!L:L,'Video Database'!H:H,"")</f>
        <v>0.7337</v>
      </c>
      <c r="F543" s="101">
        <v>0.0</v>
      </c>
      <c r="G543" s="87">
        <v>0.0</v>
      </c>
      <c r="H543" s="114">
        <f t="array" ref="H543">_xlfn.XLOOKUP(A543,'Video Database'!L:L,'Video Database'!A:A,"")</f>
        <v>46192</v>
      </c>
      <c r="I543" s="103">
        <v>46201.0</v>
      </c>
      <c r="J543" s="104">
        <v>0.0</v>
      </c>
      <c r="K543" s="105"/>
      <c r="L543" s="105" t="str">
        <f t="shared" si="1"/>
        <v/>
      </c>
      <c r="O543" s="106" t="str">
        <f t="shared" si="2"/>
        <v>#N/A</v>
      </c>
      <c r="P543" s="106" t="str">
        <f t="shared" si="3"/>
        <v>#N/A</v>
      </c>
      <c r="Q543" s="84" t="str">
        <f t="shared" si="4"/>
        <v>#N/A</v>
      </c>
      <c r="R543" s="84" t="str">
        <f t="shared" si="5"/>
        <v>#N/A</v>
      </c>
      <c r="S543" s="107">
        <f t="shared" si="6"/>
        <v>-0.7337</v>
      </c>
      <c r="T543" s="108">
        <f t="shared" si="7"/>
        <v>-1</v>
      </c>
      <c r="U543" s="106" t="str">
        <f t="shared" si="8"/>
        <v>#N/A</v>
      </c>
      <c r="V543" s="84" t="str">
        <f t="shared" si="9"/>
        <v/>
      </c>
      <c r="W543" s="109" t="str">
        <f t="shared" si="10"/>
        <v/>
      </c>
      <c r="X543" s="109" t="str">
        <f t="shared" si="11"/>
        <v/>
      </c>
      <c r="Y543" s="110" t="str">
        <f t="array" ref="Y543">_xlfn.XLOOKUP(A543,'Video Database'!L:L,'Video Database'!M:M,"")</f>
        <v>Bottom of Funnel</v>
      </c>
    </row>
    <row r="544" ht="22.5" customHeight="1">
      <c r="A544" s="113">
        <f t="shared" si="12"/>
        <v>543</v>
      </c>
      <c r="B544" s="98" t="str">
        <f t="array" ref="B544">_xlfn.XLOOKUP(A544,'Video Database'!L:L,'Video Database'!D:D,"")</f>
        <v>Erin</v>
      </c>
      <c r="C544" s="98" t="str">
        <f t="array" ref="C544">_xlfn.XLOOKUP(A544,'Video Database'!L:L,'Video Database'!E:E,"")</f>
        <v>Account 3</v>
      </c>
      <c r="D544" s="99" t="str">
        <f t="array" ref="D544">_xlfn.XLOOKUP(A544,'Video Database'!L:L,'Video Database'!G:G,"")</f>
        <v>LullaBites Natural Sleep Gummies</v>
      </c>
      <c r="E544" s="100">
        <f t="array" ref="E544">_xlfn.XLOOKUP(A544,'Video Database'!L:L,'Video Database'!H:H,"")</f>
        <v>0.7337</v>
      </c>
      <c r="F544" s="101">
        <v>0.0</v>
      </c>
      <c r="G544" s="87">
        <v>0.0</v>
      </c>
      <c r="H544" s="114">
        <f t="array" ref="H544">_xlfn.XLOOKUP(A544,'Video Database'!L:L,'Video Database'!A:A,"")</f>
        <v>46192</v>
      </c>
      <c r="I544" s="103">
        <v>46201.0</v>
      </c>
      <c r="J544" s="104">
        <v>0.0</v>
      </c>
      <c r="K544" s="105"/>
      <c r="L544" s="105" t="str">
        <f t="shared" si="1"/>
        <v/>
      </c>
      <c r="O544" s="106" t="str">
        <f t="shared" si="2"/>
        <v>#N/A</v>
      </c>
      <c r="P544" s="106" t="str">
        <f t="shared" si="3"/>
        <v>#N/A</v>
      </c>
      <c r="Q544" s="84" t="str">
        <f t="shared" si="4"/>
        <v>#N/A</v>
      </c>
      <c r="R544" s="84" t="str">
        <f t="shared" si="5"/>
        <v>#N/A</v>
      </c>
      <c r="S544" s="107">
        <f t="shared" si="6"/>
        <v>-0.7337</v>
      </c>
      <c r="T544" s="108">
        <f t="shared" si="7"/>
        <v>-1</v>
      </c>
      <c r="U544" s="106" t="str">
        <f t="shared" si="8"/>
        <v>#N/A</v>
      </c>
      <c r="V544" s="84" t="str">
        <f t="shared" si="9"/>
        <v/>
      </c>
      <c r="W544" s="109" t="str">
        <f t="shared" si="10"/>
        <v/>
      </c>
      <c r="X544" s="109" t="str">
        <f t="shared" si="11"/>
        <v/>
      </c>
      <c r="Y544" s="110" t="str">
        <f t="array" ref="Y544">_xlfn.XLOOKUP(A544,'Video Database'!L:L,'Video Database'!M:M,"")</f>
        <v>Bottom of Funnel</v>
      </c>
    </row>
    <row r="545" ht="22.5" customHeight="1">
      <c r="A545" s="113">
        <f t="shared" si="12"/>
        <v>544</v>
      </c>
      <c r="B545" s="98" t="str">
        <f t="array" ref="B545">_xlfn.XLOOKUP(A545,'Video Database'!L:L,'Video Database'!D:D,"")</f>
        <v>Erin</v>
      </c>
      <c r="C545" s="98" t="str">
        <f t="array" ref="C545">_xlfn.XLOOKUP(A545,'Video Database'!L:L,'Video Database'!E:E,"")</f>
        <v>Account 3</v>
      </c>
      <c r="D545" s="99" t="str">
        <f t="array" ref="D545">_xlfn.XLOOKUP(A545,'Video Database'!L:L,'Video Database'!G:G,"")</f>
        <v>LullaBites Natural Sleep Gummies</v>
      </c>
      <c r="E545" s="100">
        <f t="array" ref="E545">_xlfn.XLOOKUP(A545,'Video Database'!L:L,'Video Database'!H:H,"")</f>
        <v>0.7337</v>
      </c>
      <c r="F545" s="101">
        <v>0.0</v>
      </c>
      <c r="G545" s="87">
        <v>0.0</v>
      </c>
      <c r="H545" s="114">
        <f t="array" ref="H545">_xlfn.XLOOKUP(A545,'Video Database'!L:L,'Video Database'!A:A,"")</f>
        <v>46192</v>
      </c>
      <c r="I545" s="103">
        <v>46201.0</v>
      </c>
      <c r="J545" s="104">
        <v>0.0</v>
      </c>
      <c r="K545" s="105"/>
      <c r="L545" s="105" t="str">
        <f t="shared" si="1"/>
        <v/>
      </c>
      <c r="O545" s="106" t="str">
        <f t="shared" si="2"/>
        <v>#N/A</v>
      </c>
      <c r="P545" s="106" t="str">
        <f t="shared" si="3"/>
        <v>#N/A</v>
      </c>
      <c r="Q545" s="84" t="str">
        <f t="shared" si="4"/>
        <v>#N/A</v>
      </c>
      <c r="R545" s="84" t="str">
        <f t="shared" si="5"/>
        <v>#N/A</v>
      </c>
      <c r="S545" s="107">
        <f t="shared" si="6"/>
        <v>-0.7337</v>
      </c>
      <c r="T545" s="108">
        <f t="shared" si="7"/>
        <v>-1</v>
      </c>
      <c r="U545" s="106" t="str">
        <f t="shared" si="8"/>
        <v>#N/A</v>
      </c>
      <c r="V545" s="84" t="str">
        <f t="shared" si="9"/>
        <v/>
      </c>
      <c r="W545" s="109" t="str">
        <f t="shared" si="10"/>
        <v/>
      </c>
      <c r="X545" s="109" t="str">
        <f t="shared" si="11"/>
        <v/>
      </c>
      <c r="Y545" s="110" t="str">
        <f t="array" ref="Y545">_xlfn.XLOOKUP(A545,'Video Database'!L:L,'Video Database'!M:M,"")</f>
        <v>Bottom of Funnel</v>
      </c>
    </row>
    <row r="546" ht="22.5" customHeight="1">
      <c r="A546" s="113">
        <f t="shared" si="12"/>
        <v>545</v>
      </c>
      <c r="B546" s="98" t="str">
        <f t="array" ref="B546">_xlfn.XLOOKUP(A546,'Video Database'!L:L,'Video Database'!D:D,"")</f>
        <v>Erin</v>
      </c>
      <c r="C546" s="98" t="str">
        <f t="array" ref="C546">_xlfn.XLOOKUP(A546,'Video Database'!L:L,'Video Database'!E:E,"")</f>
        <v>Account 3</v>
      </c>
      <c r="D546" s="99" t="str">
        <f t="array" ref="D546">_xlfn.XLOOKUP(A546,'Video Database'!L:L,'Video Database'!G:G,"")</f>
        <v>SNOW Diamond Tetth Whitening Strips</v>
      </c>
      <c r="E546" s="100">
        <f t="array" ref="E546">_xlfn.XLOOKUP(A546,'Video Database'!L:L,'Video Database'!H:H,"")</f>
        <v>0.7337</v>
      </c>
      <c r="F546" s="101">
        <v>0.0</v>
      </c>
      <c r="G546" s="87">
        <v>0.0</v>
      </c>
      <c r="H546" s="114">
        <f t="array" ref="H546">_xlfn.XLOOKUP(A546,'Video Database'!L:L,'Video Database'!A:A,"")</f>
        <v>46192</v>
      </c>
      <c r="I546" s="103">
        <v>46201.0</v>
      </c>
      <c r="J546" s="104">
        <v>0.0</v>
      </c>
      <c r="K546" s="105"/>
      <c r="L546" s="105" t="str">
        <f t="shared" si="1"/>
        <v/>
      </c>
      <c r="O546" s="106" t="str">
        <f t="shared" si="2"/>
        <v>#N/A</v>
      </c>
      <c r="P546" s="106" t="str">
        <f t="shared" si="3"/>
        <v>#N/A</v>
      </c>
      <c r="Q546" s="84" t="str">
        <f t="shared" si="4"/>
        <v>#N/A</v>
      </c>
      <c r="R546" s="84" t="str">
        <f t="shared" si="5"/>
        <v>#N/A</v>
      </c>
      <c r="S546" s="107">
        <f t="shared" si="6"/>
        <v>-0.7337</v>
      </c>
      <c r="T546" s="108">
        <f t="shared" si="7"/>
        <v>-1</v>
      </c>
      <c r="U546" s="106" t="str">
        <f t="shared" si="8"/>
        <v>#N/A</v>
      </c>
      <c r="V546" s="84" t="str">
        <f t="shared" si="9"/>
        <v/>
      </c>
      <c r="W546" s="109" t="str">
        <f t="shared" si="10"/>
        <v/>
      </c>
      <c r="X546" s="109" t="str">
        <f t="shared" si="11"/>
        <v/>
      </c>
      <c r="Y546" s="110" t="str">
        <f t="array" ref="Y546">_xlfn.XLOOKUP(A546,'Video Database'!L:L,'Video Database'!M:M,"")</f>
        <v>Bottom of Funnel</v>
      </c>
    </row>
    <row r="547" ht="22.5" customHeight="1">
      <c r="A547" s="113">
        <f t="shared" si="12"/>
        <v>546</v>
      </c>
      <c r="B547" s="98" t="str">
        <f t="array" ref="B547">_xlfn.XLOOKUP(A547,'Video Database'!L:L,'Video Database'!D:D,"")</f>
        <v>Erin</v>
      </c>
      <c r="C547" s="98" t="str">
        <f t="array" ref="C547">_xlfn.XLOOKUP(A547,'Video Database'!L:L,'Video Database'!E:E,"")</f>
        <v>Account 3</v>
      </c>
      <c r="D547" s="99" t="str">
        <f t="array" ref="D547">_xlfn.XLOOKUP(A547,'Video Database'!L:L,'Video Database'!G:G,"")</f>
        <v>LullaBites Natural Sleep Gummies</v>
      </c>
      <c r="E547" s="100">
        <f t="array" ref="E547">_xlfn.XLOOKUP(A547,'Video Database'!L:L,'Video Database'!H:H,"")</f>
        <v>0.7337</v>
      </c>
      <c r="F547" s="101">
        <v>0.0</v>
      </c>
      <c r="G547" s="87">
        <v>0.0</v>
      </c>
      <c r="H547" s="114">
        <f t="array" ref="H547">_xlfn.XLOOKUP(A547,'Video Database'!L:L,'Video Database'!A:A,"")</f>
        <v>46192</v>
      </c>
      <c r="I547" s="103">
        <v>46201.0</v>
      </c>
      <c r="J547" s="104">
        <v>0.0</v>
      </c>
      <c r="K547" s="105"/>
      <c r="L547" s="105" t="str">
        <f t="shared" si="1"/>
        <v/>
      </c>
      <c r="O547" s="106" t="str">
        <f t="shared" si="2"/>
        <v>#N/A</v>
      </c>
      <c r="P547" s="106" t="str">
        <f t="shared" si="3"/>
        <v>#N/A</v>
      </c>
      <c r="Q547" s="84" t="str">
        <f t="shared" si="4"/>
        <v>#N/A</v>
      </c>
      <c r="R547" s="84" t="str">
        <f t="shared" si="5"/>
        <v>#N/A</v>
      </c>
      <c r="S547" s="107">
        <f t="shared" si="6"/>
        <v>-0.7337</v>
      </c>
      <c r="T547" s="108">
        <f t="shared" si="7"/>
        <v>-1</v>
      </c>
      <c r="U547" s="106" t="str">
        <f t="shared" si="8"/>
        <v>#N/A</v>
      </c>
      <c r="V547" s="84" t="str">
        <f t="shared" si="9"/>
        <v/>
      </c>
      <c r="W547" s="109" t="str">
        <f t="shared" si="10"/>
        <v/>
      </c>
      <c r="X547" s="109" t="str">
        <f t="shared" si="11"/>
        <v/>
      </c>
      <c r="Y547" s="110" t="str">
        <f t="array" ref="Y547">_xlfn.XLOOKUP(A547,'Video Database'!L:L,'Video Database'!M:M,"")</f>
        <v>Bottom of Funnel</v>
      </c>
    </row>
    <row r="548" ht="22.5" customHeight="1">
      <c r="A548" s="113">
        <f t="shared" si="12"/>
        <v>547</v>
      </c>
      <c r="B548" s="98" t="str">
        <f t="array" ref="B548">_xlfn.XLOOKUP(A548,'Video Database'!L:L,'Video Database'!D:D,"")</f>
        <v>Blakely</v>
      </c>
      <c r="C548" s="98" t="str">
        <f t="array" ref="C548">_xlfn.XLOOKUP(A548,'Video Database'!L:L,'Video Database'!E:E,"")</f>
        <v>Account 4</v>
      </c>
      <c r="D548" s="99" t="str">
        <f t="array" ref="D548">_xlfn.XLOOKUP(A548,'Video Database'!L:L,'Video Database'!G:G,"")</f>
        <v>Goli Women's Complete Multi Gummy</v>
      </c>
      <c r="E548" s="100">
        <f t="array" ref="E548">_xlfn.XLOOKUP(A548,'Video Database'!L:L,'Video Database'!H:H,"")</f>
        <v>0.11</v>
      </c>
      <c r="F548" s="101">
        <v>0.0</v>
      </c>
      <c r="G548" s="87">
        <v>0.0</v>
      </c>
      <c r="H548" s="114">
        <f t="array" ref="H548">_xlfn.XLOOKUP(A548,'Video Database'!L:L,'Video Database'!A:A,"")</f>
        <v>46192</v>
      </c>
      <c r="I548" s="103">
        <v>46201.0</v>
      </c>
      <c r="J548" s="104">
        <v>0.0</v>
      </c>
      <c r="K548" s="105"/>
      <c r="L548" s="105" t="str">
        <f t="shared" si="1"/>
        <v/>
      </c>
      <c r="O548" s="106" t="str">
        <f t="shared" si="2"/>
        <v>#N/A</v>
      </c>
      <c r="P548" s="106" t="str">
        <f t="shared" si="3"/>
        <v>#N/A</v>
      </c>
      <c r="Q548" s="84" t="str">
        <f t="shared" si="4"/>
        <v>#N/A</v>
      </c>
      <c r="R548" s="84" t="str">
        <f t="shared" si="5"/>
        <v>#N/A</v>
      </c>
      <c r="S548" s="107">
        <f t="shared" si="6"/>
        <v>-0.11</v>
      </c>
      <c r="T548" s="108">
        <f t="shared" si="7"/>
        <v>-1</v>
      </c>
      <c r="U548" s="106" t="str">
        <f t="shared" si="8"/>
        <v>#N/A</v>
      </c>
      <c r="V548" s="84" t="str">
        <f t="shared" si="9"/>
        <v/>
      </c>
      <c r="W548" s="109" t="str">
        <f t="shared" si="10"/>
        <v/>
      </c>
      <c r="X548" s="109" t="str">
        <f t="shared" si="11"/>
        <v/>
      </c>
      <c r="Y548" s="110" t="str">
        <f t="array" ref="Y548">_xlfn.XLOOKUP(A548,'Video Database'!L:L,'Video Database'!M:M,"")</f>
        <v>Product Overlay</v>
      </c>
    </row>
    <row r="549" ht="22.5" customHeight="1">
      <c r="A549" s="113">
        <f t="shared" si="12"/>
        <v>548</v>
      </c>
      <c r="B549" s="98" t="str">
        <f t="array" ref="B549">_xlfn.XLOOKUP(A549,'Video Database'!L:L,'Video Database'!D:D,"")</f>
        <v>Erin</v>
      </c>
      <c r="C549" s="98" t="str">
        <f t="array" ref="C549">_xlfn.XLOOKUP(A549,'Video Database'!L:L,'Video Database'!E:E,"")</f>
        <v>Account 4</v>
      </c>
      <c r="D549" s="99" t="str">
        <f t="array" ref="D549">_xlfn.XLOOKUP(A549,'Video Database'!L:L,'Video Database'!G:G,"")</f>
        <v>SNOW Diamond Tetth Whitening Strips</v>
      </c>
      <c r="E549" s="100">
        <f t="array" ref="E549">_xlfn.XLOOKUP(A549,'Video Database'!L:L,'Video Database'!H:H,"")</f>
        <v>0.7337</v>
      </c>
      <c r="F549" s="101">
        <v>0.0</v>
      </c>
      <c r="G549" s="87">
        <v>0.0</v>
      </c>
      <c r="H549" s="114">
        <f t="array" ref="H549">_xlfn.XLOOKUP(A549,'Video Database'!L:L,'Video Database'!A:A,"")</f>
        <v>46192</v>
      </c>
      <c r="I549" s="103">
        <v>46201.0</v>
      </c>
      <c r="J549" s="104">
        <v>0.0</v>
      </c>
      <c r="K549" s="105"/>
      <c r="L549" s="105" t="str">
        <f t="shared" si="1"/>
        <v/>
      </c>
      <c r="O549" s="106" t="str">
        <f t="shared" si="2"/>
        <v>#N/A</v>
      </c>
      <c r="P549" s="106" t="str">
        <f t="shared" si="3"/>
        <v>#N/A</v>
      </c>
      <c r="Q549" s="84" t="str">
        <f t="shared" si="4"/>
        <v>#N/A</v>
      </c>
      <c r="R549" s="84" t="str">
        <f t="shared" si="5"/>
        <v>#N/A</v>
      </c>
      <c r="S549" s="107">
        <f t="shared" si="6"/>
        <v>-0.7337</v>
      </c>
      <c r="T549" s="108">
        <f t="shared" si="7"/>
        <v>-1</v>
      </c>
      <c r="U549" s="106" t="str">
        <f t="shared" si="8"/>
        <v>#N/A</v>
      </c>
      <c r="V549" s="84" t="str">
        <f t="shared" si="9"/>
        <v/>
      </c>
      <c r="W549" s="109" t="str">
        <f t="shared" si="10"/>
        <v/>
      </c>
      <c r="X549" s="109" t="str">
        <f t="shared" si="11"/>
        <v/>
      </c>
      <c r="Y549" s="110" t="str">
        <f t="array" ref="Y549">_xlfn.XLOOKUP(A549,'Video Database'!L:L,'Video Database'!M:M,"")</f>
        <v>Bottom of Funnel</v>
      </c>
    </row>
    <row r="550" ht="22.5" customHeight="1">
      <c r="A550" s="113">
        <f t="shared" si="12"/>
        <v>549</v>
      </c>
      <c r="B550" s="98" t="str">
        <f t="array" ref="B550">_xlfn.XLOOKUP(A550,'Video Database'!L:L,'Video Database'!D:D,"")</f>
        <v>Erin</v>
      </c>
      <c r="C550" s="98" t="str">
        <f t="array" ref="C550">_xlfn.XLOOKUP(A550,'Video Database'!L:L,'Video Database'!E:E,"")</f>
        <v>Account 4</v>
      </c>
      <c r="D550" s="99" t="str">
        <f t="array" ref="D550">_xlfn.XLOOKUP(A550,'Video Database'!L:L,'Video Database'!G:G,"")</f>
        <v>SNOW Diamond Tetth Whitening Strips</v>
      </c>
      <c r="E550" s="100">
        <f t="array" ref="E550">_xlfn.XLOOKUP(A550,'Video Database'!L:L,'Video Database'!H:H,"")</f>
        <v>0.7337</v>
      </c>
      <c r="F550" s="101">
        <v>0.0</v>
      </c>
      <c r="G550" s="87">
        <v>0.0</v>
      </c>
      <c r="H550" s="114">
        <f t="array" ref="H550">_xlfn.XLOOKUP(A550,'Video Database'!L:L,'Video Database'!A:A,"")</f>
        <v>46192</v>
      </c>
      <c r="I550" s="103">
        <v>46201.0</v>
      </c>
      <c r="J550" s="104">
        <v>0.0</v>
      </c>
      <c r="K550" s="105"/>
      <c r="L550" s="105" t="str">
        <f t="shared" si="1"/>
        <v/>
      </c>
      <c r="O550" s="106" t="str">
        <f t="shared" si="2"/>
        <v>#N/A</v>
      </c>
      <c r="P550" s="106" t="str">
        <f t="shared" si="3"/>
        <v>#N/A</v>
      </c>
      <c r="Q550" s="84" t="str">
        <f t="shared" si="4"/>
        <v>#N/A</v>
      </c>
      <c r="R550" s="84" t="str">
        <f t="shared" si="5"/>
        <v>#N/A</v>
      </c>
      <c r="S550" s="107">
        <f t="shared" si="6"/>
        <v>-0.7337</v>
      </c>
      <c r="T550" s="108">
        <f t="shared" si="7"/>
        <v>-1</v>
      </c>
      <c r="U550" s="106" t="str">
        <f t="shared" si="8"/>
        <v>#N/A</v>
      </c>
      <c r="V550" s="84" t="str">
        <f t="shared" si="9"/>
        <v/>
      </c>
      <c r="W550" s="109" t="str">
        <f t="shared" si="10"/>
        <v/>
      </c>
      <c r="X550" s="109" t="str">
        <f t="shared" si="11"/>
        <v/>
      </c>
      <c r="Y550" s="110" t="str">
        <f t="array" ref="Y550">_xlfn.XLOOKUP(A550,'Video Database'!L:L,'Video Database'!M:M,"")</f>
        <v>Bottom of Funnel</v>
      </c>
    </row>
    <row r="551" ht="22.5" customHeight="1">
      <c r="A551" s="113">
        <f t="shared" si="12"/>
        <v>550</v>
      </c>
      <c r="B551" s="98" t="str">
        <f t="array" ref="B551">_xlfn.XLOOKUP(A551,'Video Database'!L:L,'Video Database'!D:D,"")</f>
        <v>Erin</v>
      </c>
      <c r="C551" s="98" t="str">
        <f t="array" ref="C551">_xlfn.XLOOKUP(A551,'Video Database'!L:L,'Video Database'!E:E,"")</f>
        <v>Account 4</v>
      </c>
      <c r="D551" s="99" t="str">
        <f t="array" ref="D551">_xlfn.XLOOKUP(A551,'Video Database'!L:L,'Video Database'!G:G,"")</f>
        <v>SNOW Diamond Tetth Whitening Strips</v>
      </c>
      <c r="E551" s="100">
        <f t="array" ref="E551">_xlfn.XLOOKUP(A551,'Video Database'!L:L,'Video Database'!H:H,"")</f>
        <v>0.7337</v>
      </c>
      <c r="F551" s="101">
        <v>0.0</v>
      </c>
      <c r="G551" s="87">
        <v>0.0</v>
      </c>
      <c r="H551" s="114">
        <f t="array" ref="H551">_xlfn.XLOOKUP(A551,'Video Database'!L:L,'Video Database'!A:A,"")</f>
        <v>46192</v>
      </c>
      <c r="I551" s="103">
        <v>46201.0</v>
      </c>
      <c r="J551" s="104">
        <v>0.0</v>
      </c>
      <c r="K551" s="105"/>
      <c r="L551" s="105" t="str">
        <f t="shared" si="1"/>
        <v/>
      </c>
      <c r="O551" s="106" t="str">
        <f t="shared" si="2"/>
        <v>#N/A</v>
      </c>
      <c r="P551" s="106" t="str">
        <f t="shared" si="3"/>
        <v>#N/A</v>
      </c>
      <c r="Q551" s="84" t="str">
        <f t="shared" si="4"/>
        <v>#N/A</v>
      </c>
      <c r="R551" s="84" t="str">
        <f t="shared" si="5"/>
        <v>#N/A</v>
      </c>
      <c r="S551" s="107">
        <f t="shared" si="6"/>
        <v>-0.7337</v>
      </c>
      <c r="T551" s="108">
        <f t="shared" si="7"/>
        <v>-1</v>
      </c>
      <c r="U551" s="106" t="str">
        <f t="shared" si="8"/>
        <v>#N/A</v>
      </c>
      <c r="V551" s="84" t="str">
        <f t="shared" si="9"/>
        <v/>
      </c>
      <c r="W551" s="109" t="str">
        <f t="shared" si="10"/>
        <v/>
      </c>
      <c r="X551" s="109" t="str">
        <f t="shared" si="11"/>
        <v/>
      </c>
      <c r="Y551" s="110" t="str">
        <f t="array" ref="Y551">_xlfn.XLOOKUP(A551,'Video Database'!L:L,'Video Database'!M:M,"")</f>
        <v>Bottom of Funnel</v>
      </c>
    </row>
    <row r="552" ht="22.5" customHeight="1">
      <c r="A552" s="113">
        <f t="shared" si="12"/>
        <v>551</v>
      </c>
      <c r="B552" s="98" t="str">
        <f t="array" ref="B552">_xlfn.XLOOKUP(A552,'Video Database'!L:L,'Video Database'!D:D,"")</f>
        <v>Erin</v>
      </c>
      <c r="C552" s="98" t="str">
        <f t="array" ref="C552">_xlfn.XLOOKUP(A552,'Video Database'!L:L,'Video Database'!E:E,"")</f>
        <v>Account 4</v>
      </c>
      <c r="D552" s="99" t="str">
        <f t="array" ref="D552">_xlfn.XLOOKUP(A552,'Video Database'!L:L,'Video Database'!G:G,"")</f>
        <v>LullaBites Natural Sleep Gummies</v>
      </c>
      <c r="E552" s="100">
        <f t="array" ref="E552">_xlfn.XLOOKUP(A552,'Video Database'!L:L,'Video Database'!H:H,"")</f>
        <v>0.7337</v>
      </c>
      <c r="F552" s="101">
        <v>0.0</v>
      </c>
      <c r="G552" s="87">
        <v>0.0</v>
      </c>
      <c r="H552" s="114">
        <f t="array" ref="H552">_xlfn.XLOOKUP(A552,'Video Database'!L:L,'Video Database'!A:A,"")</f>
        <v>46192</v>
      </c>
      <c r="I552" s="103">
        <v>46201.0</v>
      </c>
      <c r="J552" s="104">
        <v>0.0</v>
      </c>
      <c r="K552" s="105"/>
      <c r="L552" s="105" t="str">
        <f t="shared" si="1"/>
        <v/>
      </c>
      <c r="O552" s="106" t="str">
        <f t="shared" si="2"/>
        <v>#N/A</v>
      </c>
      <c r="P552" s="106" t="str">
        <f t="shared" si="3"/>
        <v>#N/A</v>
      </c>
      <c r="Q552" s="84" t="str">
        <f t="shared" si="4"/>
        <v>#N/A</v>
      </c>
      <c r="R552" s="84" t="str">
        <f t="shared" si="5"/>
        <v>#N/A</v>
      </c>
      <c r="S552" s="107">
        <f t="shared" si="6"/>
        <v>-0.7337</v>
      </c>
      <c r="T552" s="108">
        <f t="shared" si="7"/>
        <v>-1</v>
      </c>
      <c r="U552" s="106" t="str">
        <f t="shared" si="8"/>
        <v>#N/A</v>
      </c>
      <c r="V552" s="84" t="str">
        <f t="shared" si="9"/>
        <v/>
      </c>
      <c r="W552" s="109" t="str">
        <f t="shared" si="10"/>
        <v/>
      </c>
      <c r="X552" s="109" t="str">
        <f t="shared" si="11"/>
        <v/>
      </c>
      <c r="Y552" s="110" t="str">
        <f t="array" ref="Y552">_xlfn.XLOOKUP(A552,'Video Database'!L:L,'Video Database'!M:M,"")</f>
        <v>Bottom of Funnel</v>
      </c>
    </row>
    <row r="553" ht="22.5" customHeight="1">
      <c r="A553" s="113">
        <f t="shared" si="12"/>
        <v>552</v>
      </c>
      <c r="B553" s="98" t="str">
        <f t="array" ref="B553">_xlfn.XLOOKUP(A553,'Video Database'!L:L,'Video Database'!D:D,"")</f>
        <v>Erin</v>
      </c>
      <c r="C553" s="98" t="str">
        <f t="array" ref="C553">_xlfn.XLOOKUP(A553,'Video Database'!L:L,'Video Database'!E:E,"")</f>
        <v>Account 4</v>
      </c>
      <c r="D553" s="99" t="str">
        <f t="array" ref="D553">_xlfn.XLOOKUP(A553,'Video Database'!L:L,'Video Database'!G:G,"")</f>
        <v>LullaBites Natural Sleep Gummies</v>
      </c>
      <c r="E553" s="100">
        <f t="array" ref="E553">_xlfn.XLOOKUP(A553,'Video Database'!L:L,'Video Database'!H:H,"")</f>
        <v>0.7337</v>
      </c>
      <c r="F553" s="101">
        <v>22.74</v>
      </c>
      <c r="G553" s="87">
        <v>1.0</v>
      </c>
      <c r="H553" s="114">
        <f t="array" ref="H553">_xlfn.XLOOKUP(A553,'Video Database'!L:L,'Video Database'!A:A,"")</f>
        <v>46192</v>
      </c>
      <c r="I553" s="103">
        <v>46201.0</v>
      </c>
      <c r="J553" s="104">
        <v>2.84</v>
      </c>
      <c r="K553" s="87">
        <v>2.0</v>
      </c>
      <c r="L553" s="105">
        <f t="shared" si="1"/>
        <v>431</v>
      </c>
      <c r="M553" s="87">
        <v>431.0</v>
      </c>
      <c r="O553" s="106">
        <f t="shared" si="2"/>
        <v>0.00464037123</v>
      </c>
      <c r="P553" s="106">
        <f t="shared" si="3"/>
        <v>0.5</v>
      </c>
      <c r="Q553" s="84">
        <f t="shared" si="4"/>
        <v>2.84</v>
      </c>
      <c r="R553" s="84">
        <f t="shared" si="5"/>
        <v>22.74</v>
      </c>
      <c r="S553" s="107">
        <f t="shared" si="6"/>
        <v>2.1063</v>
      </c>
      <c r="T553" s="108">
        <f t="shared" si="7"/>
        <v>2.870791877</v>
      </c>
      <c r="U553" s="106">
        <f t="shared" si="8"/>
        <v>0.7416549296</v>
      </c>
      <c r="V553" s="129">
        <f t="shared" si="9"/>
        <v>0.7337</v>
      </c>
      <c r="W553" s="109">
        <f t="shared" si="10"/>
        <v>0.36685</v>
      </c>
      <c r="X553" s="109">
        <f t="shared" si="11"/>
        <v>3.226473175</v>
      </c>
      <c r="Y553" s="110" t="str">
        <f t="array" ref="Y553">_xlfn.XLOOKUP(A553,'Video Database'!L:L,'Video Database'!M:M,"")</f>
        <v>Bottom of Funnel</v>
      </c>
    </row>
    <row r="554" ht="22.5" customHeight="1">
      <c r="A554" s="113">
        <f t="shared" si="12"/>
        <v>553</v>
      </c>
      <c r="B554" s="98" t="str">
        <f t="array" ref="B554">_xlfn.XLOOKUP(A554,'Video Database'!L:L,'Video Database'!D:D,"")</f>
        <v>Erin</v>
      </c>
      <c r="C554" s="98" t="str">
        <f t="array" ref="C554">_xlfn.XLOOKUP(A554,'Video Database'!L:L,'Video Database'!E:E,"")</f>
        <v>Account 4</v>
      </c>
      <c r="D554" s="99" t="str">
        <f t="array" ref="D554">_xlfn.XLOOKUP(A554,'Video Database'!L:L,'Video Database'!G:G,"")</f>
        <v>SNOW Diamond Tetth Whitening Strips</v>
      </c>
      <c r="E554" s="100">
        <f t="array" ref="E554">_xlfn.XLOOKUP(A554,'Video Database'!L:L,'Video Database'!H:H,"")</f>
        <v>0.7337</v>
      </c>
      <c r="F554" s="101">
        <v>0.0</v>
      </c>
      <c r="G554" s="87">
        <v>0.0</v>
      </c>
      <c r="H554" s="114">
        <f t="array" ref="H554">_xlfn.XLOOKUP(A554,'Video Database'!L:L,'Video Database'!A:A,"")</f>
        <v>46192</v>
      </c>
      <c r="I554" s="103">
        <v>46201.0</v>
      </c>
      <c r="J554" s="104">
        <v>0.0</v>
      </c>
      <c r="K554" s="105"/>
      <c r="L554" s="105" t="str">
        <f t="shared" si="1"/>
        <v/>
      </c>
      <c r="O554" s="106" t="str">
        <f t="shared" si="2"/>
        <v>#N/A</v>
      </c>
      <c r="P554" s="106" t="str">
        <f t="shared" si="3"/>
        <v>#N/A</v>
      </c>
      <c r="Q554" s="84" t="str">
        <f t="shared" si="4"/>
        <v>#N/A</v>
      </c>
      <c r="R554" s="84" t="str">
        <f t="shared" si="5"/>
        <v>#N/A</v>
      </c>
      <c r="S554" s="107">
        <f t="shared" si="6"/>
        <v>-0.7337</v>
      </c>
      <c r="T554" s="108">
        <f t="shared" si="7"/>
        <v>-1</v>
      </c>
      <c r="U554" s="106" t="str">
        <f t="shared" si="8"/>
        <v>#N/A</v>
      </c>
      <c r="V554" s="84" t="str">
        <f t="shared" si="9"/>
        <v/>
      </c>
      <c r="W554" s="109" t="str">
        <f t="shared" si="10"/>
        <v/>
      </c>
      <c r="X554" s="109" t="str">
        <f t="shared" si="11"/>
        <v/>
      </c>
      <c r="Y554" s="110" t="str">
        <f t="array" ref="Y554">_xlfn.XLOOKUP(A554,'Video Database'!L:L,'Video Database'!M:M,"")</f>
        <v>Bottom of Funnel</v>
      </c>
    </row>
    <row r="555" ht="22.5" customHeight="1">
      <c r="A555" s="113">
        <f t="shared" si="12"/>
        <v>554</v>
      </c>
      <c r="B555" s="98" t="str">
        <f t="array" ref="B555">_xlfn.XLOOKUP(A555,'Video Database'!L:L,'Video Database'!D:D,"")</f>
        <v>Erin</v>
      </c>
      <c r="C555" s="98" t="str">
        <f t="array" ref="C555">_xlfn.XLOOKUP(A555,'Video Database'!L:L,'Video Database'!E:E,"")</f>
        <v>Account 4</v>
      </c>
      <c r="D555" s="99" t="str">
        <f t="array" ref="D555">_xlfn.XLOOKUP(A555,'Video Database'!L:L,'Video Database'!G:G,"")</f>
        <v>LullaBites Natural Sleep Gummies</v>
      </c>
      <c r="E555" s="100">
        <f t="array" ref="E555">_xlfn.XLOOKUP(A555,'Video Database'!L:L,'Video Database'!H:H,"")</f>
        <v>0.7337</v>
      </c>
      <c r="F555" s="101">
        <v>0.0</v>
      </c>
      <c r="G555" s="87">
        <v>0.0</v>
      </c>
      <c r="H555" s="114">
        <f t="array" ref="H555">_xlfn.XLOOKUP(A555,'Video Database'!L:L,'Video Database'!A:A,"")</f>
        <v>46192</v>
      </c>
      <c r="I555" s="103">
        <v>46201.0</v>
      </c>
      <c r="J555" s="104">
        <v>0.0</v>
      </c>
      <c r="K555" s="105"/>
      <c r="L555" s="105" t="str">
        <f t="shared" si="1"/>
        <v/>
      </c>
      <c r="O555" s="106" t="str">
        <f t="shared" si="2"/>
        <v>#N/A</v>
      </c>
      <c r="P555" s="106" t="str">
        <f t="shared" si="3"/>
        <v>#N/A</v>
      </c>
      <c r="Q555" s="84" t="str">
        <f t="shared" si="4"/>
        <v>#N/A</v>
      </c>
      <c r="R555" s="84" t="str">
        <f t="shared" si="5"/>
        <v>#N/A</v>
      </c>
      <c r="S555" s="107">
        <f t="shared" si="6"/>
        <v>-0.7337</v>
      </c>
      <c r="T555" s="108">
        <f t="shared" si="7"/>
        <v>-1</v>
      </c>
      <c r="U555" s="106" t="str">
        <f t="shared" si="8"/>
        <v>#N/A</v>
      </c>
      <c r="V555" s="84" t="str">
        <f t="shared" si="9"/>
        <v/>
      </c>
      <c r="W555" s="109" t="str">
        <f t="shared" si="10"/>
        <v/>
      </c>
      <c r="X555" s="109" t="str">
        <f t="shared" si="11"/>
        <v/>
      </c>
      <c r="Y555" s="110" t="str">
        <f t="array" ref="Y555">_xlfn.XLOOKUP(A555,'Video Database'!L:L,'Video Database'!M:M,"")</f>
        <v>Bottom of Funnel</v>
      </c>
    </row>
    <row r="556" ht="22.5" customHeight="1">
      <c r="A556" s="113">
        <f t="shared" si="12"/>
        <v>555</v>
      </c>
      <c r="B556" s="98" t="str">
        <f t="array" ref="B556">_xlfn.XLOOKUP(A556,'Video Database'!L:L,'Video Database'!D:D,"")</f>
        <v>Erin</v>
      </c>
      <c r="C556" s="98" t="str">
        <f t="array" ref="C556">_xlfn.XLOOKUP(A556,'Video Database'!L:L,'Video Database'!E:E,"")</f>
        <v>Account 4</v>
      </c>
      <c r="D556" s="99" t="str">
        <f t="array" ref="D556">_xlfn.XLOOKUP(A556,'Video Database'!L:L,'Video Database'!G:G,"")</f>
        <v>SNOW Diamond Tetth Whitening Strips</v>
      </c>
      <c r="E556" s="100">
        <f t="array" ref="E556">_xlfn.XLOOKUP(A556,'Video Database'!L:L,'Video Database'!H:H,"")</f>
        <v>0.7337</v>
      </c>
      <c r="F556" s="101">
        <v>0.0</v>
      </c>
      <c r="G556" s="87">
        <v>0.0</v>
      </c>
      <c r="H556" s="114">
        <f t="array" ref="H556">_xlfn.XLOOKUP(A556,'Video Database'!L:L,'Video Database'!A:A,"")</f>
        <v>46192</v>
      </c>
      <c r="I556" s="103">
        <v>46201.0</v>
      </c>
      <c r="J556" s="104">
        <v>0.0</v>
      </c>
      <c r="K556" s="105"/>
      <c r="L556" s="105" t="str">
        <f t="shared" si="1"/>
        <v/>
      </c>
      <c r="O556" s="106" t="str">
        <f t="shared" si="2"/>
        <v>#N/A</v>
      </c>
      <c r="P556" s="106" t="str">
        <f t="shared" si="3"/>
        <v>#N/A</v>
      </c>
      <c r="Q556" s="84" t="str">
        <f t="shared" si="4"/>
        <v>#N/A</v>
      </c>
      <c r="R556" s="84" t="str">
        <f t="shared" si="5"/>
        <v>#N/A</v>
      </c>
      <c r="S556" s="107">
        <f t="shared" si="6"/>
        <v>-0.7337</v>
      </c>
      <c r="T556" s="108">
        <f t="shared" si="7"/>
        <v>-1</v>
      </c>
      <c r="U556" s="106" t="str">
        <f t="shared" si="8"/>
        <v>#N/A</v>
      </c>
      <c r="V556" s="84" t="str">
        <f t="shared" si="9"/>
        <v/>
      </c>
      <c r="W556" s="109" t="str">
        <f t="shared" si="10"/>
        <v/>
      </c>
      <c r="X556" s="109" t="str">
        <f t="shared" si="11"/>
        <v/>
      </c>
      <c r="Y556" s="110" t="str">
        <f t="array" ref="Y556">_xlfn.XLOOKUP(A556,'Video Database'!L:L,'Video Database'!M:M,"")</f>
        <v>Bottom of Funnel</v>
      </c>
    </row>
    <row r="557" ht="22.5" customHeight="1">
      <c r="A557" s="113">
        <f t="shared" si="12"/>
        <v>556</v>
      </c>
      <c r="B557" s="98" t="str">
        <f t="array" ref="B557">_xlfn.XLOOKUP(A557,'Video Database'!L:L,'Video Database'!D:D,"")</f>
        <v>Erin</v>
      </c>
      <c r="C557" s="98" t="str">
        <f t="array" ref="C557">_xlfn.XLOOKUP(A557,'Video Database'!L:L,'Video Database'!E:E,"")</f>
        <v>Account 4</v>
      </c>
      <c r="D557" s="99" t="str">
        <f t="array" ref="D557">_xlfn.XLOOKUP(A557,'Video Database'!L:L,'Video Database'!G:G,"")</f>
        <v>LullaBites Natural Sleep Gummies</v>
      </c>
      <c r="E557" s="100">
        <f t="array" ref="E557">_xlfn.XLOOKUP(A557,'Video Database'!L:L,'Video Database'!H:H,"")</f>
        <v>0.7337</v>
      </c>
      <c r="F557" s="101">
        <v>0.0</v>
      </c>
      <c r="G557" s="87">
        <v>0.0</v>
      </c>
      <c r="H557" s="114">
        <f t="array" ref="H557">_xlfn.XLOOKUP(A557,'Video Database'!L:L,'Video Database'!A:A,"")</f>
        <v>46192</v>
      </c>
      <c r="I557" s="103">
        <v>46201.0</v>
      </c>
      <c r="J557" s="104">
        <v>0.0</v>
      </c>
      <c r="K557" s="105"/>
      <c r="L557" s="105" t="str">
        <f t="shared" si="1"/>
        <v/>
      </c>
      <c r="O557" s="106" t="str">
        <f t="shared" si="2"/>
        <v>#N/A</v>
      </c>
      <c r="P557" s="106" t="str">
        <f t="shared" si="3"/>
        <v>#N/A</v>
      </c>
      <c r="Q557" s="84" t="str">
        <f t="shared" si="4"/>
        <v>#N/A</v>
      </c>
      <c r="R557" s="84" t="str">
        <f t="shared" si="5"/>
        <v>#N/A</v>
      </c>
      <c r="S557" s="107">
        <f t="shared" si="6"/>
        <v>-0.7337</v>
      </c>
      <c r="T557" s="108">
        <f t="shared" si="7"/>
        <v>-1</v>
      </c>
      <c r="U557" s="106" t="str">
        <f t="shared" si="8"/>
        <v>#N/A</v>
      </c>
      <c r="V557" s="84" t="str">
        <f t="shared" si="9"/>
        <v/>
      </c>
      <c r="W557" s="109" t="str">
        <f t="shared" si="10"/>
        <v/>
      </c>
      <c r="X557" s="109" t="str">
        <f t="shared" si="11"/>
        <v/>
      </c>
      <c r="Y557" s="110" t="str">
        <f t="array" ref="Y557">_xlfn.XLOOKUP(A557,'Video Database'!L:L,'Video Database'!M:M,"")</f>
        <v>Bottom of Funnel</v>
      </c>
    </row>
    <row r="558" ht="22.5" customHeight="1">
      <c r="A558" s="113">
        <f t="shared" si="12"/>
        <v>557</v>
      </c>
      <c r="B558" s="98" t="str">
        <f t="array" ref="B558">_xlfn.XLOOKUP(A558,'Video Database'!L:L,'Video Database'!D:D,"")</f>
        <v>Blakely</v>
      </c>
      <c r="C558" s="98" t="str">
        <f t="array" ref="C558">_xlfn.XLOOKUP(A558,'Video Database'!L:L,'Video Database'!E:E,"")</f>
        <v>Account 1</v>
      </c>
      <c r="D558" s="99" t="str">
        <f t="array" ref="D558">_xlfn.XLOOKUP(A558,'Video Database'!L:L,'Video Database'!G:G,"")</f>
        <v>Nutricost Creatine Monohydrate</v>
      </c>
      <c r="E558" s="100">
        <f t="array" ref="E558">_xlfn.XLOOKUP(A558,'Video Database'!L:L,'Video Database'!H:H,"")</f>
        <v>0.11</v>
      </c>
      <c r="F558" s="101">
        <v>0.0</v>
      </c>
      <c r="G558" s="87">
        <v>0.0</v>
      </c>
      <c r="H558" s="114">
        <f t="array" ref="H558">_xlfn.XLOOKUP(A558,'Video Database'!L:L,'Video Database'!A:A,"")</f>
        <v>46193</v>
      </c>
      <c r="I558" s="103">
        <v>46201.0</v>
      </c>
      <c r="J558" s="104">
        <v>0.0</v>
      </c>
      <c r="K558" s="105"/>
      <c r="L558" s="105" t="str">
        <f t="shared" si="1"/>
        <v/>
      </c>
      <c r="O558" s="106" t="str">
        <f t="shared" si="2"/>
        <v>#N/A</v>
      </c>
      <c r="P558" s="106" t="str">
        <f t="shared" si="3"/>
        <v>#N/A</v>
      </c>
      <c r="Q558" s="84" t="str">
        <f t="shared" si="4"/>
        <v>#N/A</v>
      </c>
      <c r="R558" s="84" t="str">
        <f t="shared" si="5"/>
        <v>#N/A</v>
      </c>
      <c r="S558" s="107">
        <f t="shared" si="6"/>
        <v>-0.11</v>
      </c>
      <c r="T558" s="108">
        <f t="shared" si="7"/>
        <v>-1</v>
      </c>
      <c r="U558" s="106" t="str">
        <f t="shared" si="8"/>
        <v>#N/A</v>
      </c>
      <c r="V558" s="84" t="str">
        <f t="shared" si="9"/>
        <v/>
      </c>
      <c r="W558" s="109" t="str">
        <f t="shared" si="10"/>
        <v/>
      </c>
      <c r="X558" s="109" t="str">
        <f t="shared" si="11"/>
        <v/>
      </c>
      <c r="Y558" s="110" t="str">
        <f t="array" ref="Y558">_xlfn.XLOOKUP(A558,'Video Database'!L:L,'Video Database'!M:M,"")</f>
        <v>Product Overlay</v>
      </c>
    </row>
    <row r="559" ht="22.5" customHeight="1">
      <c r="A559" s="113">
        <f t="shared" si="12"/>
        <v>558</v>
      </c>
      <c r="B559" s="98" t="str">
        <f t="array" ref="B559">_xlfn.XLOOKUP(A559,'Video Database'!L:L,'Video Database'!D:D,"")</f>
        <v>Blakely</v>
      </c>
      <c r="C559" s="98" t="str">
        <f t="array" ref="C559">_xlfn.XLOOKUP(A559,'Video Database'!L:L,'Video Database'!E:E,"")</f>
        <v>Account 1</v>
      </c>
      <c r="D559" s="99" t="str">
        <f t="array" ref="D559">_xlfn.XLOOKUP(A559,'Video Database'!L:L,'Video Database'!G:G,"")</f>
        <v>Nutricost Creatine Monohydrate</v>
      </c>
      <c r="E559" s="100">
        <f t="array" ref="E559">_xlfn.XLOOKUP(A559,'Video Database'!L:L,'Video Database'!H:H,"")</f>
        <v>0.11</v>
      </c>
      <c r="F559" s="101">
        <v>0.0</v>
      </c>
      <c r="G559" s="87">
        <v>0.0</v>
      </c>
      <c r="H559" s="114">
        <f t="array" ref="H559">_xlfn.XLOOKUP(A559,'Video Database'!L:L,'Video Database'!A:A,"")</f>
        <v>46193</v>
      </c>
      <c r="I559" s="103">
        <v>46201.0</v>
      </c>
      <c r="J559" s="104">
        <v>0.0</v>
      </c>
      <c r="K559" s="105"/>
      <c r="L559" s="105" t="str">
        <f t="shared" si="1"/>
        <v/>
      </c>
      <c r="O559" s="106" t="str">
        <f t="shared" si="2"/>
        <v>#N/A</v>
      </c>
      <c r="P559" s="106" t="str">
        <f t="shared" si="3"/>
        <v>#N/A</v>
      </c>
      <c r="Q559" s="84" t="str">
        <f t="shared" si="4"/>
        <v>#N/A</v>
      </c>
      <c r="R559" s="84" t="str">
        <f t="shared" si="5"/>
        <v>#N/A</v>
      </c>
      <c r="S559" s="107">
        <f t="shared" si="6"/>
        <v>-0.11</v>
      </c>
      <c r="T559" s="108">
        <f t="shared" si="7"/>
        <v>-1</v>
      </c>
      <c r="U559" s="106" t="str">
        <f t="shared" si="8"/>
        <v>#N/A</v>
      </c>
      <c r="V559" s="84" t="str">
        <f t="shared" si="9"/>
        <v/>
      </c>
      <c r="W559" s="109" t="str">
        <f t="shared" si="10"/>
        <v/>
      </c>
      <c r="X559" s="109" t="str">
        <f t="shared" si="11"/>
        <v/>
      </c>
      <c r="Y559" s="110" t="str">
        <f t="array" ref="Y559">_xlfn.XLOOKUP(A559,'Video Database'!L:L,'Video Database'!M:M,"")</f>
        <v>Product Overlay</v>
      </c>
    </row>
    <row r="560" ht="22.5" customHeight="1">
      <c r="A560" s="113">
        <f t="shared" si="12"/>
        <v>559</v>
      </c>
      <c r="B560" s="98" t="str">
        <f t="array" ref="B560">_xlfn.XLOOKUP(A560,'Video Database'!L:L,'Video Database'!D:D,"")</f>
        <v>Blakely</v>
      </c>
      <c r="C560" s="98" t="str">
        <f t="array" ref="C560">_xlfn.XLOOKUP(A560,'Video Database'!L:L,'Video Database'!E:E,"")</f>
        <v>Account 1</v>
      </c>
      <c r="D560" s="99" t="str">
        <f t="array" ref="D560">_xlfn.XLOOKUP(A560,'Video Database'!L:L,'Video Database'!G:G,"")</f>
        <v>Goli Women's Complete Multi Gummy</v>
      </c>
      <c r="E560" s="100">
        <f t="array" ref="E560">_xlfn.XLOOKUP(A560,'Video Database'!L:L,'Video Database'!H:H,"")</f>
        <v>0.11</v>
      </c>
      <c r="F560" s="101">
        <v>0.0</v>
      </c>
      <c r="G560" s="87">
        <v>0.0</v>
      </c>
      <c r="H560" s="114">
        <f t="array" ref="H560">_xlfn.XLOOKUP(A560,'Video Database'!L:L,'Video Database'!A:A,"")</f>
        <v>46193</v>
      </c>
      <c r="I560" s="103">
        <v>46201.0</v>
      </c>
      <c r="J560" s="104">
        <v>0.0</v>
      </c>
      <c r="K560" s="105"/>
      <c r="L560" s="105" t="str">
        <f t="shared" si="1"/>
        <v/>
      </c>
      <c r="O560" s="106" t="str">
        <f t="shared" si="2"/>
        <v>#N/A</v>
      </c>
      <c r="P560" s="106" t="str">
        <f t="shared" si="3"/>
        <v>#N/A</v>
      </c>
      <c r="Q560" s="84" t="str">
        <f t="shared" si="4"/>
        <v>#N/A</v>
      </c>
      <c r="R560" s="84" t="str">
        <f t="shared" si="5"/>
        <v>#N/A</v>
      </c>
      <c r="S560" s="107">
        <f t="shared" si="6"/>
        <v>-0.11</v>
      </c>
      <c r="T560" s="108">
        <f t="shared" si="7"/>
        <v>-1</v>
      </c>
      <c r="U560" s="106" t="str">
        <f t="shared" si="8"/>
        <v>#N/A</v>
      </c>
      <c r="V560" s="84" t="str">
        <f t="shared" si="9"/>
        <v/>
      </c>
      <c r="W560" s="109" t="str">
        <f t="shared" si="10"/>
        <v/>
      </c>
      <c r="X560" s="109" t="str">
        <f t="shared" si="11"/>
        <v/>
      </c>
      <c r="Y560" s="110" t="str">
        <f t="array" ref="Y560">_xlfn.XLOOKUP(A560,'Video Database'!L:L,'Video Database'!M:M,"")</f>
        <v>Product Overlay</v>
      </c>
    </row>
    <row r="561" ht="22.5" customHeight="1">
      <c r="A561" s="113">
        <f t="shared" si="12"/>
        <v>560</v>
      </c>
      <c r="B561" s="98" t="str">
        <f t="array" ref="B561">_xlfn.XLOOKUP(A561,'Video Database'!L:L,'Video Database'!D:D,"")</f>
        <v>Blakely</v>
      </c>
      <c r="C561" s="98" t="str">
        <f t="array" ref="C561">_xlfn.XLOOKUP(A561,'Video Database'!L:L,'Video Database'!E:E,"")</f>
        <v>Account 1</v>
      </c>
      <c r="D561" s="99" t="str">
        <f t="array" ref="D561">_xlfn.XLOOKUP(A561,'Video Database'!L:L,'Video Database'!G:G,"")</f>
        <v>Goli Women's Complete Multi Gummy</v>
      </c>
      <c r="E561" s="100">
        <f t="array" ref="E561">_xlfn.XLOOKUP(A561,'Video Database'!L:L,'Video Database'!H:H,"")</f>
        <v>0.11</v>
      </c>
      <c r="F561" s="101">
        <v>0.0</v>
      </c>
      <c r="G561" s="87">
        <v>0.0</v>
      </c>
      <c r="H561" s="114">
        <f t="array" ref="H561">_xlfn.XLOOKUP(A561,'Video Database'!L:L,'Video Database'!A:A,"")</f>
        <v>46193</v>
      </c>
      <c r="I561" s="103">
        <v>46201.0</v>
      </c>
      <c r="J561" s="104">
        <v>0.0</v>
      </c>
      <c r="K561" s="105"/>
      <c r="L561" s="105" t="str">
        <f t="shared" si="1"/>
        <v/>
      </c>
      <c r="O561" s="106" t="str">
        <f t="shared" si="2"/>
        <v>#N/A</v>
      </c>
      <c r="P561" s="106" t="str">
        <f t="shared" si="3"/>
        <v>#N/A</v>
      </c>
      <c r="Q561" s="84" t="str">
        <f t="shared" si="4"/>
        <v>#N/A</v>
      </c>
      <c r="R561" s="84" t="str">
        <f t="shared" si="5"/>
        <v>#N/A</v>
      </c>
      <c r="S561" s="107">
        <f t="shared" si="6"/>
        <v>-0.11</v>
      </c>
      <c r="T561" s="108">
        <f t="shared" si="7"/>
        <v>-1</v>
      </c>
      <c r="U561" s="106" t="str">
        <f t="shared" si="8"/>
        <v>#N/A</v>
      </c>
      <c r="V561" s="84" t="str">
        <f t="shared" si="9"/>
        <v/>
      </c>
      <c r="W561" s="109" t="str">
        <f t="shared" si="10"/>
        <v/>
      </c>
      <c r="X561" s="109" t="str">
        <f t="shared" si="11"/>
        <v/>
      </c>
      <c r="Y561" s="110" t="str">
        <f t="array" ref="Y561">_xlfn.XLOOKUP(A561,'Video Database'!L:L,'Video Database'!M:M,"")</f>
        <v>Product Overlay</v>
      </c>
    </row>
    <row r="562" ht="22.5" customHeight="1">
      <c r="A562" s="113">
        <f t="shared" si="12"/>
        <v>561</v>
      </c>
      <c r="B562" s="98" t="str">
        <f t="array" ref="B562">_xlfn.XLOOKUP(A562,'Video Database'!L:L,'Video Database'!D:D,"")</f>
        <v>Blakely</v>
      </c>
      <c r="C562" s="98" t="str">
        <f t="array" ref="C562">_xlfn.XLOOKUP(A562,'Video Database'!L:L,'Video Database'!E:E,"")</f>
        <v>Account 1</v>
      </c>
      <c r="D562" s="99" t="str">
        <f t="array" ref="D562">_xlfn.XLOOKUP(A562,'Video Database'!L:L,'Video Database'!G:G,"")</f>
        <v>Nello Supercalm Drink Mix</v>
      </c>
      <c r="E562" s="100">
        <f t="array" ref="E562">_xlfn.XLOOKUP(A562,'Video Database'!L:L,'Video Database'!H:H,"")</f>
        <v>0.11</v>
      </c>
      <c r="F562" s="101">
        <v>0.0</v>
      </c>
      <c r="G562" s="87">
        <v>0.0</v>
      </c>
      <c r="H562" s="114">
        <f t="array" ref="H562">_xlfn.XLOOKUP(A562,'Video Database'!L:L,'Video Database'!A:A,"")</f>
        <v>46193</v>
      </c>
      <c r="I562" s="103">
        <v>46201.0</v>
      </c>
      <c r="J562" s="104">
        <v>0.0</v>
      </c>
      <c r="K562" s="105"/>
      <c r="L562" s="105" t="str">
        <f t="shared" si="1"/>
        <v/>
      </c>
      <c r="O562" s="106" t="str">
        <f t="shared" si="2"/>
        <v>#N/A</v>
      </c>
      <c r="P562" s="106" t="str">
        <f t="shared" si="3"/>
        <v>#N/A</v>
      </c>
      <c r="Q562" s="84" t="str">
        <f t="shared" si="4"/>
        <v>#N/A</v>
      </c>
      <c r="R562" s="84" t="str">
        <f t="shared" si="5"/>
        <v>#N/A</v>
      </c>
      <c r="S562" s="107">
        <f t="shared" si="6"/>
        <v>-0.11</v>
      </c>
      <c r="T562" s="108">
        <f t="shared" si="7"/>
        <v>-1</v>
      </c>
      <c r="U562" s="106" t="str">
        <f t="shared" si="8"/>
        <v>#N/A</v>
      </c>
      <c r="V562" s="84" t="str">
        <f t="shared" si="9"/>
        <v/>
      </c>
      <c r="W562" s="109" t="str">
        <f t="shared" si="10"/>
        <v/>
      </c>
      <c r="X562" s="109" t="str">
        <f t="shared" si="11"/>
        <v/>
      </c>
      <c r="Y562" s="110" t="str">
        <f t="array" ref="Y562">_xlfn.XLOOKUP(A562,'Video Database'!L:L,'Video Database'!M:M,"")</f>
        <v>Product Overlay</v>
      </c>
    </row>
    <row r="563" ht="22.5" customHeight="1">
      <c r="A563" s="113">
        <f t="shared" si="12"/>
        <v>562</v>
      </c>
      <c r="B563" s="98" t="str">
        <f t="array" ref="B563">_xlfn.XLOOKUP(A563,'Video Database'!L:L,'Video Database'!D:D,"")</f>
        <v>Blakely</v>
      </c>
      <c r="C563" s="98" t="str">
        <f t="array" ref="C563">_xlfn.XLOOKUP(A563,'Video Database'!L:L,'Video Database'!E:E,"")</f>
        <v>Account 1</v>
      </c>
      <c r="D563" s="99" t="str">
        <f t="array" ref="D563">_xlfn.XLOOKUP(A563,'Video Database'!L:L,'Video Database'!G:G,"")</f>
        <v>Nello Supercalm Drink Mix</v>
      </c>
      <c r="E563" s="100">
        <f t="array" ref="E563">_xlfn.XLOOKUP(A563,'Video Database'!L:L,'Video Database'!H:H,"")</f>
        <v>0.11</v>
      </c>
      <c r="F563" s="101">
        <v>0.0</v>
      </c>
      <c r="G563" s="87">
        <v>0.0</v>
      </c>
      <c r="H563" s="114">
        <f t="array" ref="H563">_xlfn.XLOOKUP(A563,'Video Database'!L:L,'Video Database'!A:A,"")</f>
        <v>46193</v>
      </c>
      <c r="I563" s="103">
        <v>46201.0</v>
      </c>
      <c r="J563" s="104">
        <v>0.0</v>
      </c>
      <c r="K563" s="105"/>
      <c r="L563" s="105" t="str">
        <f t="shared" si="1"/>
        <v/>
      </c>
      <c r="O563" s="106" t="str">
        <f t="shared" si="2"/>
        <v>#N/A</v>
      </c>
      <c r="P563" s="106" t="str">
        <f t="shared" si="3"/>
        <v>#N/A</v>
      </c>
      <c r="Q563" s="84" t="str">
        <f t="shared" si="4"/>
        <v>#N/A</v>
      </c>
      <c r="R563" s="84" t="str">
        <f t="shared" si="5"/>
        <v>#N/A</v>
      </c>
      <c r="S563" s="107">
        <f t="shared" si="6"/>
        <v>-0.11</v>
      </c>
      <c r="T563" s="108">
        <f t="shared" si="7"/>
        <v>-1</v>
      </c>
      <c r="U563" s="106" t="str">
        <f t="shared" si="8"/>
        <v>#N/A</v>
      </c>
      <c r="V563" s="84" t="str">
        <f t="shared" si="9"/>
        <v/>
      </c>
      <c r="W563" s="109" t="str">
        <f t="shared" si="10"/>
        <v/>
      </c>
      <c r="X563" s="109" t="str">
        <f t="shared" si="11"/>
        <v/>
      </c>
      <c r="Y563" s="110" t="str">
        <f t="array" ref="Y563">_xlfn.XLOOKUP(A563,'Video Database'!L:L,'Video Database'!M:M,"")</f>
        <v>Product Overlay</v>
      </c>
    </row>
    <row r="564" ht="22.5" customHeight="1">
      <c r="A564" s="113">
        <f t="shared" si="12"/>
        <v>563</v>
      </c>
      <c r="B564" s="98" t="str">
        <f t="array" ref="B564">_xlfn.XLOOKUP(A564,'Video Database'!L:L,'Video Database'!D:D,"")</f>
        <v>Blakely</v>
      </c>
      <c r="C564" s="98" t="str">
        <f t="array" ref="C564">_xlfn.XLOOKUP(A564,'Video Database'!L:L,'Video Database'!E:E,"")</f>
        <v>Account 1</v>
      </c>
      <c r="D564" s="99" t="str">
        <f t="array" ref="D564">_xlfn.XLOOKUP(A564,'Video Database'!L:L,'Video Database'!G:G,"")</f>
        <v>BetterAlt Shilajit Honey Sticks</v>
      </c>
      <c r="E564" s="100">
        <f t="array" ref="E564">_xlfn.XLOOKUP(A564,'Video Database'!L:L,'Video Database'!H:H,"")</f>
        <v>0.11</v>
      </c>
      <c r="F564" s="101">
        <v>0.0</v>
      </c>
      <c r="G564" s="87">
        <v>0.0</v>
      </c>
      <c r="H564" s="114">
        <f t="array" ref="H564">_xlfn.XLOOKUP(A564,'Video Database'!L:L,'Video Database'!A:A,"")</f>
        <v>46193</v>
      </c>
      <c r="I564" s="103">
        <v>46201.0</v>
      </c>
      <c r="J564" s="104">
        <v>0.0</v>
      </c>
      <c r="K564" s="105"/>
      <c r="L564" s="105" t="str">
        <f t="shared" si="1"/>
        <v/>
      </c>
      <c r="O564" s="106" t="str">
        <f t="shared" si="2"/>
        <v>#N/A</v>
      </c>
      <c r="P564" s="106" t="str">
        <f t="shared" si="3"/>
        <v>#N/A</v>
      </c>
      <c r="Q564" s="84" t="str">
        <f t="shared" si="4"/>
        <v>#N/A</v>
      </c>
      <c r="R564" s="84" t="str">
        <f t="shared" si="5"/>
        <v>#N/A</v>
      </c>
      <c r="S564" s="107">
        <f t="shared" si="6"/>
        <v>-0.11</v>
      </c>
      <c r="T564" s="108">
        <f t="shared" si="7"/>
        <v>-1</v>
      </c>
      <c r="U564" s="106" t="str">
        <f t="shared" si="8"/>
        <v>#N/A</v>
      </c>
      <c r="V564" s="84" t="str">
        <f t="shared" si="9"/>
        <v/>
      </c>
      <c r="W564" s="109" t="str">
        <f t="shared" si="10"/>
        <v/>
      </c>
      <c r="X564" s="109" t="str">
        <f t="shared" si="11"/>
        <v/>
      </c>
      <c r="Y564" s="110" t="str">
        <f t="array" ref="Y564">_xlfn.XLOOKUP(A564,'Video Database'!L:L,'Video Database'!M:M,"")</f>
        <v>Product Overlay</v>
      </c>
    </row>
    <row r="565" ht="22.5" customHeight="1">
      <c r="A565" s="113">
        <f t="shared" si="12"/>
        <v>564</v>
      </c>
      <c r="B565" s="98" t="str">
        <f t="array" ref="B565">_xlfn.XLOOKUP(A565,'Video Database'!L:L,'Video Database'!D:D,"")</f>
        <v>Blakely</v>
      </c>
      <c r="C565" s="98" t="str">
        <f t="array" ref="C565">_xlfn.XLOOKUP(A565,'Video Database'!L:L,'Video Database'!E:E,"")</f>
        <v>Account 1</v>
      </c>
      <c r="D565" s="99" t="str">
        <f t="array" ref="D565">_xlfn.XLOOKUP(A565,'Video Database'!L:L,'Video Database'!G:G,"")</f>
        <v>BetterAlt Shilajit Honey Sticks</v>
      </c>
      <c r="E565" s="100">
        <f t="array" ref="E565">_xlfn.XLOOKUP(A565,'Video Database'!L:L,'Video Database'!H:H,"")</f>
        <v>0.11</v>
      </c>
      <c r="F565" s="101">
        <v>0.0</v>
      </c>
      <c r="G565" s="87">
        <v>0.0</v>
      </c>
      <c r="H565" s="114">
        <f t="array" ref="H565">_xlfn.XLOOKUP(A565,'Video Database'!L:L,'Video Database'!A:A,"")</f>
        <v>46193</v>
      </c>
      <c r="I565" s="103">
        <v>46201.0</v>
      </c>
      <c r="J565" s="104">
        <v>0.0</v>
      </c>
      <c r="K565" s="105"/>
      <c r="L565" s="105" t="str">
        <f t="shared" si="1"/>
        <v/>
      </c>
      <c r="O565" s="106" t="str">
        <f t="shared" si="2"/>
        <v>#N/A</v>
      </c>
      <c r="P565" s="106" t="str">
        <f t="shared" si="3"/>
        <v>#N/A</v>
      </c>
      <c r="Q565" s="84" t="str">
        <f t="shared" si="4"/>
        <v>#N/A</v>
      </c>
      <c r="R565" s="84" t="str">
        <f t="shared" si="5"/>
        <v>#N/A</v>
      </c>
      <c r="S565" s="107">
        <f t="shared" si="6"/>
        <v>-0.11</v>
      </c>
      <c r="T565" s="108">
        <f t="shared" si="7"/>
        <v>-1</v>
      </c>
      <c r="U565" s="106" t="str">
        <f t="shared" si="8"/>
        <v>#N/A</v>
      </c>
      <c r="V565" s="84" t="str">
        <f t="shared" si="9"/>
        <v/>
      </c>
      <c r="W565" s="109" t="str">
        <f t="shared" si="10"/>
        <v/>
      </c>
      <c r="X565" s="109" t="str">
        <f t="shared" si="11"/>
        <v/>
      </c>
      <c r="Y565" s="110" t="str">
        <f t="array" ref="Y565">_xlfn.XLOOKUP(A565,'Video Database'!L:L,'Video Database'!M:M,"")</f>
        <v>Product Overlay</v>
      </c>
    </row>
    <row r="566" ht="22.5" customHeight="1">
      <c r="A566" s="113">
        <f t="shared" si="12"/>
        <v>565</v>
      </c>
      <c r="B566" s="98" t="str">
        <f t="array" ref="B566">_xlfn.XLOOKUP(A566,'Video Database'!L:L,'Video Database'!D:D,"")</f>
        <v>Blakely</v>
      </c>
      <c r="C566" s="98" t="str">
        <f t="array" ref="C566">_xlfn.XLOOKUP(A566,'Video Database'!L:L,'Video Database'!E:E,"")</f>
        <v>Account 1</v>
      </c>
      <c r="D566" s="99" t="str">
        <f t="array" ref="D566">_xlfn.XLOOKUP(A566,'Video Database'!L:L,'Video Database'!G:G,"")</f>
        <v>Squish Energy Preworkout Jello Shots</v>
      </c>
      <c r="E566" s="100">
        <f t="array" ref="E566">_xlfn.XLOOKUP(A566,'Video Database'!L:L,'Video Database'!H:H,"")</f>
        <v>0.11</v>
      </c>
      <c r="F566" s="101">
        <v>0.0</v>
      </c>
      <c r="G566" s="87">
        <v>0.0</v>
      </c>
      <c r="H566" s="114">
        <f t="array" ref="H566">_xlfn.XLOOKUP(A566,'Video Database'!L:L,'Video Database'!A:A,"")</f>
        <v>46193</v>
      </c>
      <c r="I566" s="103">
        <v>46201.0</v>
      </c>
      <c r="J566" s="104">
        <v>0.0</v>
      </c>
      <c r="K566" s="105"/>
      <c r="L566" s="105" t="str">
        <f t="shared" si="1"/>
        <v/>
      </c>
      <c r="O566" s="106" t="str">
        <f t="shared" si="2"/>
        <v>#N/A</v>
      </c>
      <c r="P566" s="106" t="str">
        <f t="shared" si="3"/>
        <v>#N/A</v>
      </c>
      <c r="Q566" s="84" t="str">
        <f t="shared" si="4"/>
        <v>#N/A</v>
      </c>
      <c r="R566" s="84" t="str">
        <f t="shared" si="5"/>
        <v>#N/A</v>
      </c>
      <c r="S566" s="107">
        <f t="shared" si="6"/>
        <v>-0.11</v>
      </c>
      <c r="T566" s="108">
        <f t="shared" si="7"/>
        <v>-1</v>
      </c>
      <c r="U566" s="106" t="str">
        <f t="shared" si="8"/>
        <v>#N/A</v>
      </c>
      <c r="V566" s="84" t="str">
        <f t="shared" si="9"/>
        <v/>
      </c>
      <c r="W566" s="109" t="str">
        <f t="shared" si="10"/>
        <v/>
      </c>
      <c r="X566" s="109" t="str">
        <f t="shared" si="11"/>
        <v/>
      </c>
      <c r="Y566" s="110" t="str">
        <f t="array" ref="Y566">_xlfn.XLOOKUP(A566,'Video Database'!L:L,'Video Database'!M:M,"")</f>
        <v>Product Overlay</v>
      </c>
    </row>
    <row r="567" ht="22.5" customHeight="1">
      <c r="A567" s="113">
        <f t="shared" si="12"/>
        <v>566</v>
      </c>
      <c r="B567" s="98" t="str">
        <f t="array" ref="B567">_xlfn.XLOOKUP(A567,'Video Database'!L:L,'Video Database'!D:D,"")</f>
        <v>Blakely</v>
      </c>
      <c r="C567" s="98" t="str">
        <f t="array" ref="C567">_xlfn.XLOOKUP(A567,'Video Database'!L:L,'Video Database'!E:E,"")</f>
        <v>Account 1</v>
      </c>
      <c r="D567" s="99" t="str">
        <f t="array" ref="D567">_xlfn.XLOOKUP(A567,'Video Database'!L:L,'Video Database'!G:G,"")</f>
        <v>Squish Energy Preworkout Jello Shots</v>
      </c>
      <c r="E567" s="100">
        <f t="array" ref="E567">_xlfn.XLOOKUP(A567,'Video Database'!L:L,'Video Database'!H:H,"")</f>
        <v>0.11</v>
      </c>
      <c r="F567" s="101">
        <v>0.0</v>
      </c>
      <c r="G567" s="87">
        <v>0.0</v>
      </c>
      <c r="H567" s="114">
        <f t="array" ref="H567">_xlfn.XLOOKUP(A567,'Video Database'!L:L,'Video Database'!A:A,"")</f>
        <v>46193</v>
      </c>
      <c r="I567" s="103">
        <v>46201.0</v>
      </c>
      <c r="J567" s="104">
        <v>0.0</v>
      </c>
      <c r="K567" s="105"/>
      <c r="L567" s="105" t="str">
        <f t="shared" si="1"/>
        <v/>
      </c>
      <c r="O567" s="106" t="str">
        <f t="shared" si="2"/>
        <v>#N/A</v>
      </c>
      <c r="P567" s="106" t="str">
        <f t="shared" si="3"/>
        <v>#N/A</v>
      </c>
      <c r="Q567" s="84" t="str">
        <f t="shared" si="4"/>
        <v>#N/A</v>
      </c>
      <c r="R567" s="84" t="str">
        <f t="shared" si="5"/>
        <v>#N/A</v>
      </c>
      <c r="S567" s="107">
        <f t="shared" si="6"/>
        <v>-0.11</v>
      </c>
      <c r="T567" s="108">
        <f t="shared" si="7"/>
        <v>-1</v>
      </c>
      <c r="U567" s="106" t="str">
        <f t="shared" si="8"/>
        <v>#N/A</v>
      </c>
      <c r="V567" s="84" t="str">
        <f t="shared" si="9"/>
        <v/>
      </c>
      <c r="W567" s="109" t="str">
        <f t="shared" si="10"/>
        <v/>
      </c>
      <c r="X567" s="109" t="str">
        <f t="shared" si="11"/>
        <v/>
      </c>
      <c r="Y567" s="110" t="str">
        <f t="array" ref="Y567">_xlfn.XLOOKUP(A567,'Video Database'!L:L,'Video Database'!M:M,"")</f>
        <v>Product Overlay</v>
      </c>
    </row>
    <row r="568" ht="22.5" customHeight="1">
      <c r="A568" s="113">
        <f t="shared" si="12"/>
        <v>567</v>
      </c>
      <c r="B568" s="98" t="str">
        <f t="array" ref="B568">_xlfn.XLOOKUP(A568,'Video Database'!L:L,'Video Database'!D:D,"")</f>
        <v>Blakely</v>
      </c>
      <c r="C568" s="98" t="str">
        <f t="array" ref="C568">_xlfn.XLOOKUP(A568,'Video Database'!L:L,'Video Database'!E:E,"")</f>
        <v>Account 1</v>
      </c>
      <c r="D568" s="99" t="str">
        <f t="array" ref="D568">_xlfn.XLOOKUP(A568,'Video Database'!L:L,'Video Database'!G:G,"")</f>
        <v>Nutricost Creatine Monohydrate</v>
      </c>
      <c r="E568" s="100">
        <f t="array" ref="E568">_xlfn.XLOOKUP(A568,'Video Database'!L:L,'Video Database'!H:H,"")</f>
        <v>0.11</v>
      </c>
      <c r="F568" s="101">
        <v>0.0</v>
      </c>
      <c r="G568" s="87">
        <v>0.0</v>
      </c>
      <c r="H568" s="114">
        <f t="array" ref="H568">_xlfn.XLOOKUP(A568,'Video Database'!L:L,'Video Database'!A:A,"")</f>
        <v>46193</v>
      </c>
      <c r="I568" s="103">
        <v>46201.0</v>
      </c>
      <c r="J568" s="104">
        <v>0.0</v>
      </c>
      <c r="K568" s="105"/>
      <c r="L568" s="105" t="str">
        <f t="shared" si="1"/>
        <v/>
      </c>
      <c r="O568" s="106" t="str">
        <f t="shared" si="2"/>
        <v>#N/A</v>
      </c>
      <c r="P568" s="106" t="str">
        <f t="shared" si="3"/>
        <v>#N/A</v>
      </c>
      <c r="Q568" s="84" t="str">
        <f t="shared" si="4"/>
        <v>#N/A</v>
      </c>
      <c r="R568" s="84" t="str">
        <f t="shared" si="5"/>
        <v>#N/A</v>
      </c>
      <c r="S568" s="107">
        <f t="shared" si="6"/>
        <v>-0.11</v>
      </c>
      <c r="T568" s="108">
        <f t="shared" si="7"/>
        <v>-1</v>
      </c>
      <c r="U568" s="106" t="str">
        <f t="shared" si="8"/>
        <v>#N/A</v>
      </c>
      <c r="V568" s="84" t="str">
        <f t="shared" si="9"/>
        <v/>
      </c>
      <c r="W568" s="109" t="str">
        <f t="shared" si="10"/>
        <v/>
      </c>
      <c r="X568" s="109" t="str">
        <f t="shared" si="11"/>
        <v/>
      </c>
      <c r="Y568" s="110" t="str">
        <f t="array" ref="Y568">_xlfn.XLOOKUP(A568,'Video Database'!L:L,'Video Database'!M:M,"")</f>
        <v>Product Overlay</v>
      </c>
    </row>
    <row r="569" ht="22.5" customHeight="1">
      <c r="A569" s="113">
        <f t="shared" si="12"/>
        <v>568</v>
      </c>
      <c r="B569" s="98" t="str">
        <f t="array" ref="B569">_xlfn.XLOOKUP(A569,'Video Database'!L:L,'Video Database'!D:D,"")</f>
        <v>Blakely</v>
      </c>
      <c r="C569" s="98" t="str">
        <f t="array" ref="C569">_xlfn.XLOOKUP(A569,'Video Database'!L:L,'Video Database'!E:E,"")</f>
        <v>Account 1</v>
      </c>
      <c r="D569" s="99" t="str">
        <f t="array" ref="D569">_xlfn.XLOOKUP(A569,'Video Database'!L:L,'Video Database'!G:G,"")</f>
        <v>Goli Women's Complete Multi Gummy</v>
      </c>
      <c r="E569" s="100">
        <f t="array" ref="E569">_xlfn.XLOOKUP(A569,'Video Database'!L:L,'Video Database'!H:H,"")</f>
        <v>0.11</v>
      </c>
      <c r="F569" s="101">
        <v>0.0</v>
      </c>
      <c r="G569" s="87">
        <v>0.0</v>
      </c>
      <c r="H569" s="114">
        <f t="array" ref="H569">_xlfn.XLOOKUP(A569,'Video Database'!L:L,'Video Database'!A:A,"")</f>
        <v>46193</v>
      </c>
      <c r="I569" s="103">
        <v>46201.0</v>
      </c>
      <c r="J569" s="104">
        <v>0.0</v>
      </c>
      <c r="K569" s="105"/>
      <c r="L569" s="105" t="str">
        <f t="shared" si="1"/>
        <v/>
      </c>
      <c r="O569" s="106" t="str">
        <f t="shared" si="2"/>
        <v>#N/A</v>
      </c>
      <c r="P569" s="106" t="str">
        <f t="shared" si="3"/>
        <v>#N/A</v>
      </c>
      <c r="Q569" s="84" t="str">
        <f t="shared" si="4"/>
        <v>#N/A</v>
      </c>
      <c r="R569" s="84" t="str">
        <f t="shared" si="5"/>
        <v>#N/A</v>
      </c>
      <c r="S569" s="107">
        <f t="shared" si="6"/>
        <v>-0.11</v>
      </c>
      <c r="T569" s="108">
        <f t="shared" si="7"/>
        <v>-1</v>
      </c>
      <c r="U569" s="106" t="str">
        <f t="shared" si="8"/>
        <v>#N/A</v>
      </c>
      <c r="V569" s="84" t="str">
        <f t="shared" si="9"/>
        <v/>
      </c>
      <c r="W569" s="109" t="str">
        <f t="shared" si="10"/>
        <v/>
      </c>
      <c r="X569" s="109" t="str">
        <f t="shared" si="11"/>
        <v/>
      </c>
      <c r="Y569" s="110" t="str">
        <f t="array" ref="Y569">_xlfn.XLOOKUP(A569,'Video Database'!L:L,'Video Database'!M:M,"")</f>
        <v>Product Overlay</v>
      </c>
    </row>
    <row r="570" ht="22.5" customHeight="1">
      <c r="A570" s="113">
        <f t="shared" si="12"/>
        <v>569</v>
      </c>
      <c r="B570" s="98" t="str">
        <f t="array" ref="B570">_xlfn.XLOOKUP(A570,'Video Database'!L:L,'Video Database'!D:D,"")</f>
        <v>Blakely</v>
      </c>
      <c r="C570" s="98" t="str">
        <f t="array" ref="C570">_xlfn.XLOOKUP(A570,'Video Database'!L:L,'Video Database'!E:E,"")</f>
        <v>Account 1</v>
      </c>
      <c r="D570" s="99" t="str">
        <f t="array" ref="D570">_xlfn.XLOOKUP(A570,'Video Database'!L:L,'Video Database'!G:G,"")</f>
        <v>Nutricost Creatine Monohydrate</v>
      </c>
      <c r="E570" s="100">
        <f t="array" ref="E570">_xlfn.XLOOKUP(A570,'Video Database'!L:L,'Video Database'!H:H,"")</f>
        <v>0.11</v>
      </c>
      <c r="F570" s="101">
        <v>0.0</v>
      </c>
      <c r="G570" s="87">
        <v>0.0</v>
      </c>
      <c r="H570" s="114">
        <f t="array" ref="H570">_xlfn.XLOOKUP(A570,'Video Database'!L:L,'Video Database'!A:A,"")</f>
        <v>46193</v>
      </c>
      <c r="I570" s="103">
        <v>46201.0</v>
      </c>
      <c r="J570" s="104">
        <v>0.0</v>
      </c>
      <c r="K570" s="105"/>
      <c r="L570" s="105" t="str">
        <f t="shared" si="1"/>
        <v/>
      </c>
      <c r="O570" s="106" t="str">
        <f t="shared" si="2"/>
        <v>#N/A</v>
      </c>
      <c r="P570" s="106" t="str">
        <f t="shared" si="3"/>
        <v>#N/A</v>
      </c>
      <c r="Q570" s="84" t="str">
        <f t="shared" si="4"/>
        <v>#N/A</v>
      </c>
      <c r="R570" s="84" t="str">
        <f t="shared" si="5"/>
        <v>#N/A</v>
      </c>
      <c r="S570" s="107">
        <f t="shared" si="6"/>
        <v>-0.11</v>
      </c>
      <c r="T570" s="108">
        <f t="shared" si="7"/>
        <v>-1</v>
      </c>
      <c r="U570" s="106" t="str">
        <f t="shared" si="8"/>
        <v>#N/A</v>
      </c>
      <c r="V570" s="84" t="str">
        <f t="shared" si="9"/>
        <v/>
      </c>
      <c r="W570" s="109" t="str">
        <f t="shared" si="10"/>
        <v/>
      </c>
      <c r="X570" s="109" t="str">
        <f t="shared" si="11"/>
        <v/>
      </c>
      <c r="Y570" s="110" t="str">
        <f t="array" ref="Y570">_xlfn.XLOOKUP(A570,'Video Database'!L:L,'Video Database'!M:M,"")</f>
        <v>Product Overlay</v>
      </c>
    </row>
    <row r="571" ht="22.5" customHeight="1">
      <c r="A571" s="113">
        <f t="shared" si="12"/>
        <v>570</v>
      </c>
      <c r="B571" s="98" t="str">
        <f t="array" ref="B571">_xlfn.XLOOKUP(A571,'Video Database'!L:L,'Video Database'!D:D,"")</f>
        <v>Blakely</v>
      </c>
      <c r="C571" s="98" t="str">
        <f t="array" ref="C571">_xlfn.XLOOKUP(A571,'Video Database'!L:L,'Video Database'!E:E,"")</f>
        <v>Account 1</v>
      </c>
      <c r="D571" s="99" t="str">
        <f t="array" ref="D571">_xlfn.XLOOKUP(A571,'Video Database'!L:L,'Video Database'!G:G,"")</f>
        <v>Goli Women's Complete Multi Gummy</v>
      </c>
      <c r="E571" s="100">
        <f t="array" ref="E571">_xlfn.XLOOKUP(A571,'Video Database'!L:L,'Video Database'!H:H,"")</f>
        <v>0.11</v>
      </c>
      <c r="F571" s="101">
        <v>0.0</v>
      </c>
      <c r="G571" s="87">
        <v>0.0</v>
      </c>
      <c r="H571" s="114">
        <f t="array" ref="H571">_xlfn.XLOOKUP(A571,'Video Database'!L:L,'Video Database'!A:A,"")</f>
        <v>46193</v>
      </c>
      <c r="I571" s="103">
        <v>46201.0</v>
      </c>
      <c r="J571" s="104">
        <v>0.0</v>
      </c>
      <c r="K571" s="105"/>
      <c r="L571" s="105" t="str">
        <f t="shared" si="1"/>
        <v/>
      </c>
      <c r="O571" s="106" t="str">
        <f t="shared" si="2"/>
        <v>#N/A</v>
      </c>
      <c r="P571" s="106" t="str">
        <f t="shared" si="3"/>
        <v>#N/A</v>
      </c>
      <c r="Q571" s="84" t="str">
        <f t="shared" si="4"/>
        <v>#N/A</v>
      </c>
      <c r="R571" s="84" t="str">
        <f t="shared" si="5"/>
        <v>#N/A</v>
      </c>
      <c r="S571" s="107">
        <f t="shared" si="6"/>
        <v>-0.11</v>
      </c>
      <c r="T571" s="108">
        <f t="shared" si="7"/>
        <v>-1</v>
      </c>
      <c r="U571" s="106" t="str">
        <f t="shared" si="8"/>
        <v>#N/A</v>
      </c>
      <c r="V571" s="84" t="str">
        <f t="shared" si="9"/>
        <v/>
      </c>
      <c r="W571" s="109" t="str">
        <f t="shared" si="10"/>
        <v/>
      </c>
      <c r="X571" s="109" t="str">
        <f t="shared" si="11"/>
        <v/>
      </c>
      <c r="Y571" s="110" t="str">
        <f t="array" ref="Y571">_xlfn.XLOOKUP(A571,'Video Database'!L:L,'Video Database'!M:M,"")</f>
        <v>Product Overlay</v>
      </c>
    </row>
    <row r="572" ht="22.5" customHeight="1">
      <c r="A572" s="113">
        <f t="shared" si="12"/>
        <v>571</v>
      </c>
      <c r="B572" s="98" t="str">
        <f t="array" ref="B572">_xlfn.XLOOKUP(A572,'Video Database'!L:L,'Video Database'!D:D,"")</f>
        <v>Erin</v>
      </c>
      <c r="C572" s="98" t="str">
        <f t="array" ref="C572">_xlfn.XLOOKUP(A572,'Video Database'!L:L,'Video Database'!E:E,"")</f>
        <v>Account 2</v>
      </c>
      <c r="D572" s="99" t="str">
        <f t="array" ref="D572">_xlfn.XLOOKUP(A572,'Video Database'!L:L,'Video Database'!G:G,"")</f>
        <v>SNOW Diamond Tetth Whitening Strips</v>
      </c>
      <c r="E572" s="100">
        <f t="array" ref="E572">_xlfn.XLOOKUP(A572,'Video Database'!L:L,'Video Database'!H:H,"")</f>
        <v>0.7337</v>
      </c>
      <c r="F572" s="101">
        <v>0.0</v>
      </c>
      <c r="G572" s="87">
        <v>0.0</v>
      </c>
      <c r="H572" s="114">
        <f t="array" ref="H572">_xlfn.XLOOKUP(A572,'Video Database'!L:L,'Video Database'!A:A,"")</f>
        <v>46193</v>
      </c>
      <c r="I572" s="103">
        <v>46201.0</v>
      </c>
      <c r="J572" s="104">
        <v>0.0</v>
      </c>
      <c r="K572" s="105"/>
      <c r="L572" s="105" t="str">
        <f t="shared" si="1"/>
        <v/>
      </c>
      <c r="O572" s="106" t="str">
        <f t="shared" si="2"/>
        <v>#N/A</v>
      </c>
      <c r="P572" s="106" t="str">
        <f t="shared" si="3"/>
        <v>#N/A</v>
      </c>
      <c r="Q572" s="84" t="str">
        <f t="shared" si="4"/>
        <v>#N/A</v>
      </c>
      <c r="R572" s="84" t="str">
        <f t="shared" si="5"/>
        <v>#N/A</v>
      </c>
      <c r="S572" s="107">
        <f t="shared" si="6"/>
        <v>-0.7337</v>
      </c>
      <c r="T572" s="108">
        <f t="shared" si="7"/>
        <v>-1</v>
      </c>
      <c r="U572" s="106" t="str">
        <f t="shared" si="8"/>
        <v>#N/A</v>
      </c>
      <c r="V572" s="84" t="str">
        <f t="shared" si="9"/>
        <v/>
      </c>
      <c r="W572" s="109" t="str">
        <f t="shared" si="10"/>
        <v/>
      </c>
      <c r="X572" s="109" t="str">
        <f t="shared" si="11"/>
        <v/>
      </c>
      <c r="Y572" s="110" t="str">
        <f t="array" ref="Y572">_xlfn.XLOOKUP(A572,'Video Database'!L:L,'Video Database'!M:M,"")</f>
        <v>Bottom of Funnel</v>
      </c>
    </row>
    <row r="573" ht="22.5" customHeight="1">
      <c r="A573" s="113">
        <f t="shared" si="12"/>
        <v>572</v>
      </c>
      <c r="B573" s="98" t="str">
        <f t="array" ref="B573">_xlfn.XLOOKUP(A573,'Video Database'!L:L,'Video Database'!D:D,"")</f>
        <v>Erin</v>
      </c>
      <c r="C573" s="98" t="str">
        <f t="array" ref="C573">_xlfn.XLOOKUP(A573,'Video Database'!L:L,'Video Database'!E:E,"")</f>
        <v>Account 2</v>
      </c>
      <c r="D573" s="99" t="str">
        <f t="array" ref="D573">_xlfn.XLOOKUP(A573,'Video Database'!L:L,'Video Database'!G:G,"")</f>
        <v>SNOW Diamond Tetth Whitening Strips</v>
      </c>
      <c r="E573" s="100">
        <f t="array" ref="E573">_xlfn.XLOOKUP(A573,'Video Database'!L:L,'Video Database'!H:H,"")</f>
        <v>0.7337</v>
      </c>
      <c r="F573" s="101">
        <v>0.0</v>
      </c>
      <c r="G573" s="87">
        <v>0.0</v>
      </c>
      <c r="H573" s="114">
        <f t="array" ref="H573">_xlfn.XLOOKUP(A573,'Video Database'!L:L,'Video Database'!A:A,"")</f>
        <v>46193</v>
      </c>
      <c r="I573" s="103">
        <v>46201.0</v>
      </c>
      <c r="J573" s="104">
        <v>0.0</v>
      </c>
      <c r="K573" s="105"/>
      <c r="L573" s="105" t="str">
        <f t="shared" si="1"/>
        <v/>
      </c>
      <c r="O573" s="106" t="str">
        <f t="shared" si="2"/>
        <v>#N/A</v>
      </c>
      <c r="P573" s="106" t="str">
        <f t="shared" si="3"/>
        <v>#N/A</v>
      </c>
      <c r="Q573" s="84" t="str">
        <f t="shared" si="4"/>
        <v>#N/A</v>
      </c>
      <c r="R573" s="84" t="str">
        <f t="shared" si="5"/>
        <v>#N/A</v>
      </c>
      <c r="S573" s="107">
        <f t="shared" si="6"/>
        <v>-0.7337</v>
      </c>
      <c r="T573" s="108">
        <f t="shared" si="7"/>
        <v>-1</v>
      </c>
      <c r="U573" s="106" t="str">
        <f t="shared" si="8"/>
        <v>#N/A</v>
      </c>
      <c r="V573" s="84" t="str">
        <f t="shared" si="9"/>
        <v/>
      </c>
      <c r="W573" s="109" t="str">
        <f t="shared" si="10"/>
        <v/>
      </c>
      <c r="X573" s="109" t="str">
        <f t="shared" si="11"/>
        <v/>
      </c>
      <c r="Y573" s="110" t="str">
        <f t="array" ref="Y573">_xlfn.XLOOKUP(A573,'Video Database'!L:L,'Video Database'!M:M,"")</f>
        <v>Bottom of Funnel</v>
      </c>
    </row>
    <row r="574" ht="22.5" customHeight="1">
      <c r="A574" s="113">
        <f t="shared" si="12"/>
        <v>573</v>
      </c>
      <c r="B574" s="98" t="str">
        <f t="array" ref="B574">_xlfn.XLOOKUP(A574,'Video Database'!L:L,'Video Database'!D:D,"")</f>
        <v>Erin</v>
      </c>
      <c r="C574" s="98" t="str">
        <f t="array" ref="C574">_xlfn.XLOOKUP(A574,'Video Database'!L:L,'Video Database'!E:E,"")</f>
        <v>Account 2</v>
      </c>
      <c r="D574" s="99" t="str">
        <f t="array" ref="D574">_xlfn.XLOOKUP(A574,'Video Database'!L:L,'Video Database'!G:G,"")</f>
        <v>LullaBites Natural Sleep Gummies</v>
      </c>
      <c r="E574" s="100">
        <f t="array" ref="E574">_xlfn.XLOOKUP(A574,'Video Database'!L:L,'Video Database'!H:H,"")</f>
        <v>0.7337</v>
      </c>
      <c r="F574" s="101">
        <v>0.0</v>
      </c>
      <c r="G574" s="87">
        <v>0.0</v>
      </c>
      <c r="H574" s="114">
        <f t="array" ref="H574">_xlfn.XLOOKUP(A574,'Video Database'!L:L,'Video Database'!A:A,"")</f>
        <v>46193</v>
      </c>
      <c r="I574" s="103">
        <v>46201.0</v>
      </c>
      <c r="J574" s="104">
        <v>0.0</v>
      </c>
      <c r="K574" s="105"/>
      <c r="L574" s="105" t="str">
        <f t="shared" si="1"/>
        <v/>
      </c>
      <c r="O574" s="106" t="str">
        <f t="shared" si="2"/>
        <v>#N/A</v>
      </c>
      <c r="P574" s="106" t="str">
        <f t="shared" si="3"/>
        <v>#N/A</v>
      </c>
      <c r="Q574" s="84" t="str">
        <f t="shared" si="4"/>
        <v>#N/A</v>
      </c>
      <c r="R574" s="84" t="str">
        <f t="shared" si="5"/>
        <v>#N/A</v>
      </c>
      <c r="S574" s="107">
        <f t="shared" si="6"/>
        <v>-0.7337</v>
      </c>
      <c r="T574" s="108">
        <f t="shared" si="7"/>
        <v>-1</v>
      </c>
      <c r="U574" s="106" t="str">
        <f t="shared" si="8"/>
        <v>#N/A</v>
      </c>
      <c r="V574" s="84" t="str">
        <f t="shared" si="9"/>
        <v/>
      </c>
      <c r="W574" s="109" t="str">
        <f t="shared" si="10"/>
        <v/>
      </c>
      <c r="X574" s="109" t="str">
        <f t="shared" si="11"/>
        <v/>
      </c>
      <c r="Y574" s="110" t="str">
        <f t="array" ref="Y574">_xlfn.XLOOKUP(A574,'Video Database'!L:L,'Video Database'!M:M,"")</f>
        <v>Bottom of Funnel</v>
      </c>
    </row>
    <row r="575" ht="22.5" customHeight="1">
      <c r="A575" s="113">
        <f t="shared" si="12"/>
        <v>574</v>
      </c>
      <c r="B575" s="98" t="str">
        <f t="array" ref="B575">_xlfn.XLOOKUP(A575,'Video Database'!L:L,'Video Database'!D:D,"")</f>
        <v>Erin</v>
      </c>
      <c r="C575" s="98" t="str">
        <f t="array" ref="C575">_xlfn.XLOOKUP(A575,'Video Database'!L:L,'Video Database'!E:E,"")</f>
        <v>Account 2</v>
      </c>
      <c r="D575" s="99" t="str">
        <f t="array" ref="D575">_xlfn.XLOOKUP(A575,'Video Database'!L:L,'Video Database'!G:G,"")</f>
        <v>SNOW Diamond Tetth Whitening Strips</v>
      </c>
      <c r="E575" s="100">
        <f t="array" ref="E575">_xlfn.XLOOKUP(A575,'Video Database'!L:L,'Video Database'!H:H,"")</f>
        <v>0.7337</v>
      </c>
      <c r="F575" s="101">
        <v>0.0</v>
      </c>
      <c r="G575" s="87">
        <v>0.0</v>
      </c>
      <c r="H575" s="114">
        <f t="array" ref="H575">_xlfn.XLOOKUP(A575,'Video Database'!L:L,'Video Database'!A:A,"")</f>
        <v>46193</v>
      </c>
      <c r="I575" s="103">
        <v>46201.0</v>
      </c>
      <c r="J575" s="104">
        <v>0.0</v>
      </c>
      <c r="K575" s="105"/>
      <c r="L575" s="105" t="str">
        <f t="shared" si="1"/>
        <v/>
      </c>
      <c r="O575" s="106" t="str">
        <f t="shared" si="2"/>
        <v>#N/A</v>
      </c>
      <c r="P575" s="106" t="str">
        <f t="shared" si="3"/>
        <v>#N/A</v>
      </c>
      <c r="Q575" s="84" t="str">
        <f t="shared" si="4"/>
        <v>#N/A</v>
      </c>
      <c r="R575" s="84" t="str">
        <f t="shared" si="5"/>
        <v>#N/A</v>
      </c>
      <c r="S575" s="107">
        <f t="shared" si="6"/>
        <v>-0.7337</v>
      </c>
      <c r="T575" s="108">
        <f t="shared" si="7"/>
        <v>-1</v>
      </c>
      <c r="U575" s="106" t="str">
        <f t="shared" si="8"/>
        <v>#N/A</v>
      </c>
      <c r="V575" s="84" t="str">
        <f t="shared" si="9"/>
        <v/>
      </c>
      <c r="W575" s="109" t="str">
        <f t="shared" si="10"/>
        <v/>
      </c>
      <c r="X575" s="109" t="str">
        <f t="shared" si="11"/>
        <v/>
      </c>
      <c r="Y575" s="110" t="str">
        <f t="array" ref="Y575">_xlfn.XLOOKUP(A575,'Video Database'!L:L,'Video Database'!M:M,"")</f>
        <v>Bottom of Funnel</v>
      </c>
    </row>
    <row r="576" ht="22.5" customHeight="1">
      <c r="A576" s="113">
        <f t="shared" si="12"/>
        <v>575</v>
      </c>
      <c r="B576" s="98" t="str">
        <f t="array" ref="B576">_xlfn.XLOOKUP(A576,'Video Database'!L:L,'Video Database'!D:D,"")</f>
        <v>Erin</v>
      </c>
      <c r="C576" s="98" t="str">
        <f t="array" ref="C576">_xlfn.XLOOKUP(A576,'Video Database'!L:L,'Video Database'!E:E,"")</f>
        <v>Account 2</v>
      </c>
      <c r="D576" s="99" t="str">
        <f t="array" ref="D576">_xlfn.XLOOKUP(A576,'Video Database'!L:L,'Video Database'!G:G,"")</f>
        <v>SNOW Diamond Tetth Whitening Strips</v>
      </c>
      <c r="E576" s="100">
        <f t="array" ref="E576">_xlfn.XLOOKUP(A576,'Video Database'!L:L,'Video Database'!H:H,"")</f>
        <v>0.7337</v>
      </c>
      <c r="F576" s="101">
        <v>0.0</v>
      </c>
      <c r="G576" s="87">
        <v>0.0</v>
      </c>
      <c r="H576" s="114">
        <f t="array" ref="H576">_xlfn.XLOOKUP(A576,'Video Database'!L:L,'Video Database'!A:A,"")</f>
        <v>46193</v>
      </c>
      <c r="I576" s="103">
        <v>46201.0</v>
      </c>
      <c r="J576" s="104">
        <v>0.0</v>
      </c>
      <c r="K576" s="105"/>
      <c r="L576" s="105" t="str">
        <f t="shared" si="1"/>
        <v/>
      </c>
      <c r="O576" s="106" t="str">
        <f t="shared" si="2"/>
        <v>#N/A</v>
      </c>
      <c r="P576" s="106" t="str">
        <f t="shared" si="3"/>
        <v>#N/A</v>
      </c>
      <c r="Q576" s="84" t="str">
        <f t="shared" si="4"/>
        <v>#N/A</v>
      </c>
      <c r="R576" s="84" t="str">
        <f t="shared" si="5"/>
        <v>#N/A</v>
      </c>
      <c r="S576" s="107">
        <f t="shared" si="6"/>
        <v>-0.7337</v>
      </c>
      <c r="T576" s="108">
        <f t="shared" si="7"/>
        <v>-1</v>
      </c>
      <c r="U576" s="106" t="str">
        <f t="shared" si="8"/>
        <v>#N/A</v>
      </c>
      <c r="V576" s="84" t="str">
        <f t="shared" si="9"/>
        <v/>
      </c>
      <c r="W576" s="109" t="str">
        <f t="shared" si="10"/>
        <v/>
      </c>
      <c r="X576" s="109" t="str">
        <f t="shared" si="11"/>
        <v/>
      </c>
      <c r="Y576" s="110" t="str">
        <f t="array" ref="Y576">_xlfn.XLOOKUP(A576,'Video Database'!L:L,'Video Database'!M:M,"")</f>
        <v>Bottom of Funnel</v>
      </c>
    </row>
    <row r="577" ht="22.5" customHeight="1">
      <c r="A577" s="113">
        <f t="shared" si="12"/>
        <v>576</v>
      </c>
      <c r="B577" s="98" t="str">
        <f t="array" ref="B577">_xlfn.XLOOKUP(A577,'Video Database'!L:L,'Video Database'!D:D,"")</f>
        <v>Erin</v>
      </c>
      <c r="C577" s="98" t="str">
        <f t="array" ref="C577">_xlfn.XLOOKUP(A577,'Video Database'!L:L,'Video Database'!E:E,"")</f>
        <v>Account 2</v>
      </c>
      <c r="D577" s="99" t="str">
        <f t="array" ref="D577">_xlfn.XLOOKUP(A577,'Video Database'!L:L,'Video Database'!G:G,"")</f>
        <v>SNOW Diamond Tetth Whitening Strips</v>
      </c>
      <c r="E577" s="100">
        <f t="array" ref="E577">_xlfn.XLOOKUP(A577,'Video Database'!L:L,'Video Database'!H:H,"")</f>
        <v>0.7337</v>
      </c>
      <c r="F577" s="101">
        <v>0.0</v>
      </c>
      <c r="G577" s="87">
        <v>0.0</v>
      </c>
      <c r="H577" s="114">
        <f t="array" ref="H577">_xlfn.XLOOKUP(A577,'Video Database'!L:L,'Video Database'!A:A,"")</f>
        <v>46193</v>
      </c>
      <c r="I577" s="103">
        <v>46201.0</v>
      </c>
      <c r="J577" s="104">
        <v>0.0</v>
      </c>
      <c r="K577" s="105"/>
      <c r="L577" s="105" t="str">
        <f t="shared" si="1"/>
        <v/>
      </c>
      <c r="O577" s="106" t="str">
        <f t="shared" si="2"/>
        <v>#N/A</v>
      </c>
      <c r="P577" s="106" t="str">
        <f t="shared" si="3"/>
        <v>#N/A</v>
      </c>
      <c r="Q577" s="84" t="str">
        <f t="shared" si="4"/>
        <v>#N/A</v>
      </c>
      <c r="R577" s="84" t="str">
        <f t="shared" si="5"/>
        <v>#N/A</v>
      </c>
      <c r="S577" s="107">
        <f t="shared" si="6"/>
        <v>-0.7337</v>
      </c>
      <c r="T577" s="108">
        <f t="shared" si="7"/>
        <v>-1</v>
      </c>
      <c r="U577" s="106" t="str">
        <f t="shared" si="8"/>
        <v>#N/A</v>
      </c>
      <c r="V577" s="84" t="str">
        <f t="shared" si="9"/>
        <v/>
      </c>
      <c r="W577" s="109" t="str">
        <f t="shared" si="10"/>
        <v/>
      </c>
      <c r="X577" s="109" t="str">
        <f t="shared" si="11"/>
        <v/>
      </c>
      <c r="Y577" s="110" t="str">
        <f t="array" ref="Y577">_xlfn.XLOOKUP(A577,'Video Database'!L:L,'Video Database'!M:M,"")</f>
        <v>Bottom of Funnel</v>
      </c>
    </row>
    <row r="578" ht="22.5" customHeight="1">
      <c r="A578" s="113">
        <f t="shared" si="12"/>
        <v>577</v>
      </c>
      <c r="B578" s="98" t="str">
        <f t="array" ref="B578">_xlfn.XLOOKUP(A578,'Video Database'!L:L,'Video Database'!D:D,"")</f>
        <v>Erin</v>
      </c>
      <c r="C578" s="98" t="str">
        <f t="array" ref="C578">_xlfn.XLOOKUP(A578,'Video Database'!L:L,'Video Database'!E:E,"")</f>
        <v>Account 2</v>
      </c>
      <c r="D578" s="99" t="str">
        <f t="array" ref="D578">_xlfn.XLOOKUP(A578,'Video Database'!L:L,'Video Database'!G:G,"")</f>
        <v>LullaBites Natural Sleep Gummies</v>
      </c>
      <c r="E578" s="100">
        <f t="array" ref="E578">_xlfn.XLOOKUP(A578,'Video Database'!L:L,'Video Database'!H:H,"")</f>
        <v>0.7337</v>
      </c>
      <c r="F578" s="101">
        <v>0.0</v>
      </c>
      <c r="G578" s="87">
        <v>0.0</v>
      </c>
      <c r="H578" s="114">
        <f t="array" ref="H578">_xlfn.XLOOKUP(A578,'Video Database'!L:L,'Video Database'!A:A,"")</f>
        <v>46193</v>
      </c>
      <c r="I578" s="103">
        <v>46201.0</v>
      </c>
      <c r="J578" s="104">
        <v>0.0</v>
      </c>
      <c r="K578" s="105"/>
      <c r="L578" s="105" t="str">
        <f t="shared" si="1"/>
        <v/>
      </c>
      <c r="O578" s="106" t="str">
        <f t="shared" si="2"/>
        <v>#N/A</v>
      </c>
      <c r="P578" s="106" t="str">
        <f t="shared" si="3"/>
        <v>#N/A</v>
      </c>
      <c r="Q578" s="84" t="str">
        <f t="shared" si="4"/>
        <v>#N/A</v>
      </c>
      <c r="R578" s="84" t="str">
        <f t="shared" si="5"/>
        <v>#N/A</v>
      </c>
      <c r="S578" s="107">
        <f t="shared" si="6"/>
        <v>-0.7337</v>
      </c>
      <c r="T578" s="108">
        <f t="shared" si="7"/>
        <v>-1</v>
      </c>
      <c r="U578" s="106" t="str">
        <f t="shared" si="8"/>
        <v>#N/A</v>
      </c>
      <c r="V578" s="84" t="str">
        <f t="shared" si="9"/>
        <v/>
      </c>
      <c r="W578" s="109" t="str">
        <f t="shared" si="10"/>
        <v/>
      </c>
      <c r="X578" s="109" t="str">
        <f t="shared" si="11"/>
        <v/>
      </c>
      <c r="Y578" s="110" t="str">
        <f t="array" ref="Y578">_xlfn.XLOOKUP(A578,'Video Database'!L:L,'Video Database'!M:M,"")</f>
        <v>Bottom of Funnel</v>
      </c>
    </row>
    <row r="579" ht="22.5" customHeight="1">
      <c r="A579" s="113">
        <f t="shared" si="12"/>
        <v>578</v>
      </c>
      <c r="B579" s="98" t="str">
        <f t="array" ref="B579">_xlfn.XLOOKUP(A579,'Video Database'!L:L,'Video Database'!D:D,"")</f>
        <v>Erin</v>
      </c>
      <c r="C579" s="98" t="str">
        <f t="array" ref="C579">_xlfn.XLOOKUP(A579,'Video Database'!L:L,'Video Database'!E:E,"")</f>
        <v>Account 2</v>
      </c>
      <c r="D579" s="99" t="str">
        <f t="array" ref="D579">_xlfn.XLOOKUP(A579,'Video Database'!L:L,'Video Database'!G:G,"")</f>
        <v>LullaBites Natural Sleep Gummies</v>
      </c>
      <c r="E579" s="100">
        <f t="array" ref="E579">_xlfn.XLOOKUP(A579,'Video Database'!L:L,'Video Database'!H:H,"")</f>
        <v>0.7337</v>
      </c>
      <c r="F579" s="101">
        <v>0.0</v>
      </c>
      <c r="G579" s="87">
        <v>0.0</v>
      </c>
      <c r="H579" s="114">
        <f t="array" ref="H579">_xlfn.XLOOKUP(A579,'Video Database'!L:L,'Video Database'!A:A,"")</f>
        <v>46193</v>
      </c>
      <c r="I579" s="103">
        <v>46201.0</v>
      </c>
      <c r="J579" s="104">
        <v>0.0</v>
      </c>
      <c r="K579" s="105"/>
      <c r="L579" s="105" t="str">
        <f t="shared" si="1"/>
        <v/>
      </c>
      <c r="O579" s="106" t="str">
        <f t="shared" si="2"/>
        <v>#N/A</v>
      </c>
      <c r="P579" s="106" t="str">
        <f t="shared" si="3"/>
        <v>#N/A</v>
      </c>
      <c r="Q579" s="84" t="str">
        <f t="shared" si="4"/>
        <v>#N/A</v>
      </c>
      <c r="R579" s="84" t="str">
        <f t="shared" si="5"/>
        <v>#N/A</v>
      </c>
      <c r="S579" s="107">
        <f t="shared" si="6"/>
        <v>-0.7337</v>
      </c>
      <c r="T579" s="108">
        <f t="shared" si="7"/>
        <v>-1</v>
      </c>
      <c r="U579" s="106" t="str">
        <f t="shared" si="8"/>
        <v>#N/A</v>
      </c>
      <c r="V579" s="84" t="str">
        <f t="shared" si="9"/>
        <v/>
      </c>
      <c r="W579" s="109" t="str">
        <f t="shared" si="10"/>
        <v/>
      </c>
      <c r="X579" s="109" t="str">
        <f t="shared" si="11"/>
        <v/>
      </c>
      <c r="Y579" s="110" t="str">
        <f t="array" ref="Y579">_xlfn.XLOOKUP(A579,'Video Database'!L:L,'Video Database'!M:M,"")</f>
        <v>Bottom of Funnel</v>
      </c>
    </row>
    <row r="580" ht="22.5" customHeight="1">
      <c r="A580" s="113">
        <f t="shared" si="12"/>
        <v>579</v>
      </c>
      <c r="B580" s="98" t="str">
        <f t="array" ref="B580">_xlfn.XLOOKUP(A580,'Video Database'!L:L,'Video Database'!D:D,"")</f>
        <v>Erin</v>
      </c>
      <c r="C580" s="98" t="str">
        <f t="array" ref="C580">_xlfn.XLOOKUP(A580,'Video Database'!L:L,'Video Database'!E:E,"")</f>
        <v>Account 2</v>
      </c>
      <c r="D580" s="99" t="str">
        <f t="array" ref="D580">_xlfn.XLOOKUP(A580,'Video Database'!L:L,'Video Database'!G:G,"")</f>
        <v>LullaBites Natural Sleep Gummies</v>
      </c>
      <c r="E580" s="100">
        <f t="array" ref="E580">_xlfn.XLOOKUP(A580,'Video Database'!L:L,'Video Database'!H:H,"")</f>
        <v>0.7337</v>
      </c>
      <c r="F580" s="101">
        <v>0.0</v>
      </c>
      <c r="G580" s="87">
        <v>0.0</v>
      </c>
      <c r="H580" s="114">
        <f t="array" ref="H580">_xlfn.XLOOKUP(A580,'Video Database'!L:L,'Video Database'!A:A,"")</f>
        <v>46193</v>
      </c>
      <c r="I580" s="103">
        <v>46201.0</v>
      </c>
      <c r="J580" s="104">
        <v>0.0</v>
      </c>
      <c r="K580" s="105"/>
      <c r="L580" s="105" t="str">
        <f t="shared" si="1"/>
        <v/>
      </c>
      <c r="O580" s="106" t="str">
        <f t="shared" si="2"/>
        <v>#N/A</v>
      </c>
      <c r="P580" s="106" t="str">
        <f t="shared" si="3"/>
        <v>#N/A</v>
      </c>
      <c r="Q580" s="84" t="str">
        <f t="shared" si="4"/>
        <v>#N/A</v>
      </c>
      <c r="R580" s="84" t="str">
        <f t="shared" si="5"/>
        <v>#N/A</v>
      </c>
      <c r="S580" s="107">
        <f t="shared" si="6"/>
        <v>-0.7337</v>
      </c>
      <c r="T580" s="108">
        <f t="shared" si="7"/>
        <v>-1</v>
      </c>
      <c r="U580" s="106" t="str">
        <f t="shared" si="8"/>
        <v>#N/A</v>
      </c>
      <c r="V580" s="84" t="str">
        <f t="shared" si="9"/>
        <v/>
      </c>
      <c r="W580" s="109" t="str">
        <f t="shared" si="10"/>
        <v/>
      </c>
      <c r="X580" s="109" t="str">
        <f t="shared" si="11"/>
        <v/>
      </c>
      <c r="Y580" s="110" t="str">
        <f t="array" ref="Y580">_xlfn.XLOOKUP(A580,'Video Database'!L:L,'Video Database'!M:M,"")</f>
        <v>Bottom of Funnel</v>
      </c>
    </row>
    <row r="581" ht="22.5" customHeight="1">
      <c r="A581" s="113">
        <f t="shared" si="12"/>
        <v>580</v>
      </c>
      <c r="B581" s="98" t="str">
        <f t="array" ref="B581">_xlfn.XLOOKUP(A581,'Video Database'!L:L,'Video Database'!D:D,"")</f>
        <v>Erin</v>
      </c>
      <c r="C581" s="98" t="str">
        <f t="array" ref="C581">_xlfn.XLOOKUP(A581,'Video Database'!L:L,'Video Database'!E:E,"")</f>
        <v>Account 2</v>
      </c>
      <c r="D581" s="99" t="str">
        <f t="array" ref="D581">_xlfn.XLOOKUP(A581,'Video Database'!L:L,'Video Database'!G:G,"")</f>
        <v>LullaBites Natural Sleep Gummies</v>
      </c>
      <c r="E581" s="100">
        <f t="array" ref="E581">_xlfn.XLOOKUP(A581,'Video Database'!L:L,'Video Database'!H:H,"")</f>
        <v>0.7337</v>
      </c>
      <c r="F581" s="101">
        <v>0.0</v>
      </c>
      <c r="G581" s="87">
        <v>0.0</v>
      </c>
      <c r="H581" s="114">
        <f t="array" ref="H581">_xlfn.XLOOKUP(A581,'Video Database'!L:L,'Video Database'!A:A,"")</f>
        <v>46193</v>
      </c>
      <c r="I581" s="103">
        <v>46201.0</v>
      </c>
      <c r="J581" s="104">
        <v>0.0</v>
      </c>
      <c r="K581" s="105"/>
      <c r="L581" s="105" t="str">
        <f t="shared" si="1"/>
        <v/>
      </c>
      <c r="O581" s="106" t="str">
        <f t="shared" si="2"/>
        <v>#N/A</v>
      </c>
      <c r="P581" s="106" t="str">
        <f t="shared" si="3"/>
        <v>#N/A</v>
      </c>
      <c r="Q581" s="84" t="str">
        <f t="shared" si="4"/>
        <v>#N/A</v>
      </c>
      <c r="R581" s="84" t="str">
        <f t="shared" si="5"/>
        <v>#N/A</v>
      </c>
      <c r="S581" s="107">
        <f t="shared" si="6"/>
        <v>-0.7337</v>
      </c>
      <c r="T581" s="108">
        <f t="shared" si="7"/>
        <v>-1</v>
      </c>
      <c r="U581" s="106" t="str">
        <f t="shared" si="8"/>
        <v>#N/A</v>
      </c>
      <c r="V581" s="84" t="str">
        <f t="shared" si="9"/>
        <v/>
      </c>
      <c r="W581" s="109" t="str">
        <f t="shared" si="10"/>
        <v/>
      </c>
      <c r="X581" s="109" t="str">
        <f t="shared" si="11"/>
        <v/>
      </c>
      <c r="Y581" s="110" t="str">
        <f t="array" ref="Y581">_xlfn.XLOOKUP(A581,'Video Database'!L:L,'Video Database'!M:M,"")</f>
        <v>Bottom of Funnel</v>
      </c>
    </row>
    <row r="582" ht="22.5" customHeight="1">
      <c r="A582" s="113">
        <f t="shared" si="12"/>
        <v>581</v>
      </c>
      <c r="B582" s="98" t="str">
        <f t="array" ref="B582">_xlfn.XLOOKUP(A582,'Video Database'!L:L,'Video Database'!D:D,"")</f>
        <v>Erin</v>
      </c>
      <c r="C582" s="98" t="str">
        <f t="array" ref="C582">_xlfn.XLOOKUP(A582,'Video Database'!L:L,'Video Database'!E:E,"")</f>
        <v>Account 3</v>
      </c>
      <c r="D582" s="99" t="str">
        <f t="array" ref="D582">_xlfn.XLOOKUP(A582,'Video Database'!L:L,'Video Database'!G:G,"")</f>
        <v>SNOW Diamond Tetth Whitening Strips</v>
      </c>
      <c r="E582" s="100">
        <f t="array" ref="E582">_xlfn.XLOOKUP(A582,'Video Database'!L:L,'Video Database'!H:H,"")</f>
        <v>0.7337</v>
      </c>
      <c r="F582" s="101">
        <v>0.0</v>
      </c>
      <c r="G582" s="87">
        <v>0.0</v>
      </c>
      <c r="H582" s="114">
        <f t="array" ref="H582">_xlfn.XLOOKUP(A582,'Video Database'!L:L,'Video Database'!A:A,"")</f>
        <v>46193</v>
      </c>
      <c r="I582" s="103">
        <v>46201.0</v>
      </c>
      <c r="J582" s="104">
        <v>0.0</v>
      </c>
      <c r="K582" s="105"/>
      <c r="L582" s="105" t="str">
        <f t="shared" si="1"/>
        <v/>
      </c>
      <c r="O582" s="106" t="str">
        <f t="shared" si="2"/>
        <v>#N/A</v>
      </c>
      <c r="P582" s="106" t="str">
        <f t="shared" si="3"/>
        <v>#N/A</v>
      </c>
      <c r="Q582" s="84" t="str">
        <f t="shared" si="4"/>
        <v>#N/A</v>
      </c>
      <c r="R582" s="84" t="str">
        <f t="shared" si="5"/>
        <v>#N/A</v>
      </c>
      <c r="S582" s="107">
        <f t="shared" si="6"/>
        <v>-0.7337</v>
      </c>
      <c r="T582" s="108">
        <f t="shared" si="7"/>
        <v>-1</v>
      </c>
      <c r="U582" s="106" t="str">
        <f t="shared" si="8"/>
        <v>#N/A</v>
      </c>
      <c r="V582" s="84" t="str">
        <f t="shared" si="9"/>
        <v/>
      </c>
      <c r="W582" s="109" t="str">
        <f t="shared" si="10"/>
        <v/>
      </c>
      <c r="X582" s="109" t="str">
        <f t="shared" si="11"/>
        <v/>
      </c>
      <c r="Y582" s="110" t="str">
        <f t="array" ref="Y582">_xlfn.XLOOKUP(A582,'Video Database'!L:L,'Video Database'!M:M,"")</f>
        <v>Bottom of Funnel</v>
      </c>
    </row>
    <row r="583" ht="22.5" customHeight="1">
      <c r="A583" s="113">
        <f t="shared" si="12"/>
        <v>582</v>
      </c>
      <c r="B583" s="98" t="str">
        <f t="array" ref="B583">_xlfn.XLOOKUP(A583,'Video Database'!L:L,'Video Database'!D:D,"")</f>
        <v>Erin</v>
      </c>
      <c r="C583" s="98" t="str">
        <f t="array" ref="C583">_xlfn.XLOOKUP(A583,'Video Database'!L:L,'Video Database'!E:E,"")</f>
        <v>Account 3</v>
      </c>
      <c r="D583" s="99" t="str">
        <f t="array" ref="D583">_xlfn.XLOOKUP(A583,'Video Database'!L:L,'Video Database'!G:G,"")</f>
        <v>SNOW Diamond Tetth Whitening Strips</v>
      </c>
      <c r="E583" s="100">
        <f t="array" ref="E583">_xlfn.XLOOKUP(A583,'Video Database'!L:L,'Video Database'!H:H,"")</f>
        <v>0.7337</v>
      </c>
      <c r="F583" s="101">
        <v>0.0</v>
      </c>
      <c r="G583" s="87">
        <v>0.0</v>
      </c>
      <c r="H583" s="114">
        <f t="array" ref="H583">_xlfn.XLOOKUP(A583,'Video Database'!L:L,'Video Database'!A:A,"")</f>
        <v>46193</v>
      </c>
      <c r="I583" s="103">
        <v>46201.0</v>
      </c>
      <c r="J583" s="104">
        <v>0.0</v>
      </c>
      <c r="K583" s="105"/>
      <c r="L583" s="105" t="str">
        <f t="shared" si="1"/>
        <v/>
      </c>
      <c r="O583" s="106" t="str">
        <f t="shared" si="2"/>
        <v>#N/A</v>
      </c>
      <c r="P583" s="106" t="str">
        <f t="shared" si="3"/>
        <v>#N/A</v>
      </c>
      <c r="Q583" s="84" t="str">
        <f t="shared" si="4"/>
        <v>#N/A</v>
      </c>
      <c r="R583" s="84" t="str">
        <f t="shared" si="5"/>
        <v>#N/A</v>
      </c>
      <c r="S583" s="107">
        <f t="shared" si="6"/>
        <v>-0.7337</v>
      </c>
      <c r="T583" s="108">
        <f t="shared" si="7"/>
        <v>-1</v>
      </c>
      <c r="U583" s="106" t="str">
        <f t="shared" si="8"/>
        <v>#N/A</v>
      </c>
      <c r="V583" s="84" t="str">
        <f t="shared" si="9"/>
        <v/>
      </c>
      <c r="W583" s="109" t="str">
        <f t="shared" si="10"/>
        <v/>
      </c>
      <c r="X583" s="109" t="str">
        <f t="shared" si="11"/>
        <v/>
      </c>
      <c r="Y583" s="110" t="str">
        <f t="array" ref="Y583">_xlfn.XLOOKUP(A583,'Video Database'!L:L,'Video Database'!M:M,"")</f>
        <v>Bottom of Funnel</v>
      </c>
    </row>
    <row r="584" ht="22.5" customHeight="1">
      <c r="A584" s="113">
        <f t="shared" si="12"/>
        <v>583</v>
      </c>
      <c r="B584" s="98" t="str">
        <f t="array" ref="B584">_xlfn.XLOOKUP(A584,'Video Database'!L:L,'Video Database'!D:D,"")</f>
        <v>Erin</v>
      </c>
      <c r="C584" s="98" t="str">
        <f t="array" ref="C584">_xlfn.XLOOKUP(A584,'Video Database'!L:L,'Video Database'!E:E,"")</f>
        <v>Account 3</v>
      </c>
      <c r="D584" s="99" t="str">
        <f t="array" ref="D584">_xlfn.XLOOKUP(A584,'Video Database'!L:L,'Video Database'!G:G,"")</f>
        <v>SNOW Diamond Tetth Whitening Strips</v>
      </c>
      <c r="E584" s="100">
        <f t="array" ref="E584">_xlfn.XLOOKUP(A584,'Video Database'!L:L,'Video Database'!H:H,"")</f>
        <v>0.7337</v>
      </c>
      <c r="F584" s="101">
        <v>0.0</v>
      </c>
      <c r="G584" s="87">
        <v>0.0</v>
      </c>
      <c r="H584" s="114">
        <f t="array" ref="H584">_xlfn.XLOOKUP(A584,'Video Database'!L:L,'Video Database'!A:A,"")</f>
        <v>46193</v>
      </c>
      <c r="I584" s="103">
        <v>46201.0</v>
      </c>
      <c r="J584" s="104">
        <v>0.0</v>
      </c>
      <c r="K584" s="105"/>
      <c r="L584" s="105" t="str">
        <f t="shared" si="1"/>
        <v/>
      </c>
      <c r="O584" s="106" t="str">
        <f t="shared" si="2"/>
        <v>#N/A</v>
      </c>
      <c r="P584" s="106" t="str">
        <f t="shared" si="3"/>
        <v>#N/A</v>
      </c>
      <c r="Q584" s="84" t="str">
        <f t="shared" si="4"/>
        <v>#N/A</v>
      </c>
      <c r="R584" s="84" t="str">
        <f t="shared" si="5"/>
        <v>#N/A</v>
      </c>
      <c r="S584" s="107">
        <f t="shared" si="6"/>
        <v>-0.7337</v>
      </c>
      <c r="T584" s="108">
        <f t="shared" si="7"/>
        <v>-1</v>
      </c>
      <c r="U584" s="106" t="str">
        <f t="shared" si="8"/>
        <v>#N/A</v>
      </c>
      <c r="V584" s="84" t="str">
        <f t="shared" si="9"/>
        <v/>
      </c>
      <c r="W584" s="109" t="str">
        <f t="shared" si="10"/>
        <v/>
      </c>
      <c r="X584" s="109" t="str">
        <f t="shared" si="11"/>
        <v/>
      </c>
      <c r="Y584" s="110" t="str">
        <f t="array" ref="Y584">_xlfn.XLOOKUP(A584,'Video Database'!L:L,'Video Database'!M:M,"")</f>
        <v>Bottom of Funnel</v>
      </c>
    </row>
    <row r="585" ht="22.5" customHeight="1">
      <c r="A585" s="113">
        <f t="shared" si="12"/>
        <v>584</v>
      </c>
      <c r="B585" s="98" t="str">
        <f t="array" ref="B585">_xlfn.XLOOKUP(A585,'Video Database'!L:L,'Video Database'!D:D,"")</f>
        <v>Erin</v>
      </c>
      <c r="C585" s="98" t="str">
        <f t="array" ref="C585">_xlfn.XLOOKUP(A585,'Video Database'!L:L,'Video Database'!E:E,"")</f>
        <v>Account 3</v>
      </c>
      <c r="D585" s="99" t="str">
        <f t="array" ref="D585">_xlfn.XLOOKUP(A585,'Video Database'!L:L,'Video Database'!G:G,"")</f>
        <v>SNOW Diamond Tetth Whitening Strips</v>
      </c>
      <c r="E585" s="100">
        <f t="array" ref="E585">_xlfn.XLOOKUP(A585,'Video Database'!L:L,'Video Database'!H:H,"")</f>
        <v>0.7337</v>
      </c>
      <c r="F585" s="101">
        <v>0.0</v>
      </c>
      <c r="G585" s="87">
        <v>0.0</v>
      </c>
      <c r="H585" s="114">
        <f t="array" ref="H585">_xlfn.XLOOKUP(A585,'Video Database'!L:L,'Video Database'!A:A,"")</f>
        <v>46193</v>
      </c>
      <c r="I585" s="103">
        <v>46201.0</v>
      </c>
      <c r="J585" s="104">
        <v>0.0</v>
      </c>
      <c r="K585" s="105"/>
      <c r="L585" s="105" t="str">
        <f t="shared" si="1"/>
        <v/>
      </c>
      <c r="O585" s="106" t="str">
        <f t="shared" si="2"/>
        <v>#N/A</v>
      </c>
      <c r="P585" s="106" t="str">
        <f t="shared" si="3"/>
        <v>#N/A</v>
      </c>
      <c r="Q585" s="84" t="str">
        <f t="shared" si="4"/>
        <v>#N/A</v>
      </c>
      <c r="R585" s="84" t="str">
        <f t="shared" si="5"/>
        <v>#N/A</v>
      </c>
      <c r="S585" s="107">
        <f t="shared" si="6"/>
        <v>-0.7337</v>
      </c>
      <c r="T585" s="108">
        <f t="shared" si="7"/>
        <v>-1</v>
      </c>
      <c r="U585" s="106" t="str">
        <f t="shared" si="8"/>
        <v>#N/A</v>
      </c>
      <c r="V585" s="84" t="str">
        <f t="shared" si="9"/>
        <v/>
      </c>
      <c r="W585" s="109" t="str">
        <f t="shared" si="10"/>
        <v/>
      </c>
      <c r="X585" s="109" t="str">
        <f t="shared" si="11"/>
        <v/>
      </c>
      <c r="Y585" s="110" t="str">
        <f t="array" ref="Y585">_xlfn.XLOOKUP(A585,'Video Database'!L:L,'Video Database'!M:M,"")</f>
        <v>Bottom of Funnel</v>
      </c>
    </row>
    <row r="586" ht="22.5" customHeight="1">
      <c r="A586" s="113">
        <f t="shared" si="12"/>
        <v>585</v>
      </c>
      <c r="B586" s="98" t="str">
        <f t="array" ref="B586">_xlfn.XLOOKUP(A586,'Video Database'!L:L,'Video Database'!D:D,"")</f>
        <v>Erin</v>
      </c>
      <c r="C586" s="98" t="str">
        <f t="array" ref="C586">_xlfn.XLOOKUP(A586,'Video Database'!L:L,'Video Database'!E:E,"")</f>
        <v>Account 3</v>
      </c>
      <c r="D586" s="99" t="str">
        <f t="array" ref="D586">_xlfn.XLOOKUP(A586,'Video Database'!L:L,'Video Database'!G:G,"")</f>
        <v>LullaBites Natural Sleep Gummies</v>
      </c>
      <c r="E586" s="100">
        <f t="array" ref="E586">_xlfn.XLOOKUP(A586,'Video Database'!L:L,'Video Database'!H:H,"")</f>
        <v>0.7337</v>
      </c>
      <c r="F586" s="101">
        <v>0.0</v>
      </c>
      <c r="G586" s="87">
        <v>0.0</v>
      </c>
      <c r="H586" s="114">
        <f t="array" ref="H586">_xlfn.XLOOKUP(A586,'Video Database'!L:L,'Video Database'!A:A,"")</f>
        <v>46193</v>
      </c>
      <c r="I586" s="103">
        <v>46201.0</v>
      </c>
      <c r="J586" s="104">
        <v>0.0</v>
      </c>
      <c r="K586" s="105"/>
      <c r="L586" s="105" t="str">
        <f t="shared" si="1"/>
        <v/>
      </c>
      <c r="O586" s="106" t="str">
        <f t="shared" si="2"/>
        <v>#N/A</v>
      </c>
      <c r="P586" s="106" t="str">
        <f t="shared" si="3"/>
        <v>#N/A</v>
      </c>
      <c r="Q586" s="84" t="str">
        <f t="shared" si="4"/>
        <v>#N/A</v>
      </c>
      <c r="R586" s="84" t="str">
        <f t="shared" si="5"/>
        <v>#N/A</v>
      </c>
      <c r="S586" s="107">
        <f t="shared" si="6"/>
        <v>-0.7337</v>
      </c>
      <c r="T586" s="108">
        <f t="shared" si="7"/>
        <v>-1</v>
      </c>
      <c r="U586" s="106" t="str">
        <f t="shared" si="8"/>
        <v>#N/A</v>
      </c>
      <c r="V586" s="84" t="str">
        <f t="shared" si="9"/>
        <v/>
      </c>
      <c r="W586" s="109" t="str">
        <f t="shared" si="10"/>
        <v/>
      </c>
      <c r="X586" s="109" t="str">
        <f t="shared" si="11"/>
        <v/>
      </c>
      <c r="Y586" s="110" t="str">
        <f t="array" ref="Y586">_xlfn.XLOOKUP(A586,'Video Database'!L:L,'Video Database'!M:M,"")</f>
        <v>Bottom of Funnel</v>
      </c>
    </row>
    <row r="587" ht="22.5" customHeight="1">
      <c r="A587" s="113">
        <f t="shared" si="12"/>
        <v>586</v>
      </c>
      <c r="B587" s="98" t="str">
        <f t="array" ref="B587">_xlfn.XLOOKUP(A587,'Video Database'!L:L,'Video Database'!D:D,"")</f>
        <v>Erin</v>
      </c>
      <c r="C587" s="98" t="str">
        <f t="array" ref="C587">_xlfn.XLOOKUP(A587,'Video Database'!L:L,'Video Database'!E:E,"")</f>
        <v>Account 3</v>
      </c>
      <c r="D587" s="99" t="str">
        <f t="array" ref="D587">_xlfn.XLOOKUP(A587,'Video Database'!L:L,'Video Database'!G:G,"")</f>
        <v>LullaBites Natural Sleep Gummies</v>
      </c>
      <c r="E587" s="100">
        <f t="array" ref="E587">_xlfn.XLOOKUP(A587,'Video Database'!L:L,'Video Database'!H:H,"")</f>
        <v>0.7337</v>
      </c>
      <c r="F587" s="101">
        <v>0.0</v>
      </c>
      <c r="G587" s="87">
        <v>0.0</v>
      </c>
      <c r="H587" s="114">
        <f t="array" ref="H587">_xlfn.XLOOKUP(A587,'Video Database'!L:L,'Video Database'!A:A,"")</f>
        <v>46193</v>
      </c>
      <c r="I587" s="103">
        <v>46201.0</v>
      </c>
      <c r="J587" s="104">
        <v>0.0</v>
      </c>
      <c r="K587" s="105"/>
      <c r="L587" s="105" t="str">
        <f t="shared" si="1"/>
        <v/>
      </c>
      <c r="O587" s="106" t="str">
        <f t="shared" si="2"/>
        <v>#N/A</v>
      </c>
      <c r="P587" s="106" t="str">
        <f t="shared" si="3"/>
        <v>#N/A</v>
      </c>
      <c r="Q587" s="84" t="str">
        <f t="shared" si="4"/>
        <v>#N/A</v>
      </c>
      <c r="R587" s="84" t="str">
        <f t="shared" si="5"/>
        <v>#N/A</v>
      </c>
      <c r="S587" s="107">
        <f t="shared" si="6"/>
        <v>-0.7337</v>
      </c>
      <c r="T587" s="108">
        <f t="shared" si="7"/>
        <v>-1</v>
      </c>
      <c r="U587" s="106" t="str">
        <f t="shared" si="8"/>
        <v>#N/A</v>
      </c>
      <c r="V587" s="84" t="str">
        <f t="shared" si="9"/>
        <v/>
      </c>
      <c r="W587" s="109" t="str">
        <f t="shared" si="10"/>
        <v/>
      </c>
      <c r="X587" s="109" t="str">
        <f t="shared" si="11"/>
        <v/>
      </c>
      <c r="Y587" s="110" t="str">
        <f t="array" ref="Y587">_xlfn.XLOOKUP(A587,'Video Database'!L:L,'Video Database'!M:M,"")</f>
        <v>Bottom of Funnel</v>
      </c>
    </row>
    <row r="588" ht="22.5" customHeight="1">
      <c r="A588" s="113">
        <f t="shared" si="12"/>
        <v>587</v>
      </c>
      <c r="B588" s="98" t="str">
        <f t="array" ref="B588">_xlfn.XLOOKUP(A588,'Video Database'!L:L,'Video Database'!D:D,"")</f>
        <v>Erin</v>
      </c>
      <c r="C588" s="98" t="str">
        <f t="array" ref="C588">_xlfn.XLOOKUP(A588,'Video Database'!L:L,'Video Database'!E:E,"")</f>
        <v>Account 3</v>
      </c>
      <c r="D588" s="99" t="str">
        <f t="array" ref="D588">_xlfn.XLOOKUP(A588,'Video Database'!L:L,'Video Database'!G:G,"")</f>
        <v>SNOW Diamond Tetth Whitening Strips</v>
      </c>
      <c r="E588" s="100">
        <f t="array" ref="E588">_xlfn.XLOOKUP(A588,'Video Database'!L:L,'Video Database'!H:H,"")</f>
        <v>0.7337</v>
      </c>
      <c r="F588" s="101">
        <v>0.0</v>
      </c>
      <c r="G588" s="87">
        <v>0.0</v>
      </c>
      <c r="H588" s="114">
        <f t="array" ref="H588">_xlfn.XLOOKUP(A588,'Video Database'!L:L,'Video Database'!A:A,"")</f>
        <v>46193</v>
      </c>
      <c r="I588" s="103">
        <v>46201.0</v>
      </c>
      <c r="J588" s="104">
        <v>0.0</v>
      </c>
      <c r="K588" s="105"/>
      <c r="L588" s="105" t="str">
        <f t="shared" si="1"/>
        <v/>
      </c>
      <c r="O588" s="106" t="str">
        <f t="shared" si="2"/>
        <v>#N/A</v>
      </c>
      <c r="P588" s="106" t="str">
        <f t="shared" si="3"/>
        <v>#N/A</v>
      </c>
      <c r="Q588" s="84" t="str">
        <f t="shared" si="4"/>
        <v>#N/A</v>
      </c>
      <c r="R588" s="84" t="str">
        <f t="shared" si="5"/>
        <v>#N/A</v>
      </c>
      <c r="S588" s="107">
        <f t="shared" si="6"/>
        <v>-0.7337</v>
      </c>
      <c r="T588" s="108">
        <f t="shared" si="7"/>
        <v>-1</v>
      </c>
      <c r="U588" s="106" t="str">
        <f t="shared" si="8"/>
        <v>#N/A</v>
      </c>
      <c r="V588" s="84" t="str">
        <f t="shared" si="9"/>
        <v/>
      </c>
      <c r="W588" s="109" t="str">
        <f t="shared" si="10"/>
        <v/>
      </c>
      <c r="X588" s="109" t="str">
        <f t="shared" si="11"/>
        <v/>
      </c>
      <c r="Y588" s="110" t="str">
        <f t="array" ref="Y588">_xlfn.XLOOKUP(A588,'Video Database'!L:L,'Video Database'!M:M,"")</f>
        <v>Bottom of Funnel</v>
      </c>
    </row>
    <row r="589" ht="22.5" customHeight="1">
      <c r="A589" s="113">
        <f t="shared" si="12"/>
        <v>588</v>
      </c>
      <c r="B589" s="98" t="str">
        <f t="array" ref="B589">_xlfn.XLOOKUP(A589,'Video Database'!L:L,'Video Database'!D:D,"")</f>
        <v>Erin</v>
      </c>
      <c r="C589" s="98" t="str">
        <f t="array" ref="C589">_xlfn.XLOOKUP(A589,'Video Database'!L:L,'Video Database'!E:E,"")</f>
        <v>Account 3</v>
      </c>
      <c r="D589" s="99" t="str">
        <f t="array" ref="D589">_xlfn.XLOOKUP(A589,'Video Database'!L:L,'Video Database'!G:G,"")</f>
        <v>LullaBites Natural Sleep Gummies</v>
      </c>
      <c r="E589" s="100">
        <f t="array" ref="E589">_xlfn.XLOOKUP(A589,'Video Database'!L:L,'Video Database'!H:H,"")</f>
        <v>0.7337</v>
      </c>
      <c r="F589" s="101">
        <v>11.86</v>
      </c>
      <c r="G589" s="87">
        <v>1.0</v>
      </c>
      <c r="H589" s="114">
        <f t="array" ref="H589">_xlfn.XLOOKUP(A589,'Video Database'!L:L,'Video Database'!A:A,"")</f>
        <v>46193</v>
      </c>
      <c r="I589" s="103">
        <v>46201.0</v>
      </c>
      <c r="J589" s="104">
        <v>2.27</v>
      </c>
      <c r="K589" s="87">
        <v>1.0</v>
      </c>
      <c r="L589" s="105">
        <f t="shared" si="1"/>
        <v>354</v>
      </c>
      <c r="M589" s="87">
        <v>354.0</v>
      </c>
      <c r="O589" s="106">
        <f t="shared" si="2"/>
        <v>0.002824858757</v>
      </c>
      <c r="P589" s="106">
        <f t="shared" si="3"/>
        <v>1</v>
      </c>
      <c r="Q589" s="84">
        <f t="shared" si="4"/>
        <v>2.27</v>
      </c>
      <c r="R589" s="84">
        <f t="shared" si="5"/>
        <v>11.86</v>
      </c>
      <c r="S589" s="107">
        <f t="shared" si="6"/>
        <v>1.5363</v>
      </c>
      <c r="T589" s="108">
        <f t="shared" si="7"/>
        <v>2.093907592</v>
      </c>
      <c r="U589" s="106">
        <f t="shared" si="8"/>
        <v>0.676784141</v>
      </c>
      <c r="V589" s="129">
        <f t="shared" si="9"/>
        <v>0.7337</v>
      </c>
      <c r="W589" s="109">
        <f t="shared" si="10"/>
        <v>0.7337</v>
      </c>
      <c r="X589" s="109">
        <f t="shared" si="11"/>
        <v>6.186340641</v>
      </c>
      <c r="Y589" s="110" t="str">
        <f t="array" ref="Y589">_xlfn.XLOOKUP(A589,'Video Database'!L:L,'Video Database'!M:M,"")</f>
        <v>Bottom of Funnel</v>
      </c>
    </row>
    <row r="590" ht="22.5" customHeight="1">
      <c r="A590" s="113">
        <f t="shared" si="12"/>
        <v>589</v>
      </c>
      <c r="B590" s="98" t="str">
        <f t="array" ref="B590">_xlfn.XLOOKUP(A590,'Video Database'!L:L,'Video Database'!D:D,"")</f>
        <v>Erin</v>
      </c>
      <c r="C590" s="98" t="str">
        <f t="array" ref="C590">_xlfn.XLOOKUP(A590,'Video Database'!L:L,'Video Database'!E:E,"")</f>
        <v>Account 3</v>
      </c>
      <c r="D590" s="99" t="str">
        <f t="array" ref="D590">_xlfn.XLOOKUP(A590,'Video Database'!L:L,'Video Database'!G:G,"")</f>
        <v>LullaBites Natural Sleep Gummies</v>
      </c>
      <c r="E590" s="100">
        <f t="array" ref="E590">_xlfn.XLOOKUP(A590,'Video Database'!L:L,'Video Database'!H:H,"")</f>
        <v>0.7337</v>
      </c>
      <c r="F590" s="101">
        <v>0.0</v>
      </c>
      <c r="G590" s="87">
        <v>0.0</v>
      </c>
      <c r="H590" s="114">
        <f t="array" ref="H590">_xlfn.XLOOKUP(A590,'Video Database'!L:L,'Video Database'!A:A,"")</f>
        <v>46193</v>
      </c>
      <c r="I590" s="103">
        <v>46201.0</v>
      </c>
      <c r="J590" s="104">
        <v>0.0</v>
      </c>
      <c r="K590" s="105"/>
      <c r="L590" s="105" t="str">
        <f t="shared" si="1"/>
        <v/>
      </c>
      <c r="O590" s="106" t="str">
        <f t="shared" si="2"/>
        <v>#N/A</v>
      </c>
      <c r="P590" s="106" t="str">
        <f t="shared" si="3"/>
        <v>#N/A</v>
      </c>
      <c r="Q590" s="84" t="str">
        <f t="shared" si="4"/>
        <v>#N/A</v>
      </c>
      <c r="R590" s="84" t="str">
        <f t="shared" si="5"/>
        <v>#N/A</v>
      </c>
      <c r="S590" s="107">
        <f t="shared" si="6"/>
        <v>-0.7337</v>
      </c>
      <c r="T590" s="108">
        <f t="shared" si="7"/>
        <v>-1</v>
      </c>
      <c r="U590" s="106" t="str">
        <f t="shared" si="8"/>
        <v>#N/A</v>
      </c>
      <c r="V590" s="84" t="str">
        <f t="shared" si="9"/>
        <v/>
      </c>
      <c r="W590" s="109" t="str">
        <f t="shared" si="10"/>
        <v/>
      </c>
      <c r="X590" s="109" t="str">
        <f t="shared" si="11"/>
        <v/>
      </c>
      <c r="Y590" s="110" t="str">
        <f t="array" ref="Y590">_xlfn.XLOOKUP(A590,'Video Database'!L:L,'Video Database'!M:M,"")</f>
        <v>Bottom of Funnel</v>
      </c>
    </row>
    <row r="591" ht="22.5" customHeight="1">
      <c r="A591" s="113">
        <f t="shared" si="12"/>
        <v>590</v>
      </c>
      <c r="B591" s="98" t="str">
        <f t="array" ref="B591">_xlfn.XLOOKUP(A591,'Video Database'!L:L,'Video Database'!D:D,"")</f>
        <v>Erin</v>
      </c>
      <c r="C591" s="98" t="str">
        <f t="array" ref="C591">_xlfn.XLOOKUP(A591,'Video Database'!L:L,'Video Database'!E:E,"")</f>
        <v>Account 3</v>
      </c>
      <c r="D591" s="99" t="str">
        <f t="array" ref="D591">_xlfn.XLOOKUP(A591,'Video Database'!L:L,'Video Database'!G:G,"")</f>
        <v>LullaBites Natural Sleep Gummies</v>
      </c>
      <c r="E591" s="100">
        <f t="array" ref="E591">_xlfn.XLOOKUP(A591,'Video Database'!L:L,'Video Database'!H:H,"")</f>
        <v>0.7337</v>
      </c>
      <c r="F591" s="101">
        <v>0.0</v>
      </c>
      <c r="G591" s="87">
        <v>0.0</v>
      </c>
      <c r="H591" s="114">
        <f t="array" ref="H591">_xlfn.XLOOKUP(A591,'Video Database'!L:L,'Video Database'!A:A,"")</f>
        <v>46193</v>
      </c>
      <c r="I591" s="103">
        <v>46201.0</v>
      </c>
      <c r="J591" s="104">
        <v>0.0</v>
      </c>
      <c r="K591" s="105"/>
      <c r="L591" s="105" t="str">
        <f t="shared" si="1"/>
        <v/>
      </c>
      <c r="O591" s="106" t="str">
        <f t="shared" si="2"/>
        <v>#N/A</v>
      </c>
      <c r="P591" s="106" t="str">
        <f t="shared" si="3"/>
        <v>#N/A</v>
      </c>
      <c r="Q591" s="84" t="str">
        <f t="shared" si="4"/>
        <v>#N/A</v>
      </c>
      <c r="R591" s="84" t="str">
        <f t="shared" si="5"/>
        <v>#N/A</v>
      </c>
      <c r="S591" s="107">
        <f t="shared" si="6"/>
        <v>-0.7337</v>
      </c>
      <c r="T591" s="108">
        <f t="shared" si="7"/>
        <v>-1</v>
      </c>
      <c r="U591" s="106" t="str">
        <f t="shared" si="8"/>
        <v>#N/A</v>
      </c>
      <c r="V591" s="84" t="str">
        <f t="shared" si="9"/>
        <v/>
      </c>
      <c r="W591" s="109" t="str">
        <f t="shared" si="10"/>
        <v/>
      </c>
      <c r="X591" s="109" t="str">
        <f t="shared" si="11"/>
        <v/>
      </c>
      <c r="Y591" s="110" t="str">
        <f t="array" ref="Y591">_xlfn.XLOOKUP(A591,'Video Database'!L:L,'Video Database'!M:M,"")</f>
        <v>Bottom of Funnel</v>
      </c>
    </row>
    <row r="592" ht="22.5" customHeight="1">
      <c r="A592" s="113">
        <f t="shared" si="12"/>
        <v>591</v>
      </c>
      <c r="B592" s="98" t="str">
        <f t="array" ref="B592">_xlfn.XLOOKUP(A592,'Video Database'!L:L,'Video Database'!D:D,"")</f>
        <v>Blakely</v>
      </c>
      <c r="C592" s="98" t="str">
        <f t="array" ref="C592">_xlfn.XLOOKUP(A592,'Video Database'!L:L,'Video Database'!E:E,"")</f>
        <v>Account 3</v>
      </c>
      <c r="D592" s="99" t="str">
        <f t="array" ref="D592">_xlfn.XLOOKUP(A592,'Video Database'!L:L,'Video Database'!G:G,"")</f>
        <v>Nutricost Creatine Monohydrate</v>
      </c>
      <c r="E592" s="100">
        <f t="array" ref="E592">_xlfn.XLOOKUP(A592,'Video Database'!L:L,'Video Database'!H:H,"")</f>
        <v>0.11</v>
      </c>
      <c r="F592" s="101">
        <v>0.0</v>
      </c>
      <c r="G592" s="87">
        <v>0.0</v>
      </c>
      <c r="H592" s="114">
        <f t="array" ref="H592">_xlfn.XLOOKUP(A592,'Video Database'!L:L,'Video Database'!A:A,"")</f>
        <v>46193</v>
      </c>
      <c r="I592" s="103">
        <v>46201.0</v>
      </c>
      <c r="J592" s="104">
        <v>0.0</v>
      </c>
      <c r="K592" s="105"/>
      <c r="L592" s="105" t="str">
        <f t="shared" si="1"/>
        <v/>
      </c>
      <c r="O592" s="106" t="str">
        <f t="shared" si="2"/>
        <v>#N/A</v>
      </c>
      <c r="P592" s="106" t="str">
        <f t="shared" si="3"/>
        <v>#N/A</v>
      </c>
      <c r="Q592" s="84" t="str">
        <f t="shared" si="4"/>
        <v>#N/A</v>
      </c>
      <c r="R592" s="84" t="str">
        <f t="shared" si="5"/>
        <v>#N/A</v>
      </c>
      <c r="S592" s="107">
        <f t="shared" si="6"/>
        <v>-0.11</v>
      </c>
      <c r="T592" s="108">
        <f t="shared" si="7"/>
        <v>-1</v>
      </c>
      <c r="U592" s="106" t="str">
        <f t="shared" si="8"/>
        <v>#N/A</v>
      </c>
      <c r="V592" s="84" t="str">
        <f t="shared" si="9"/>
        <v/>
      </c>
      <c r="W592" s="109" t="str">
        <f t="shared" si="10"/>
        <v/>
      </c>
      <c r="X592" s="109" t="str">
        <f t="shared" si="11"/>
        <v/>
      </c>
      <c r="Y592" s="110" t="str">
        <f t="array" ref="Y592">_xlfn.XLOOKUP(A592,'Video Database'!L:L,'Video Database'!M:M,"")</f>
        <v>Product Overlay</v>
      </c>
    </row>
    <row r="593" ht="22.5" customHeight="1">
      <c r="A593" s="113">
        <f t="shared" si="12"/>
        <v>592</v>
      </c>
      <c r="B593" s="98" t="str">
        <f t="array" ref="B593">_xlfn.XLOOKUP(A593,'Video Database'!L:L,'Video Database'!D:D,"")</f>
        <v>Blakely</v>
      </c>
      <c r="C593" s="98" t="str">
        <f t="array" ref="C593">_xlfn.XLOOKUP(A593,'Video Database'!L:L,'Video Database'!E:E,"")</f>
        <v>Account 3</v>
      </c>
      <c r="D593" s="99" t="str">
        <f t="array" ref="D593">_xlfn.XLOOKUP(A593,'Video Database'!L:L,'Video Database'!G:G,"")</f>
        <v>Goli Women's Complete Multi Gummy</v>
      </c>
      <c r="E593" s="100">
        <f t="array" ref="E593">_xlfn.XLOOKUP(A593,'Video Database'!L:L,'Video Database'!H:H,"")</f>
        <v>0.11</v>
      </c>
      <c r="F593" s="101">
        <v>0.0</v>
      </c>
      <c r="G593" s="87">
        <v>0.0</v>
      </c>
      <c r="H593" s="114">
        <f t="array" ref="H593">_xlfn.XLOOKUP(A593,'Video Database'!L:L,'Video Database'!A:A,"")</f>
        <v>46193</v>
      </c>
      <c r="I593" s="103">
        <v>46201.0</v>
      </c>
      <c r="J593" s="104">
        <v>0.0</v>
      </c>
      <c r="K593" s="105"/>
      <c r="L593" s="105" t="str">
        <f t="shared" si="1"/>
        <v/>
      </c>
      <c r="O593" s="106" t="str">
        <f t="shared" si="2"/>
        <v>#N/A</v>
      </c>
      <c r="P593" s="106" t="str">
        <f t="shared" si="3"/>
        <v>#N/A</v>
      </c>
      <c r="Q593" s="84" t="str">
        <f t="shared" si="4"/>
        <v>#N/A</v>
      </c>
      <c r="R593" s="84" t="str">
        <f t="shared" si="5"/>
        <v>#N/A</v>
      </c>
      <c r="S593" s="107">
        <f t="shared" si="6"/>
        <v>-0.11</v>
      </c>
      <c r="T593" s="108">
        <f t="shared" si="7"/>
        <v>-1</v>
      </c>
      <c r="U593" s="106" t="str">
        <f t="shared" si="8"/>
        <v>#N/A</v>
      </c>
      <c r="V593" s="84" t="str">
        <f t="shared" si="9"/>
        <v/>
      </c>
      <c r="W593" s="109" t="str">
        <f t="shared" si="10"/>
        <v/>
      </c>
      <c r="X593" s="109" t="str">
        <f t="shared" si="11"/>
        <v/>
      </c>
      <c r="Y593" s="110" t="str">
        <f t="array" ref="Y593">_xlfn.XLOOKUP(A593,'Video Database'!L:L,'Video Database'!M:M,"")</f>
        <v>Product Overlay</v>
      </c>
    </row>
    <row r="594" ht="22.5" customHeight="1">
      <c r="A594" s="113">
        <f t="shared" si="12"/>
        <v>593</v>
      </c>
      <c r="B594" s="98" t="str">
        <f t="array" ref="B594">_xlfn.XLOOKUP(A594,'Video Database'!L:L,'Video Database'!D:D,"")</f>
        <v>Blakely</v>
      </c>
      <c r="C594" s="98" t="str">
        <f t="array" ref="C594">_xlfn.XLOOKUP(A594,'Video Database'!L:L,'Video Database'!E:E,"")</f>
        <v>Account 3</v>
      </c>
      <c r="D594" s="99" t="str">
        <f t="array" ref="D594">_xlfn.XLOOKUP(A594,'Video Database'!L:L,'Video Database'!G:G,"")</f>
        <v>Goli Women's Complete Multi Gummy</v>
      </c>
      <c r="E594" s="100">
        <f t="array" ref="E594">_xlfn.XLOOKUP(A594,'Video Database'!L:L,'Video Database'!H:H,"")</f>
        <v>0.11</v>
      </c>
      <c r="F594" s="101">
        <v>0.0</v>
      </c>
      <c r="G594" s="87">
        <v>0.0</v>
      </c>
      <c r="H594" s="114">
        <f t="array" ref="H594">_xlfn.XLOOKUP(A594,'Video Database'!L:L,'Video Database'!A:A,"")</f>
        <v>46193</v>
      </c>
      <c r="I594" s="103">
        <v>46201.0</v>
      </c>
      <c r="J594" s="104">
        <v>0.0</v>
      </c>
      <c r="K594" s="105"/>
      <c r="L594" s="105" t="str">
        <f t="shared" si="1"/>
        <v/>
      </c>
      <c r="O594" s="106" t="str">
        <f t="shared" si="2"/>
        <v>#N/A</v>
      </c>
      <c r="P594" s="106" t="str">
        <f t="shared" si="3"/>
        <v>#N/A</v>
      </c>
      <c r="Q594" s="84" t="str">
        <f t="shared" si="4"/>
        <v>#N/A</v>
      </c>
      <c r="R594" s="84" t="str">
        <f t="shared" si="5"/>
        <v>#N/A</v>
      </c>
      <c r="S594" s="107">
        <f t="shared" si="6"/>
        <v>-0.11</v>
      </c>
      <c r="T594" s="108">
        <f t="shared" si="7"/>
        <v>-1</v>
      </c>
      <c r="U594" s="106" t="str">
        <f t="shared" si="8"/>
        <v>#N/A</v>
      </c>
      <c r="V594" s="84" t="str">
        <f t="shared" si="9"/>
        <v/>
      </c>
      <c r="W594" s="109" t="str">
        <f t="shared" si="10"/>
        <v/>
      </c>
      <c r="X594" s="109" t="str">
        <f t="shared" si="11"/>
        <v/>
      </c>
      <c r="Y594" s="110" t="str">
        <f t="array" ref="Y594">_xlfn.XLOOKUP(A594,'Video Database'!L:L,'Video Database'!M:M,"")</f>
        <v>Product Overlay</v>
      </c>
    </row>
    <row r="595" ht="22.5" customHeight="1">
      <c r="A595" s="113">
        <f t="shared" si="12"/>
        <v>594</v>
      </c>
      <c r="B595" s="98" t="str">
        <f t="array" ref="B595">_xlfn.XLOOKUP(A595,'Video Database'!L:L,'Video Database'!D:D,"")</f>
        <v>Blakely</v>
      </c>
      <c r="C595" s="98" t="str">
        <f t="array" ref="C595">_xlfn.XLOOKUP(A595,'Video Database'!L:L,'Video Database'!E:E,"")</f>
        <v>Account 3</v>
      </c>
      <c r="D595" s="99" t="str">
        <f t="array" ref="D595">_xlfn.XLOOKUP(A595,'Video Database'!L:L,'Video Database'!G:G,"")</f>
        <v>Nello Supercalm Drink Mix</v>
      </c>
      <c r="E595" s="100">
        <f t="array" ref="E595">_xlfn.XLOOKUP(A595,'Video Database'!L:L,'Video Database'!H:H,"")</f>
        <v>0.11</v>
      </c>
      <c r="F595" s="101">
        <v>0.0</v>
      </c>
      <c r="G595" s="87">
        <v>0.0</v>
      </c>
      <c r="H595" s="114">
        <f t="array" ref="H595">_xlfn.XLOOKUP(A595,'Video Database'!L:L,'Video Database'!A:A,"")</f>
        <v>46193</v>
      </c>
      <c r="I595" s="103">
        <v>46201.0</v>
      </c>
      <c r="J595" s="104">
        <v>0.0</v>
      </c>
      <c r="K595" s="105"/>
      <c r="L595" s="105" t="str">
        <f t="shared" si="1"/>
        <v/>
      </c>
      <c r="O595" s="106" t="str">
        <f t="shared" si="2"/>
        <v>#N/A</v>
      </c>
      <c r="P595" s="106" t="str">
        <f t="shared" si="3"/>
        <v>#N/A</v>
      </c>
      <c r="Q595" s="84" t="str">
        <f t="shared" si="4"/>
        <v>#N/A</v>
      </c>
      <c r="R595" s="84" t="str">
        <f t="shared" si="5"/>
        <v>#N/A</v>
      </c>
      <c r="S595" s="107">
        <f t="shared" si="6"/>
        <v>-0.11</v>
      </c>
      <c r="T595" s="108">
        <f t="shared" si="7"/>
        <v>-1</v>
      </c>
      <c r="U595" s="106" t="str">
        <f t="shared" si="8"/>
        <v>#N/A</v>
      </c>
      <c r="V595" s="84" t="str">
        <f t="shared" si="9"/>
        <v/>
      </c>
      <c r="W595" s="109" t="str">
        <f t="shared" si="10"/>
        <v/>
      </c>
      <c r="X595" s="109" t="str">
        <f t="shared" si="11"/>
        <v/>
      </c>
      <c r="Y595" s="110" t="str">
        <f t="array" ref="Y595">_xlfn.XLOOKUP(A595,'Video Database'!L:L,'Video Database'!M:M,"")</f>
        <v>Product Overlay</v>
      </c>
    </row>
    <row r="596" ht="22.5" customHeight="1">
      <c r="A596" s="113">
        <f t="shared" si="12"/>
        <v>595</v>
      </c>
      <c r="B596" s="98" t="str">
        <f t="array" ref="B596">_xlfn.XLOOKUP(A596,'Video Database'!L:L,'Video Database'!D:D,"")</f>
        <v>Blakely</v>
      </c>
      <c r="C596" s="98" t="str">
        <f t="array" ref="C596">_xlfn.XLOOKUP(A596,'Video Database'!L:L,'Video Database'!E:E,"")</f>
        <v>Account 3</v>
      </c>
      <c r="D596" s="99" t="str">
        <f t="array" ref="D596">_xlfn.XLOOKUP(A596,'Video Database'!L:L,'Video Database'!G:G,"")</f>
        <v>Squish Energy Preworkout Jello Shots</v>
      </c>
      <c r="E596" s="100">
        <f t="array" ref="E596">_xlfn.XLOOKUP(A596,'Video Database'!L:L,'Video Database'!H:H,"")</f>
        <v>0.11</v>
      </c>
      <c r="F596" s="101">
        <v>0.0</v>
      </c>
      <c r="G596" s="87">
        <v>0.0</v>
      </c>
      <c r="H596" s="114">
        <f t="array" ref="H596">_xlfn.XLOOKUP(A596,'Video Database'!L:L,'Video Database'!A:A,"")</f>
        <v>46193</v>
      </c>
      <c r="I596" s="103">
        <v>46201.0</v>
      </c>
      <c r="J596" s="104">
        <v>0.0</v>
      </c>
      <c r="K596" s="105"/>
      <c r="L596" s="105" t="str">
        <f t="shared" si="1"/>
        <v/>
      </c>
      <c r="O596" s="106" t="str">
        <f t="shared" si="2"/>
        <v>#N/A</v>
      </c>
      <c r="P596" s="106" t="str">
        <f t="shared" si="3"/>
        <v>#N/A</v>
      </c>
      <c r="Q596" s="84" t="str">
        <f t="shared" si="4"/>
        <v>#N/A</v>
      </c>
      <c r="R596" s="84" t="str">
        <f t="shared" si="5"/>
        <v>#N/A</v>
      </c>
      <c r="S596" s="107">
        <f t="shared" si="6"/>
        <v>-0.11</v>
      </c>
      <c r="T596" s="108">
        <f t="shared" si="7"/>
        <v>-1</v>
      </c>
      <c r="U596" s="106" t="str">
        <f t="shared" si="8"/>
        <v>#N/A</v>
      </c>
      <c r="V596" s="84" t="str">
        <f t="shared" si="9"/>
        <v/>
      </c>
      <c r="W596" s="109" t="str">
        <f t="shared" si="10"/>
        <v/>
      </c>
      <c r="X596" s="109" t="str">
        <f t="shared" si="11"/>
        <v/>
      </c>
      <c r="Y596" s="110" t="str">
        <f t="array" ref="Y596">_xlfn.XLOOKUP(A596,'Video Database'!L:L,'Video Database'!M:M,"")</f>
        <v>Product Overlay</v>
      </c>
    </row>
    <row r="597" ht="22.5" customHeight="1">
      <c r="A597" s="113">
        <f t="shared" si="12"/>
        <v>596</v>
      </c>
      <c r="B597" s="98" t="str">
        <f t="array" ref="B597">_xlfn.XLOOKUP(A597,'Video Database'!L:L,'Video Database'!D:D,"")</f>
        <v>Erin</v>
      </c>
      <c r="C597" s="98" t="str">
        <f t="array" ref="C597">_xlfn.XLOOKUP(A597,'Video Database'!L:L,'Video Database'!E:E,"")</f>
        <v>Account 4</v>
      </c>
      <c r="D597" s="99" t="str">
        <f t="array" ref="D597">_xlfn.XLOOKUP(A597,'Video Database'!L:L,'Video Database'!G:G,"")</f>
        <v>LullaBites Natural Sleep Gummies</v>
      </c>
      <c r="E597" s="100">
        <f t="array" ref="E597">_xlfn.XLOOKUP(A597,'Video Database'!L:L,'Video Database'!H:H,"")</f>
        <v>0.7337</v>
      </c>
      <c r="F597" s="101">
        <v>0.0</v>
      </c>
      <c r="G597" s="87">
        <v>0.0</v>
      </c>
      <c r="H597" s="114">
        <f t="array" ref="H597">_xlfn.XLOOKUP(A597,'Video Database'!L:L,'Video Database'!A:A,"")</f>
        <v>46193</v>
      </c>
      <c r="I597" s="103">
        <v>46201.0</v>
      </c>
      <c r="J597" s="104">
        <v>0.0</v>
      </c>
      <c r="K597" s="105"/>
      <c r="L597" s="105" t="str">
        <f t="shared" si="1"/>
        <v/>
      </c>
      <c r="O597" s="106" t="str">
        <f t="shared" si="2"/>
        <v>#N/A</v>
      </c>
      <c r="P597" s="106" t="str">
        <f t="shared" si="3"/>
        <v>#N/A</v>
      </c>
      <c r="Q597" s="84" t="str">
        <f t="shared" si="4"/>
        <v>#N/A</v>
      </c>
      <c r="R597" s="84" t="str">
        <f t="shared" si="5"/>
        <v>#N/A</v>
      </c>
      <c r="S597" s="107">
        <f t="shared" si="6"/>
        <v>-0.7337</v>
      </c>
      <c r="T597" s="108">
        <f t="shared" si="7"/>
        <v>-1</v>
      </c>
      <c r="U597" s="106" t="str">
        <f t="shared" si="8"/>
        <v>#N/A</v>
      </c>
      <c r="V597" s="84" t="str">
        <f t="shared" si="9"/>
        <v/>
      </c>
      <c r="W597" s="109" t="str">
        <f t="shared" si="10"/>
        <v/>
      </c>
      <c r="X597" s="109" t="str">
        <f t="shared" si="11"/>
        <v/>
      </c>
      <c r="Y597" s="110" t="str">
        <f t="array" ref="Y597">_xlfn.XLOOKUP(A597,'Video Database'!L:L,'Video Database'!M:M,"")</f>
        <v>Bottom of Funnel</v>
      </c>
    </row>
    <row r="598" ht="22.5" customHeight="1">
      <c r="A598" s="113">
        <f t="shared" si="12"/>
        <v>597</v>
      </c>
      <c r="B598" s="98" t="str">
        <f t="array" ref="B598">_xlfn.XLOOKUP(A598,'Video Database'!L:L,'Video Database'!D:D,"")</f>
        <v>Erin</v>
      </c>
      <c r="C598" s="98" t="str">
        <f t="array" ref="C598">_xlfn.XLOOKUP(A598,'Video Database'!L:L,'Video Database'!E:E,"")</f>
        <v>Account 4</v>
      </c>
      <c r="D598" s="99" t="str">
        <f t="array" ref="D598">_xlfn.XLOOKUP(A598,'Video Database'!L:L,'Video Database'!G:G,"")</f>
        <v>SNOW Diamond Tetth Whitening Strips</v>
      </c>
      <c r="E598" s="100">
        <f t="array" ref="E598">_xlfn.XLOOKUP(A598,'Video Database'!L:L,'Video Database'!H:H,"")</f>
        <v>0.7337</v>
      </c>
      <c r="F598" s="101">
        <v>0.0</v>
      </c>
      <c r="G598" s="87">
        <v>0.0</v>
      </c>
      <c r="H598" s="114">
        <f t="array" ref="H598">_xlfn.XLOOKUP(A598,'Video Database'!L:L,'Video Database'!A:A,"")</f>
        <v>46193</v>
      </c>
      <c r="I598" s="103">
        <v>46201.0</v>
      </c>
      <c r="J598" s="104">
        <v>0.0</v>
      </c>
      <c r="K598" s="105"/>
      <c r="L598" s="105" t="str">
        <f t="shared" si="1"/>
        <v/>
      </c>
      <c r="O598" s="106" t="str">
        <f t="shared" si="2"/>
        <v>#N/A</v>
      </c>
      <c r="P598" s="106" t="str">
        <f t="shared" si="3"/>
        <v>#N/A</v>
      </c>
      <c r="Q598" s="84" t="str">
        <f t="shared" si="4"/>
        <v>#N/A</v>
      </c>
      <c r="R598" s="84" t="str">
        <f t="shared" si="5"/>
        <v>#N/A</v>
      </c>
      <c r="S598" s="107">
        <f t="shared" si="6"/>
        <v>-0.7337</v>
      </c>
      <c r="T598" s="108">
        <f t="shared" si="7"/>
        <v>-1</v>
      </c>
      <c r="U598" s="106" t="str">
        <f t="shared" si="8"/>
        <v>#N/A</v>
      </c>
      <c r="V598" s="84" t="str">
        <f t="shared" si="9"/>
        <v/>
      </c>
      <c r="W598" s="109" t="str">
        <f t="shared" si="10"/>
        <v/>
      </c>
      <c r="X598" s="109" t="str">
        <f t="shared" si="11"/>
        <v/>
      </c>
      <c r="Y598" s="110" t="str">
        <f t="array" ref="Y598">_xlfn.XLOOKUP(A598,'Video Database'!L:L,'Video Database'!M:M,"")</f>
        <v>Bottom of Funnel</v>
      </c>
    </row>
    <row r="599" ht="22.5" customHeight="1">
      <c r="A599" s="113">
        <f t="shared" si="12"/>
        <v>598</v>
      </c>
      <c r="B599" s="98" t="str">
        <f t="array" ref="B599">_xlfn.XLOOKUP(A599,'Video Database'!L:L,'Video Database'!D:D,"")</f>
        <v>Erin</v>
      </c>
      <c r="C599" s="98" t="str">
        <f t="array" ref="C599">_xlfn.XLOOKUP(A599,'Video Database'!L:L,'Video Database'!E:E,"")</f>
        <v>Account 4</v>
      </c>
      <c r="D599" s="99" t="str">
        <f t="array" ref="D599">_xlfn.XLOOKUP(A599,'Video Database'!L:L,'Video Database'!G:G,"")</f>
        <v>SNOW Diamond Tetth Whitening Strips</v>
      </c>
      <c r="E599" s="100">
        <f t="array" ref="E599">_xlfn.XLOOKUP(A599,'Video Database'!L:L,'Video Database'!H:H,"")</f>
        <v>0.7337</v>
      </c>
      <c r="F599" s="101">
        <v>0.0</v>
      </c>
      <c r="G599" s="87">
        <v>0.0</v>
      </c>
      <c r="H599" s="114">
        <f t="array" ref="H599">_xlfn.XLOOKUP(A599,'Video Database'!L:L,'Video Database'!A:A,"")</f>
        <v>46193</v>
      </c>
      <c r="I599" s="103">
        <v>46201.0</v>
      </c>
      <c r="J599" s="104">
        <v>0.0</v>
      </c>
      <c r="K599" s="105"/>
      <c r="L599" s="105" t="str">
        <f t="shared" si="1"/>
        <v/>
      </c>
      <c r="O599" s="106" t="str">
        <f t="shared" si="2"/>
        <v>#N/A</v>
      </c>
      <c r="P599" s="106" t="str">
        <f t="shared" si="3"/>
        <v>#N/A</v>
      </c>
      <c r="Q599" s="84" t="str">
        <f t="shared" si="4"/>
        <v>#N/A</v>
      </c>
      <c r="R599" s="84" t="str">
        <f t="shared" si="5"/>
        <v>#N/A</v>
      </c>
      <c r="S599" s="107">
        <f t="shared" si="6"/>
        <v>-0.7337</v>
      </c>
      <c r="T599" s="108">
        <f t="shared" si="7"/>
        <v>-1</v>
      </c>
      <c r="U599" s="106" t="str">
        <f t="shared" si="8"/>
        <v>#N/A</v>
      </c>
      <c r="V599" s="84" t="str">
        <f t="shared" si="9"/>
        <v/>
      </c>
      <c r="W599" s="109" t="str">
        <f t="shared" si="10"/>
        <v/>
      </c>
      <c r="X599" s="109" t="str">
        <f t="shared" si="11"/>
        <v/>
      </c>
      <c r="Y599" s="110" t="str">
        <f t="array" ref="Y599">_xlfn.XLOOKUP(A599,'Video Database'!L:L,'Video Database'!M:M,"")</f>
        <v>Bottom of Funnel</v>
      </c>
    </row>
    <row r="600" ht="22.5" customHeight="1">
      <c r="A600" s="113">
        <f t="shared" si="12"/>
        <v>599</v>
      </c>
      <c r="B600" s="98" t="str">
        <f t="array" ref="B600">_xlfn.XLOOKUP(A600,'Video Database'!L:L,'Video Database'!D:D,"")</f>
        <v>Erin</v>
      </c>
      <c r="C600" s="98" t="str">
        <f t="array" ref="C600">_xlfn.XLOOKUP(A600,'Video Database'!L:L,'Video Database'!E:E,"")</f>
        <v>Account 4</v>
      </c>
      <c r="D600" s="99" t="str">
        <f t="array" ref="D600">_xlfn.XLOOKUP(A600,'Video Database'!L:L,'Video Database'!G:G,"")</f>
        <v>SNOW Diamond Tetth Whitening Strips</v>
      </c>
      <c r="E600" s="100">
        <f t="array" ref="E600">_xlfn.XLOOKUP(A600,'Video Database'!L:L,'Video Database'!H:H,"")</f>
        <v>0.7337</v>
      </c>
      <c r="F600" s="101">
        <v>0.0</v>
      </c>
      <c r="G600" s="87">
        <v>0.0</v>
      </c>
      <c r="H600" s="114">
        <f t="array" ref="H600">_xlfn.XLOOKUP(A600,'Video Database'!L:L,'Video Database'!A:A,"")</f>
        <v>46193</v>
      </c>
      <c r="I600" s="103">
        <v>46201.0</v>
      </c>
      <c r="J600" s="104">
        <v>0.0</v>
      </c>
      <c r="K600" s="105"/>
      <c r="L600" s="105" t="str">
        <f t="shared" si="1"/>
        <v/>
      </c>
      <c r="O600" s="106" t="str">
        <f t="shared" si="2"/>
        <v>#N/A</v>
      </c>
      <c r="P600" s="106" t="str">
        <f t="shared" si="3"/>
        <v>#N/A</v>
      </c>
      <c r="Q600" s="84" t="str">
        <f t="shared" si="4"/>
        <v>#N/A</v>
      </c>
      <c r="R600" s="84" t="str">
        <f t="shared" si="5"/>
        <v>#N/A</v>
      </c>
      <c r="S600" s="107">
        <f t="shared" si="6"/>
        <v>-0.7337</v>
      </c>
      <c r="T600" s="108">
        <f t="shared" si="7"/>
        <v>-1</v>
      </c>
      <c r="U600" s="106" t="str">
        <f t="shared" si="8"/>
        <v>#N/A</v>
      </c>
      <c r="V600" s="84" t="str">
        <f t="shared" si="9"/>
        <v/>
      </c>
      <c r="W600" s="109" t="str">
        <f t="shared" si="10"/>
        <v/>
      </c>
      <c r="X600" s="109" t="str">
        <f t="shared" si="11"/>
        <v/>
      </c>
      <c r="Y600" s="110" t="str">
        <f t="array" ref="Y600">_xlfn.XLOOKUP(A600,'Video Database'!L:L,'Video Database'!M:M,"")</f>
        <v>Bottom of Funnel</v>
      </c>
    </row>
    <row r="601" ht="22.5" customHeight="1">
      <c r="A601" s="113">
        <f t="shared" si="12"/>
        <v>600</v>
      </c>
      <c r="B601" s="98" t="str">
        <f t="array" ref="B601">_xlfn.XLOOKUP(A601,'Video Database'!L:L,'Video Database'!D:D,"")</f>
        <v>Erin</v>
      </c>
      <c r="C601" s="98" t="str">
        <f t="array" ref="C601">_xlfn.XLOOKUP(A601,'Video Database'!L:L,'Video Database'!E:E,"")</f>
        <v>Account 4</v>
      </c>
      <c r="D601" s="99" t="str">
        <f t="array" ref="D601">_xlfn.XLOOKUP(A601,'Video Database'!L:L,'Video Database'!G:G,"")</f>
        <v>SNOW Diamond Tetth Whitening Strips</v>
      </c>
      <c r="E601" s="100">
        <f t="array" ref="E601">_xlfn.XLOOKUP(A601,'Video Database'!L:L,'Video Database'!H:H,"")</f>
        <v>0.7337</v>
      </c>
      <c r="F601" s="101">
        <v>0.0</v>
      </c>
      <c r="G601" s="87">
        <v>0.0</v>
      </c>
      <c r="H601" s="114">
        <f t="array" ref="H601">_xlfn.XLOOKUP(A601,'Video Database'!L:L,'Video Database'!A:A,"")</f>
        <v>46193</v>
      </c>
      <c r="I601" s="103">
        <v>46201.0</v>
      </c>
      <c r="J601" s="104">
        <v>0.0</v>
      </c>
      <c r="K601" s="105"/>
      <c r="L601" s="105" t="str">
        <f t="shared" si="1"/>
        <v/>
      </c>
      <c r="O601" s="106" t="str">
        <f t="shared" si="2"/>
        <v>#N/A</v>
      </c>
      <c r="P601" s="106" t="str">
        <f t="shared" si="3"/>
        <v>#N/A</v>
      </c>
      <c r="Q601" s="84" t="str">
        <f t="shared" si="4"/>
        <v>#N/A</v>
      </c>
      <c r="R601" s="84" t="str">
        <f t="shared" si="5"/>
        <v>#N/A</v>
      </c>
      <c r="S601" s="107">
        <f t="shared" si="6"/>
        <v>-0.7337</v>
      </c>
      <c r="T601" s="108">
        <f t="shared" si="7"/>
        <v>-1</v>
      </c>
      <c r="U601" s="106" t="str">
        <f t="shared" si="8"/>
        <v>#N/A</v>
      </c>
      <c r="V601" s="84" t="str">
        <f t="shared" si="9"/>
        <v/>
      </c>
      <c r="W601" s="109" t="str">
        <f t="shared" si="10"/>
        <v/>
      </c>
      <c r="X601" s="109" t="str">
        <f t="shared" si="11"/>
        <v/>
      </c>
      <c r="Y601" s="110" t="str">
        <f t="array" ref="Y601">_xlfn.XLOOKUP(A601,'Video Database'!L:L,'Video Database'!M:M,"")</f>
        <v>Bottom of Funnel</v>
      </c>
    </row>
    <row r="602" ht="22.5" customHeight="1">
      <c r="A602" s="113">
        <f t="shared" si="12"/>
        <v>601</v>
      </c>
      <c r="B602" s="98" t="str">
        <f t="array" ref="B602">_xlfn.XLOOKUP(A602,'Video Database'!L:L,'Video Database'!D:D,"")</f>
        <v>Erin</v>
      </c>
      <c r="C602" s="98" t="str">
        <f t="array" ref="C602">_xlfn.XLOOKUP(A602,'Video Database'!L:L,'Video Database'!E:E,"")</f>
        <v>Account 4</v>
      </c>
      <c r="D602" s="99" t="str">
        <f t="array" ref="D602">_xlfn.XLOOKUP(A602,'Video Database'!L:L,'Video Database'!G:G,"")</f>
        <v>SNOW Diamond Tetth Whitening Strips</v>
      </c>
      <c r="E602" s="100">
        <f t="array" ref="E602">_xlfn.XLOOKUP(A602,'Video Database'!L:L,'Video Database'!H:H,"")</f>
        <v>0.7337</v>
      </c>
      <c r="F602" s="101">
        <v>0.0</v>
      </c>
      <c r="G602" s="87">
        <v>0.0</v>
      </c>
      <c r="H602" s="114">
        <f t="array" ref="H602">_xlfn.XLOOKUP(A602,'Video Database'!L:L,'Video Database'!A:A,"")</f>
        <v>46193</v>
      </c>
      <c r="I602" s="103">
        <v>46201.0</v>
      </c>
      <c r="J602" s="104">
        <v>0.0</v>
      </c>
      <c r="K602" s="105"/>
      <c r="L602" s="105" t="str">
        <f t="shared" si="1"/>
        <v/>
      </c>
      <c r="O602" s="106" t="str">
        <f t="shared" si="2"/>
        <v>#N/A</v>
      </c>
      <c r="P602" s="106" t="str">
        <f t="shared" si="3"/>
        <v>#N/A</v>
      </c>
      <c r="Q602" s="84" t="str">
        <f t="shared" si="4"/>
        <v>#N/A</v>
      </c>
      <c r="R602" s="84" t="str">
        <f t="shared" si="5"/>
        <v>#N/A</v>
      </c>
      <c r="S602" s="107">
        <f t="shared" si="6"/>
        <v>-0.7337</v>
      </c>
      <c r="T602" s="108">
        <f t="shared" si="7"/>
        <v>-1</v>
      </c>
      <c r="U602" s="106" t="str">
        <f t="shared" si="8"/>
        <v>#N/A</v>
      </c>
      <c r="V602" s="84" t="str">
        <f t="shared" si="9"/>
        <v/>
      </c>
      <c r="W602" s="109" t="str">
        <f t="shared" si="10"/>
        <v/>
      </c>
      <c r="X602" s="109" t="str">
        <f t="shared" si="11"/>
        <v/>
      </c>
      <c r="Y602" s="110" t="str">
        <f t="array" ref="Y602">_xlfn.XLOOKUP(A602,'Video Database'!L:L,'Video Database'!M:M,"")</f>
        <v>Bottom of Funnel</v>
      </c>
    </row>
    <row r="603" ht="22.5" customHeight="1">
      <c r="A603" s="113">
        <f t="shared" si="12"/>
        <v>602</v>
      </c>
      <c r="B603" s="98" t="str">
        <f t="array" ref="B603">_xlfn.XLOOKUP(A603,'Video Database'!L:L,'Video Database'!D:D,"")</f>
        <v>Erin</v>
      </c>
      <c r="C603" s="98" t="str">
        <f t="array" ref="C603">_xlfn.XLOOKUP(A603,'Video Database'!L:L,'Video Database'!E:E,"")</f>
        <v>Account 4</v>
      </c>
      <c r="D603" s="99" t="str">
        <f t="array" ref="D603">_xlfn.XLOOKUP(A603,'Video Database'!L:L,'Video Database'!G:G,"")</f>
        <v>LullaBites Natural Sleep Gummies</v>
      </c>
      <c r="E603" s="100">
        <f t="array" ref="E603">_xlfn.XLOOKUP(A603,'Video Database'!L:L,'Video Database'!H:H,"")</f>
        <v>0.7337</v>
      </c>
      <c r="F603" s="101">
        <v>0.0</v>
      </c>
      <c r="G603" s="87">
        <v>0.0</v>
      </c>
      <c r="H603" s="114">
        <f t="array" ref="H603">_xlfn.XLOOKUP(A603,'Video Database'!L:L,'Video Database'!A:A,"")</f>
        <v>46193</v>
      </c>
      <c r="I603" s="103">
        <v>46201.0</v>
      </c>
      <c r="J603" s="104">
        <v>0.0</v>
      </c>
      <c r="K603" s="105"/>
      <c r="L603" s="105" t="str">
        <f t="shared" si="1"/>
        <v/>
      </c>
      <c r="O603" s="106" t="str">
        <f t="shared" si="2"/>
        <v>#N/A</v>
      </c>
      <c r="P603" s="106" t="str">
        <f t="shared" si="3"/>
        <v>#N/A</v>
      </c>
      <c r="Q603" s="84" t="str">
        <f t="shared" si="4"/>
        <v>#N/A</v>
      </c>
      <c r="R603" s="84" t="str">
        <f t="shared" si="5"/>
        <v>#N/A</v>
      </c>
      <c r="S603" s="107">
        <f t="shared" si="6"/>
        <v>-0.7337</v>
      </c>
      <c r="T603" s="108">
        <f t="shared" si="7"/>
        <v>-1</v>
      </c>
      <c r="U603" s="106" t="str">
        <f t="shared" si="8"/>
        <v>#N/A</v>
      </c>
      <c r="V603" s="84" t="str">
        <f t="shared" si="9"/>
        <v/>
      </c>
      <c r="W603" s="109" t="str">
        <f t="shared" si="10"/>
        <v/>
      </c>
      <c r="X603" s="109" t="str">
        <f t="shared" si="11"/>
        <v/>
      </c>
      <c r="Y603" s="110" t="str">
        <f t="array" ref="Y603">_xlfn.XLOOKUP(A603,'Video Database'!L:L,'Video Database'!M:M,"")</f>
        <v>Bottom of Funnel</v>
      </c>
    </row>
    <row r="604" ht="22.5" customHeight="1">
      <c r="A604" s="113">
        <f t="shared" si="12"/>
        <v>603</v>
      </c>
      <c r="B604" s="98" t="str">
        <f t="array" ref="B604">_xlfn.XLOOKUP(A604,'Video Database'!L:L,'Video Database'!D:D,"")</f>
        <v>Erin</v>
      </c>
      <c r="C604" s="98" t="str">
        <f t="array" ref="C604">_xlfn.XLOOKUP(A604,'Video Database'!L:L,'Video Database'!E:E,"")</f>
        <v>Account 4</v>
      </c>
      <c r="D604" s="99" t="str">
        <f t="array" ref="D604">_xlfn.XLOOKUP(A604,'Video Database'!L:L,'Video Database'!G:G,"")</f>
        <v>LullaBites Natural Sleep Gummies</v>
      </c>
      <c r="E604" s="100">
        <f t="array" ref="E604">_xlfn.XLOOKUP(A604,'Video Database'!L:L,'Video Database'!H:H,"")</f>
        <v>0.7337</v>
      </c>
      <c r="F604" s="101">
        <v>0.0</v>
      </c>
      <c r="G604" s="87">
        <v>0.0</v>
      </c>
      <c r="H604" s="114">
        <f t="array" ref="H604">_xlfn.XLOOKUP(A604,'Video Database'!L:L,'Video Database'!A:A,"")</f>
        <v>46193</v>
      </c>
      <c r="I604" s="103">
        <v>46201.0</v>
      </c>
      <c r="J604" s="104">
        <v>0.0</v>
      </c>
      <c r="K604" s="105"/>
      <c r="L604" s="105" t="str">
        <f t="shared" si="1"/>
        <v/>
      </c>
      <c r="O604" s="106" t="str">
        <f t="shared" si="2"/>
        <v>#N/A</v>
      </c>
      <c r="P604" s="106" t="str">
        <f t="shared" si="3"/>
        <v>#N/A</v>
      </c>
      <c r="Q604" s="84" t="str">
        <f t="shared" si="4"/>
        <v>#N/A</v>
      </c>
      <c r="R604" s="84" t="str">
        <f t="shared" si="5"/>
        <v>#N/A</v>
      </c>
      <c r="S604" s="107">
        <f t="shared" si="6"/>
        <v>-0.7337</v>
      </c>
      <c r="T604" s="108">
        <f t="shared" si="7"/>
        <v>-1</v>
      </c>
      <c r="U604" s="106" t="str">
        <f t="shared" si="8"/>
        <v>#N/A</v>
      </c>
      <c r="V604" s="84" t="str">
        <f t="shared" si="9"/>
        <v/>
      </c>
      <c r="W604" s="109" t="str">
        <f t="shared" si="10"/>
        <v/>
      </c>
      <c r="X604" s="109" t="str">
        <f t="shared" si="11"/>
        <v/>
      </c>
      <c r="Y604" s="110" t="str">
        <f t="array" ref="Y604">_xlfn.XLOOKUP(A604,'Video Database'!L:L,'Video Database'!M:M,"")</f>
        <v>Bottom of Funnel</v>
      </c>
    </row>
    <row r="605" ht="22.5" customHeight="1">
      <c r="A605" s="113">
        <f t="shared" si="12"/>
        <v>604</v>
      </c>
      <c r="B605" s="98" t="str">
        <f t="array" ref="B605">_xlfn.XLOOKUP(A605,'Video Database'!L:L,'Video Database'!D:D,"")</f>
        <v>Erin</v>
      </c>
      <c r="C605" s="98" t="str">
        <f t="array" ref="C605">_xlfn.XLOOKUP(A605,'Video Database'!L:L,'Video Database'!E:E,"")</f>
        <v>Account 4</v>
      </c>
      <c r="D605" s="99" t="str">
        <f t="array" ref="D605">_xlfn.XLOOKUP(A605,'Video Database'!L:L,'Video Database'!G:G,"")</f>
        <v>LullaBites Natural Sleep Gummies</v>
      </c>
      <c r="E605" s="100">
        <f t="array" ref="E605">_xlfn.XLOOKUP(A605,'Video Database'!L:L,'Video Database'!H:H,"")</f>
        <v>0.7337</v>
      </c>
      <c r="F605" s="101">
        <v>0.0</v>
      </c>
      <c r="G605" s="87">
        <v>0.0</v>
      </c>
      <c r="H605" s="114">
        <f t="array" ref="H605">_xlfn.XLOOKUP(A605,'Video Database'!L:L,'Video Database'!A:A,"")</f>
        <v>46193</v>
      </c>
      <c r="I605" s="103">
        <v>46201.0</v>
      </c>
      <c r="J605" s="104">
        <v>0.0</v>
      </c>
      <c r="K605" s="105"/>
      <c r="L605" s="105" t="str">
        <f t="shared" si="1"/>
        <v/>
      </c>
      <c r="O605" s="106" t="str">
        <f t="shared" si="2"/>
        <v>#N/A</v>
      </c>
      <c r="P605" s="106" t="str">
        <f t="shared" si="3"/>
        <v>#N/A</v>
      </c>
      <c r="Q605" s="84" t="str">
        <f t="shared" si="4"/>
        <v>#N/A</v>
      </c>
      <c r="R605" s="84" t="str">
        <f t="shared" si="5"/>
        <v>#N/A</v>
      </c>
      <c r="S605" s="107">
        <f t="shared" si="6"/>
        <v>-0.7337</v>
      </c>
      <c r="T605" s="108">
        <f t="shared" si="7"/>
        <v>-1</v>
      </c>
      <c r="U605" s="106" t="str">
        <f t="shared" si="8"/>
        <v>#N/A</v>
      </c>
      <c r="V605" s="84" t="str">
        <f t="shared" si="9"/>
        <v/>
      </c>
      <c r="W605" s="109" t="str">
        <f t="shared" si="10"/>
        <v/>
      </c>
      <c r="X605" s="109" t="str">
        <f t="shared" si="11"/>
        <v/>
      </c>
      <c r="Y605" s="110" t="str">
        <f t="array" ref="Y605">_xlfn.XLOOKUP(A605,'Video Database'!L:L,'Video Database'!M:M,"")</f>
        <v>Bottom of Funnel</v>
      </c>
    </row>
    <row r="606" ht="22.5" customHeight="1">
      <c r="A606" s="113">
        <f t="shared" si="12"/>
        <v>605</v>
      </c>
      <c r="B606" s="98" t="str">
        <f t="array" ref="B606">_xlfn.XLOOKUP(A606,'Video Database'!L:L,'Video Database'!D:D,"")</f>
        <v>Erin</v>
      </c>
      <c r="C606" s="98" t="str">
        <f t="array" ref="C606">_xlfn.XLOOKUP(A606,'Video Database'!L:L,'Video Database'!E:E,"")</f>
        <v>Account 4</v>
      </c>
      <c r="D606" s="99" t="str">
        <f t="array" ref="D606">_xlfn.XLOOKUP(A606,'Video Database'!L:L,'Video Database'!G:G,"")</f>
        <v>LullaBites Natural Sleep Gummies</v>
      </c>
      <c r="E606" s="100">
        <f t="array" ref="E606">_xlfn.XLOOKUP(A606,'Video Database'!L:L,'Video Database'!H:H,"")</f>
        <v>0.7337</v>
      </c>
      <c r="F606" s="101">
        <v>0.0</v>
      </c>
      <c r="G606" s="87">
        <v>0.0</v>
      </c>
      <c r="H606" s="114">
        <f t="array" ref="H606">_xlfn.XLOOKUP(A606,'Video Database'!L:L,'Video Database'!A:A,"")</f>
        <v>46193</v>
      </c>
      <c r="I606" s="103">
        <v>46201.0</v>
      </c>
      <c r="J606" s="104">
        <v>0.0</v>
      </c>
      <c r="K606" s="105"/>
      <c r="L606" s="105" t="str">
        <f t="shared" si="1"/>
        <v/>
      </c>
      <c r="O606" s="106" t="str">
        <f t="shared" si="2"/>
        <v>#N/A</v>
      </c>
      <c r="P606" s="106" t="str">
        <f t="shared" si="3"/>
        <v>#N/A</v>
      </c>
      <c r="Q606" s="84" t="str">
        <f t="shared" si="4"/>
        <v>#N/A</v>
      </c>
      <c r="R606" s="84" t="str">
        <f t="shared" si="5"/>
        <v>#N/A</v>
      </c>
      <c r="S606" s="107">
        <f t="shared" si="6"/>
        <v>-0.7337</v>
      </c>
      <c r="T606" s="108">
        <f t="shared" si="7"/>
        <v>-1</v>
      </c>
      <c r="U606" s="106" t="str">
        <f t="shared" si="8"/>
        <v>#N/A</v>
      </c>
      <c r="V606" s="84" t="str">
        <f t="shared" si="9"/>
        <v/>
      </c>
      <c r="W606" s="109" t="str">
        <f t="shared" si="10"/>
        <v/>
      </c>
      <c r="X606" s="109" t="str">
        <f t="shared" si="11"/>
        <v/>
      </c>
      <c r="Y606" s="110" t="str">
        <f t="array" ref="Y606">_xlfn.XLOOKUP(A606,'Video Database'!L:L,'Video Database'!M:M,"")</f>
        <v>Bottom of Funnel</v>
      </c>
    </row>
    <row r="607" ht="22.5" customHeight="1">
      <c r="A607" s="113">
        <f t="shared" si="12"/>
        <v>606</v>
      </c>
      <c r="B607" s="98" t="str">
        <f t="array" ref="B607">_xlfn.XLOOKUP(A607,'Video Database'!L:L,'Video Database'!D:D,"")</f>
        <v>Erin</v>
      </c>
      <c r="C607" s="98" t="str">
        <f t="array" ref="C607">_xlfn.XLOOKUP(A607,'Video Database'!L:L,'Video Database'!E:E,"")</f>
        <v>Account 4</v>
      </c>
      <c r="D607" s="99" t="str">
        <f t="array" ref="D607">_xlfn.XLOOKUP(A607,'Video Database'!L:L,'Video Database'!G:G,"")</f>
        <v>LullaBites Natural Sleep Gummies</v>
      </c>
      <c r="E607" s="100">
        <f t="array" ref="E607">_xlfn.XLOOKUP(A607,'Video Database'!L:L,'Video Database'!H:H,"")</f>
        <v>0.7337</v>
      </c>
      <c r="F607" s="101">
        <v>0.0</v>
      </c>
      <c r="G607" s="87">
        <v>0.0</v>
      </c>
      <c r="H607" s="114">
        <f t="array" ref="H607">_xlfn.XLOOKUP(A607,'Video Database'!L:L,'Video Database'!A:A,"")</f>
        <v>46193</v>
      </c>
      <c r="I607" s="103">
        <v>46201.0</v>
      </c>
      <c r="J607" s="104">
        <v>0.0</v>
      </c>
      <c r="K607" s="105"/>
      <c r="L607" s="105" t="str">
        <f t="shared" si="1"/>
        <v/>
      </c>
      <c r="O607" s="106" t="str">
        <f t="shared" si="2"/>
        <v>#N/A</v>
      </c>
      <c r="P607" s="106" t="str">
        <f t="shared" si="3"/>
        <v>#N/A</v>
      </c>
      <c r="Q607" s="84" t="str">
        <f t="shared" si="4"/>
        <v>#N/A</v>
      </c>
      <c r="R607" s="84" t="str">
        <f t="shared" si="5"/>
        <v>#N/A</v>
      </c>
      <c r="S607" s="107">
        <f t="shared" si="6"/>
        <v>-0.7337</v>
      </c>
      <c r="T607" s="108">
        <f t="shared" si="7"/>
        <v>-1</v>
      </c>
      <c r="U607" s="106" t="str">
        <f t="shared" si="8"/>
        <v>#N/A</v>
      </c>
      <c r="V607" s="84" t="str">
        <f t="shared" si="9"/>
        <v/>
      </c>
      <c r="W607" s="109" t="str">
        <f t="shared" si="10"/>
        <v/>
      </c>
      <c r="X607" s="109" t="str">
        <f t="shared" si="11"/>
        <v/>
      </c>
      <c r="Y607" s="110" t="str">
        <f t="array" ref="Y607">_xlfn.XLOOKUP(A607,'Video Database'!L:L,'Video Database'!M:M,"")</f>
        <v>Bottom of Funnel</v>
      </c>
    </row>
    <row r="608" ht="22.5" customHeight="1">
      <c r="A608" s="113">
        <f t="shared" si="12"/>
        <v>607</v>
      </c>
      <c r="B608" s="98" t="str">
        <f t="array" ref="B608">_xlfn.XLOOKUP(A608,'Video Database'!L:L,'Video Database'!D:D,"")</f>
        <v>Blakely</v>
      </c>
      <c r="C608" s="98" t="str">
        <f t="array" ref="C608">_xlfn.XLOOKUP(A608,'Video Database'!L:L,'Video Database'!E:E,"")</f>
        <v>Account 4</v>
      </c>
      <c r="D608" s="99" t="str">
        <f t="array" ref="D608">_xlfn.XLOOKUP(A608,'Video Database'!L:L,'Video Database'!G:G,"")</f>
        <v>Nutricost Creatine Monohydrate</v>
      </c>
      <c r="E608" s="100">
        <f t="array" ref="E608">_xlfn.XLOOKUP(A608,'Video Database'!L:L,'Video Database'!H:H,"")</f>
        <v>0.11</v>
      </c>
      <c r="F608" s="101">
        <v>11.97</v>
      </c>
      <c r="G608" s="87">
        <v>1.0</v>
      </c>
      <c r="H608" s="114">
        <f t="array" ref="H608">_xlfn.XLOOKUP(A608,'Video Database'!L:L,'Video Database'!A:A,"")</f>
        <v>46193</v>
      </c>
      <c r="I608" s="103">
        <v>46201.0</v>
      </c>
      <c r="J608" s="104">
        <v>1.2</v>
      </c>
      <c r="K608" s="87">
        <v>9.0</v>
      </c>
      <c r="L608" s="105">
        <f t="shared" si="1"/>
        <v>3300</v>
      </c>
      <c r="M608" s="87">
        <v>3300.0</v>
      </c>
      <c r="O608" s="106">
        <f t="shared" si="2"/>
        <v>0.002727272727</v>
      </c>
      <c r="P608" s="106">
        <f t="shared" si="3"/>
        <v>0.1111111111</v>
      </c>
      <c r="Q608" s="84">
        <f t="shared" si="4"/>
        <v>1.2</v>
      </c>
      <c r="R608" s="84">
        <f t="shared" si="5"/>
        <v>11.97</v>
      </c>
      <c r="S608" s="107">
        <f t="shared" si="6"/>
        <v>1.09</v>
      </c>
      <c r="T608" s="108">
        <f t="shared" si="7"/>
        <v>9.909090909</v>
      </c>
      <c r="U608" s="106">
        <f t="shared" si="8"/>
        <v>0.9083333333</v>
      </c>
      <c r="V608" s="129">
        <f t="shared" si="9"/>
        <v>0.11</v>
      </c>
      <c r="W608" s="109">
        <f t="shared" si="10"/>
        <v>0.01222222222</v>
      </c>
      <c r="X608" s="109">
        <f t="shared" si="11"/>
        <v>0.9189640769</v>
      </c>
      <c r="Y608" s="110" t="str">
        <f t="array" ref="Y608">_xlfn.XLOOKUP(A608,'Video Database'!L:L,'Video Database'!M:M,"")</f>
        <v>Product Overlay</v>
      </c>
    </row>
    <row r="609" ht="22.5" customHeight="1">
      <c r="A609" s="113">
        <f t="shared" si="12"/>
        <v>608</v>
      </c>
      <c r="B609" s="98" t="str">
        <f t="array" ref="B609">_xlfn.XLOOKUP(A609,'Video Database'!L:L,'Video Database'!D:D,"")</f>
        <v>Blakely</v>
      </c>
      <c r="C609" s="98" t="str">
        <f t="array" ref="C609">_xlfn.XLOOKUP(A609,'Video Database'!L:L,'Video Database'!E:E,"")</f>
        <v>Account 4</v>
      </c>
      <c r="D609" s="99" t="str">
        <f t="array" ref="D609">_xlfn.XLOOKUP(A609,'Video Database'!L:L,'Video Database'!G:G,"")</f>
        <v>Goli Women's Complete Multi Gummy</v>
      </c>
      <c r="E609" s="100">
        <f t="array" ref="E609">_xlfn.XLOOKUP(A609,'Video Database'!L:L,'Video Database'!H:H,"")</f>
        <v>0.11</v>
      </c>
      <c r="F609" s="101">
        <v>14.17</v>
      </c>
      <c r="G609" s="87">
        <v>1.0</v>
      </c>
      <c r="H609" s="114">
        <f t="array" ref="H609">_xlfn.XLOOKUP(A609,'Video Database'!L:L,'Video Database'!A:A,"")</f>
        <v>46193</v>
      </c>
      <c r="I609" s="103">
        <v>46201.0</v>
      </c>
      <c r="J609" s="104">
        <v>3.75</v>
      </c>
      <c r="K609" s="87">
        <v>18.0</v>
      </c>
      <c r="L609" s="105">
        <f t="shared" si="1"/>
        <v>1100</v>
      </c>
      <c r="M609" s="87">
        <v>1100.0</v>
      </c>
      <c r="O609" s="106">
        <f t="shared" si="2"/>
        <v>0.01636363636</v>
      </c>
      <c r="P609" s="106">
        <f t="shared" si="3"/>
        <v>0.05555555556</v>
      </c>
      <c r="Q609" s="84">
        <f t="shared" si="4"/>
        <v>3.75</v>
      </c>
      <c r="R609" s="84">
        <f t="shared" si="5"/>
        <v>14.17</v>
      </c>
      <c r="S609" s="107">
        <f t="shared" si="6"/>
        <v>3.64</v>
      </c>
      <c r="T609" s="108">
        <f t="shared" si="7"/>
        <v>33.09090909</v>
      </c>
      <c r="U609" s="106">
        <f t="shared" si="8"/>
        <v>0.9706666667</v>
      </c>
      <c r="V609" s="129">
        <f t="shared" si="9"/>
        <v>0.11</v>
      </c>
      <c r="W609" s="109">
        <f t="shared" si="10"/>
        <v>0.006111111111</v>
      </c>
      <c r="X609" s="109">
        <f t="shared" si="11"/>
        <v>0.7762879323</v>
      </c>
      <c r="Y609" s="110" t="str">
        <f t="array" ref="Y609">_xlfn.XLOOKUP(A609,'Video Database'!L:L,'Video Database'!M:M,"")</f>
        <v>Product Overlay</v>
      </c>
    </row>
    <row r="610" ht="22.5" customHeight="1">
      <c r="A610" s="113">
        <f t="shared" si="12"/>
        <v>609</v>
      </c>
      <c r="B610" s="98" t="str">
        <f t="array" ref="B610">_xlfn.XLOOKUP(A610,'Video Database'!L:L,'Video Database'!D:D,"")</f>
        <v>Blakely</v>
      </c>
      <c r="C610" s="98" t="str">
        <f t="array" ref="C610">_xlfn.XLOOKUP(A610,'Video Database'!L:L,'Video Database'!E:E,"")</f>
        <v>Account 4</v>
      </c>
      <c r="D610" s="99" t="str">
        <f t="array" ref="D610">_xlfn.XLOOKUP(A610,'Video Database'!L:L,'Video Database'!G:G,"")</f>
        <v>Goli Women's Complete Multi Gummy</v>
      </c>
      <c r="E610" s="100">
        <f t="array" ref="E610">_xlfn.XLOOKUP(A610,'Video Database'!L:L,'Video Database'!H:H,"")</f>
        <v>0.11</v>
      </c>
      <c r="F610" s="101">
        <v>0.0</v>
      </c>
      <c r="G610" s="87">
        <v>0.0</v>
      </c>
      <c r="H610" s="114">
        <f t="array" ref="H610">_xlfn.XLOOKUP(A610,'Video Database'!L:L,'Video Database'!A:A,"")</f>
        <v>46193</v>
      </c>
      <c r="I610" s="103">
        <v>46201.0</v>
      </c>
      <c r="J610" s="104">
        <v>0.0</v>
      </c>
      <c r="K610" s="105"/>
      <c r="L610" s="105" t="str">
        <f t="shared" si="1"/>
        <v/>
      </c>
      <c r="O610" s="106" t="str">
        <f t="shared" si="2"/>
        <v>#N/A</v>
      </c>
      <c r="P610" s="106" t="str">
        <f t="shared" si="3"/>
        <v>#N/A</v>
      </c>
      <c r="Q610" s="84" t="str">
        <f t="shared" si="4"/>
        <v>#N/A</v>
      </c>
      <c r="R610" s="84" t="str">
        <f t="shared" si="5"/>
        <v>#N/A</v>
      </c>
      <c r="S610" s="107">
        <f t="shared" si="6"/>
        <v>-0.11</v>
      </c>
      <c r="T610" s="108">
        <f t="shared" si="7"/>
        <v>-1</v>
      </c>
      <c r="U610" s="106" t="str">
        <f t="shared" si="8"/>
        <v>#N/A</v>
      </c>
      <c r="V610" s="84" t="str">
        <f t="shared" si="9"/>
        <v/>
      </c>
      <c r="W610" s="109" t="str">
        <f t="shared" si="10"/>
        <v/>
      </c>
      <c r="X610" s="109" t="str">
        <f t="shared" si="11"/>
        <v/>
      </c>
      <c r="Y610" s="110" t="str">
        <f t="array" ref="Y610">_xlfn.XLOOKUP(A610,'Video Database'!L:L,'Video Database'!M:M,"")</f>
        <v>Product Overlay</v>
      </c>
    </row>
    <row r="611" ht="22.5" customHeight="1">
      <c r="A611" s="113">
        <f t="shared" si="12"/>
        <v>610</v>
      </c>
      <c r="B611" s="98" t="str">
        <f t="array" ref="B611">_xlfn.XLOOKUP(A611,'Video Database'!L:L,'Video Database'!D:D,"")</f>
        <v>Blakely</v>
      </c>
      <c r="C611" s="98" t="str">
        <f t="array" ref="C611">_xlfn.XLOOKUP(A611,'Video Database'!L:L,'Video Database'!E:E,"")</f>
        <v>Account 4</v>
      </c>
      <c r="D611" s="99" t="str">
        <f t="array" ref="D611">_xlfn.XLOOKUP(A611,'Video Database'!L:L,'Video Database'!G:G,"")</f>
        <v>Squish Energy Preworkout Jello Shots</v>
      </c>
      <c r="E611" s="100">
        <f t="array" ref="E611">_xlfn.XLOOKUP(A611,'Video Database'!L:L,'Video Database'!H:H,"")</f>
        <v>0.11</v>
      </c>
      <c r="F611" s="101">
        <v>0.0</v>
      </c>
      <c r="G611" s="87">
        <v>0.0</v>
      </c>
      <c r="H611" s="114">
        <f t="array" ref="H611">_xlfn.XLOOKUP(A611,'Video Database'!L:L,'Video Database'!A:A,"")</f>
        <v>46193</v>
      </c>
      <c r="I611" s="103">
        <v>46201.0</v>
      </c>
      <c r="J611" s="104">
        <v>0.0</v>
      </c>
      <c r="K611" s="105"/>
      <c r="L611" s="105" t="str">
        <f t="shared" si="1"/>
        <v/>
      </c>
      <c r="O611" s="106" t="str">
        <f t="shared" si="2"/>
        <v>#N/A</v>
      </c>
      <c r="P611" s="106" t="str">
        <f t="shared" si="3"/>
        <v>#N/A</v>
      </c>
      <c r="Q611" s="84" t="str">
        <f t="shared" si="4"/>
        <v>#N/A</v>
      </c>
      <c r="R611" s="84" t="str">
        <f t="shared" si="5"/>
        <v>#N/A</v>
      </c>
      <c r="S611" s="107">
        <f t="shared" si="6"/>
        <v>-0.11</v>
      </c>
      <c r="T611" s="108">
        <f t="shared" si="7"/>
        <v>-1</v>
      </c>
      <c r="U611" s="106" t="str">
        <f t="shared" si="8"/>
        <v>#N/A</v>
      </c>
      <c r="V611" s="84" t="str">
        <f t="shared" si="9"/>
        <v/>
      </c>
      <c r="W611" s="109" t="str">
        <f t="shared" si="10"/>
        <v/>
      </c>
      <c r="X611" s="109" t="str">
        <f t="shared" si="11"/>
        <v/>
      </c>
      <c r="Y611" s="110" t="str">
        <f t="array" ref="Y611">_xlfn.XLOOKUP(A611,'Video Database'!L:L,'Video Database'!M:M,"")</f>
        <v>Product Overlay</v>
      </c>
    </row>
    <row r="612" ht="22.5" customHeight="1">
      <c r="A612" s="113">
        <f t="shared" si="12"/>
        <v>611</v>
      </c>
      <c r="B612" s="98" t="str">
        <f t="array" ref="B612">_xlfn.XLOOKUP(A612,'Video Database'!L:L,'Video Database'!D:D,"")</f>
        <v>Blakely</v>
      </c>
      <c r="C612" s="98" t="str">
        <f t="array" ref="C612">_xlfn.XLOOKUP(A612,'Video Database'!L:L,'Video Database'!E:E,"")</f>
        <v>Account 4</v>
      </c>
      <c r="D612" s="99" t="str">
        <f t="array" ref="D612">_xlfn.XLOOKUP(A612,'Video Database'!L:L,'Video Database'!G:G,"")</f>
        <v>Nello Supercalm Drink Mix</v>
      </c>
      <c r="E612" s="100">
        <f t="array" ref="E612">_xlfn.XLOOKUP(A612,'Video Database'!L:L,'Video Database'!H:H,"")</f>
        <v>0.11</v>
      </c>
      <c r="F612" s="101">
        <v>0.0</v>
      </c>
      <c r="G612" s="87">
        <v>0.0</v>
      </c>
      <c r="H612" s="114">
        <f t="array" ref="H612">_xlfn.XLOOKUP(A612,'Video Database'!L:L,'Video Database'!A:A,"")</f>
        <v>46193</v>
      </c>
      <c r="I612" s="103">
        <v>46201.0</v>
      </c>
      <c r="J612" s="104">
        <v>0.0</v>
      </c>
      <c r="K612" s="105"/>
      <c r="L612" s="105" t="str">
        <f t="shared" si="1"/>
        <v/>
      </c>
      <c r="O612" s="106" t="str">
        <f t="shared" si="2"/>
        <v>#N/A</v>
      </c>
      <c r="P612" s="106" t="str">
        <f t="shared" si="3"/>
        <v>#N/A</v>
      </c>
      <c r="Q612" s="84" t="str">
        <f t="shared" si="4"/>
        <v>#N/A</v>
      </c>
      <c r="R612" s="84" t="str">
        <f t="shared" si="5"/>
        <v>#N/A</v>
      </c>
      <c r="S612" s="107">
        <f t="shared" si="6"/>
        <v>-0.11</v>
      </c>
      <c r="T612" s="108">
        <f t="shared" si="7"/>
        <v>-1</v>
      </c>
      <c r="U612" s="106" t="str">
        <f t="shared" si="8"/>
        <v>#N/A</v>
      </c>
      <c r="V612" s="84" t="str">
        <f t="shared" si="9"/>
        <v/>
      </c>
      <c r="W612" s="109" t="str">
        <f t="shared" si="10"/>
        <v/>
      </c>
      <c r="X612" s="109" t="str">
        <f t="shared" si="11"/>
        <v/>
      </c>
      <c r="Y612" s="110" t="str">
        <f t="array" ref="Y612">_xlfn.XLOOKUP(A612,'Video Database'!L:L,'Video Database'!M:M,"")</f>
        <v>Product Overlay</v>
      </c>
    </row>
    <row r="613" ht="22.5" customHeight="1">
      <c r="A613" s="113">
        <f t="shared" si="12"/>
        <v>612</v>
      </c>
      <c r="B613" s="98" t="str">
        <f t="array" ref="B613">_xlfn.XLOOKUP(A613,'Video Database'!L:L,'Video Database'!D:D,"")</f>
        <v>Blakely</v>
      </c>
      <c r="C613" s="98" t="str">
        <f t="array" ref="C613">_xlfn.XLOOKUP(A613,'Video Database'!L:L,'Video Database'!E:E,"")</f>
        <v>Account 4</v>
      </c>
      <c r="D613" s="99" t="str">
        <f t="array" ref="D613">_xlfn.XLOOKUP(A613,'Video Database'!L:L,'Video Database'!G:G,"")</f>
        <v>BetterAlt Shilajit Honey Sticks</v>
      </c>
      <c r="E613" s="100">
        <f t="array" ref="E613">_xlfn.XLOOKUP(A613,'Video Database'!L:L,'Video Database'!H:H,"")</f>
        <v>0.11</v>
      </c>
      <c r="F613" s="101">
        <v>34.82</v>
      </c>
      <c r="G613" s="87">
        <v>1.0</v>
      </c>
      <c r="H613" s="114">
        <f t="array" ref="H613">_xlfn.XLOOKUP(A613,'Video Database'!L:L,'Video Database'!A:A,"")</f>
        <v>46193</v>
      </c>
      <c r="I613" s="103">
        <v>46201.0</v>
      </c>
      <c r="J613" s="104">
        <v>3.5</v>
      </c>
      <c r="K613" s="87">
        <v>63.0</v>
      </c>
      <c r="L613" s="105">
        <f t="shared" si="1"/>
        <v>4200</v>
      </c>
      <c r="M613" s="87">
        <v>4200.0</v>
      </c>
      <c r="O613" s="106">
        <f t="shared" si="2"/>
        <v>0.015</v>
      </c>
      <c r="P613" s="106">
        <f t="shared" si="3"/>
        <v>0.01587301587</v>
      </c>
      <c r="Q613" s="84">
        <f t="shared" si="4"/>
        <v>3.5</v>
      </c>
      <c r="R613" s="84">
        <f t="shared" si="5"/>
        <v>34.82</v>
      </c>
      <c r="S613" s="107">
        <f t="shared" si="6"/>
        <v>3.39</v>
      </c>
      <c r="T613" s="108">
        <f t="shared" si="7"/>
        <v>30.81818182</v>
      </c>
      <c r="U613" s="106">
        <f t="shared" si="8"/>
        <v>0.9685714286</v>
      </c>
      <c r="V613" s="129">
        <f t="shared" si="9"/>
        <v>0.11</v>
      </c>
      <c r="W613" s="109">
        <f t="shared" si="10"/>
        <v>0.001746031746</v>
      </c>
      <c r="X613" s="109">
        <f t="shared" si="11"/>
        <v>0.3159103963</v>
      </c>
      <c r="Y613" s="110" t="str">
        <f t="array" ref="Y613">_xlfn.XLOOKUP(A613,'Video Database'!L:L,'Video Database'!M:M,"")</f>
        <v>Product Overlay</v>
      </c>
    </row>
    <row r="614" ht="22.5" customHeight="1">
      <c r="A614" s="113">
        <f t="shared" si="12"/>
        <v>613</v>
      </c>
      <c r="B614" s="98" t="str">
        <f t="array" ref="B614">_xlfn.XLOOKUP(A614,'Video Database'!L:L,'Video Database'!D:D,"")</f>
        <v>Erin</v>
      </c>
      <c r="C614" s="98" t="str">
        <f t="array" ref="C614">_xlfn.XLOOKUP(A614,'Video Database'!L:L,'Video Database'!E:E,"")</f>
        <v>Account 1</v>
      </c>
      <c r="D614" s="99" t="str">
        <f t="array" ref="D614">_xlfn.XLOOKUP(A614,'Video Database'!L:L,'Video Database'!G:G,"")</f>
        <v>SNOW Diamond Tetth Whitening Strips</v>
      </c>
      <c r="E614" s="100">
        <f t="array" ref="E614">_xlfn.XLOOKUP(A614,'Video Database'!L:L,'Video Database'!H:H,"")</f>
        <v>0.7337</v>
      </c>
      <c r="F614" s="101">
        <v>0.0</v>
      </c>
      <c r="G614" s="87">
        <v>0.0</v>
      </c>
      <c r="H614" s="114">
        <f t="array" ref="H614">_xlfn.XLOOKUP(A614,'Video Database'!L:L,'Video Database'!A:A,"")</f>
        <v>46194</v>
      </c>
      <c r="I614" s="103">
        <v>46201.0</v>
      </c>
      <c r="J614" s="104">
        <v>0.0</v>
      </c>
      <c r="K614" s="105"/>
      <c r="L614" s="105" t="str">
        <f t="shared" si="1"/>
        <v/>
      </c>
      <c r="O614" s="106" t="str">
        <f t="shared" si="2"/>
        <v>#N/A</v>
      </c>
      <c r="P614" s="106" t="str">
        <f t="shared" si="3"/>
        <v>#N/A</v>
      </c>
      <c r="Q614" s="84" t="str">
        <f t="shared" si="4"/>
        <v>#N/A</v>
      </c>
      <c r="R614" s="84" t="str">
        <f t="shared" si="5"/>
        <v>#N/A</v>
      </c>
      <c r="S614" s="107">
        <f t="shared" si="6"/>
        <v>-0.7337</v>
      </c>
      <c r="T614" s="108">
        <f t="shared" si="7"/>
        <v>-1</v>
      </c>
      <c r="U614" s="106" t="str">
        <f t="shared" si="8"/>
        <v>#N/A</v>
      </c>
      <c r="V614" s="84" t="str">
        <f t="shared" si="9"/>
        <v/>
      </c>
      <c r="W614" s="109" t="str">
        <f t="shared" si="10"/>
        <v/>
      </c>
      <c r="X614" s="109" t="str">
        <f t="shared" si="11"/>
        <v/>
      </c>
      <c r="Y614" s="110" t="str">
        <f t="array" ref="Y614">_xlfn.XLOOKUP(A614,'Video Database'!L:L,'Video Database'!M:M,"")</f>
        <v>Bottom of Funnel</v>
      </c>
    </row>
    <row r="615" ht="22.5" customHeight="1">
      <c r="A615" s="113">
        <f t="shared" si="12"/>
        <v>614</v>
      </c>
      <c r="B615" s="98" t="str">
        <f t="array" ref="B615">_xlfn.XLOOKUP(A615,'Video Database'!L:L,'Video Database'!D:D,"")</f>
        <v>Erin</v>
      </c>
      <c r="C615" s="98" t="str">
        <f t="array" ref="C615">_xlfn.XLOOKUP(A615,'Video Database'!L:L,'Video Database'!E:E,"")</f>
        <v>Account 1</v>
      </c>
      <c r="D615" s="99" t="str">
        <f t="array" ref="D615">_xlfn.XLOOKUP(A615,'Video Database'!L:L,'Video Database'!G:G,"")</f>
        <v>SNOW Diamond Tetth Whitening Strips</v>
      </c>
      <c r="E615" s="100">
        <f t="array" ref="E615">_xlfn.XLOOKUP(A615,'Video Database'!L:L,'Video Database'!H:H,"")</f>
        <v>0.7337</v>
      </c>
      <c r="F615" s="101">
        <v>0.0</v>
      </c>
      <c r="G615" s="87">
        <v>0.0</v>
      </c>
      <c r="H615" s="114">
        <f t="array" ref="H615">_xlfn.XLOOKUP(A615,'Video Database'!L:L,'Video Database'!A:A,"")</f>
        <v>46194</v>
      </c>
      <c r="I615" s="103">
        <v>46201.0</v>
      </c>
      <c r="J615" s="104">
        <v>0.0</v>
      </c>
      <c r="K615" s="105"/>
      <c r="L615" s="105" t="str">
        <f t="shared" si="1"/>
        <v/>
      </c>
      <c r="O615" s="106" t="str">
        <f t="shared" si="2"/>
        <v>#N/A</v>
      </c>
      <c r="P615" s="106" t="str">
        <f t="shared" si="3"/>
        <v>#N/A</v>
      </c>
      <c r="Q615" s="84" t="str">
        <f t="shared" si="4"/>
        <v>#N/A</v>
      </c>
      <c r="R615" s="84" t="str">
        <f t="shared" si="5"/>
        <v>#N/A</v>
      </c>
      <c r="S615" s="107">
        <f t="shared" si="6"/>
        <v>-0.7337</v>
      </c>
      <c r="T615" s="108">
        <f t="shared" si="7"/>
        <v>-1</v>
      </c>
      <c r="U615" s="106" t="str">
        <f t="shared" si="8"/>
        <v>#N/A</v>
      </c>
      <c r="V615" s="84" t="str">
        <f t="shared" si="9"/>
        <v/>
      </c>
      <c r="W615" s="109" t="str">
        <f t="shared" si="10"/>
        <v/>
      </c>
      <c r="X615" s="109" t="str">
        <f t="shared" si="11"/>
        <v/>
      </c>
      <c r="Y615" s="110" t="str">
        <f t="array" ref="Y615">_xlfn.XLOOKUP(A615,'Video Database'!L:L,'Video Database'!M:M,"")</f>
        <v>Bottom of Funnel</v>
      </c>
    </row>
    <row r="616" ht="22.5" customHeight="1">
      <c r="A616" s="113">
        <f t="shared" si="12"/>
        <v>615</v>
      </c>
      <c r="B616" s="98" t="str">
        <f t="array" ref="B616">_xlfn.XLOOKUP(A616,'Video Database'!L:L,'Video Database'!D:D,"")</f>
        <v>Erin</v>
      </c>
      <c r="C616" s="98" t="str">
        <f t="array" ref="C616">_xlfn.XLOOKUP(A616,'Video Database'!L:L,'Video Database'!E:E,"")</f>
        <v>Account 1</v>
      </c>
      <c r="D616" s="99" t="str">
        <f t="array" ref="D616">_xlfn.XLOOKUP(A616,'Video Database'!L:L,'Video Database'!G:G,"")</f>
        <v>SNOW Diamond Tetth Whitening Strips</v>
      </c>
      <c r="E616" s="100">
        <f t="array" ref="E616">_xlfn.XLOOKUP(A616,'Video Database'!L:L,'Video Database'!H:H,"")</f>
        <v>0.7337</v>
      </c>
      <c r="F616" s="101">
        <v>0.0</v>
      </c>
      <c r="G616" s="87">
        <v>0.0</v>
      </c>
      <c r="H616" s="114">
        <f t="array" ref="H616">_xlfn.XLOOKUP(A616,'Video Database'!L:L,'Video Database'!A:A,"")</f>
        <v>46194</v>
      </c>
      <c r="I616" s="103">
        <v>46201.0</v>
      </c>
      <c r="J616" s="104">
        <v>0.0</v>
      </c>
      <c r="K616" s="105"/>
      <c r="L616" s="105" t="str">
        <f t="shared" si="1"/>
        <v/>
      </c>
      <c r="O616" s="106" t="str">
        <f t="shared" si="2"/>
        <v>#N/A</v>
      </c>
      <c r="P616" s="106" t="str">
        <f t="shared" si="3"/>
        <v>#N/A</v>
      </c>
      <c r="Q616" s="84" t="str">
        <f t="shared" si="4"/>
        <v>#N/A</v>
      </c>
      <c r="R616" s="84" t="str">
        <f t="shared" si="5"/>
        <v>#N/A</v>
      </c>
      <c r="S616" s="107">
        <f t="shared" si="6"/>
        <v>-0.7337</v>
      </c>
      <c r="T616" s="108">
        <f t="shared" si="7"/>
        <v>-1</v>
      </c>
      <c r="U616" s="106" t="str">
        <f t="shared" si="8"/>
        <v>#N/A</v>
      </c>
      <c r="V616" s="84" t="str">
        <f t="shared" si="9"/>
        <v/>
      </c>
      <c r="W616" s="109" t="str">
        <f t="shared" si="10"/>
        <v/>
      </c>
      <c r="X616" s="109" t="str">
        <f t="shared" si="11"/>
        <v/>
      </c>
      <c r="Y616" s="110" t="str">
        <f t="array" ref="Y616">_xlfn.XLOOKUP(A616,'Video Database'!L:L,'Video Database'!M:M,"")</f>
        <v>Bottom of Funnel</v>
      </c>
    </row>
    <row r="617" ht="22.5" customHeight="1">
      <c r="A617" s="113">
        <f t="shared" si="12"/>
        <v>616</v>
      </c>
      <c r="B617" s="98" t="str">
        <f t="array" ref="B617">_xlfn.XLOOKUP(A617,'Video Database'!L:L,'Video Database'!D:D,"")</f>
        <v>Erin</v>
      </c>
      <c r="C617" s="98" t="str">
        <f t="array" ref="C617">_xlfn.XLOOKUP(A617,'Video Database'!L:L,'Video Database'!E:E,"")</f>
        <v>Account 1</v>
      </c>
      <c r="D617" s="99" t="str">
        <f t="array" ref="D617">_xlfn.XLOOKUP(A617,'Video Database'!L:L,'Video Database'!G:G,"")</f>
        <v>LullaBites Natural Sleep Gummies</v>
      </c>
      <c r="E617" s="100">
        <f t="array" ref="E617">_xlfn.XLOOKUP(A617,'Video Database'!L:L,'Video Database'!H:H,"")</f>
        <v>0.7337</v>
      </c>
      <c r="F617" s="101">
        <v>0.0</v>
      </c>
      <c r="G617" s="87">
        <v>0.0</v>
      </c>
      <c r="H617" s="114">
        <f t="array" ref="H617">_xlfn.XLOOKUP(A617,'Video Database'!L:L,'Video Database'!A:A,"")</f>
        <v>46194</v>
      </c>
      <c r="I617" s="103">
        <v>46201.0</v>
      </c>
      <c r="J617" s="104">
        <v>0.0</v>
      </c>
      <c r="K617" s="105"/>
      <c r="L617" s="105" t="str">
        <f t="shared" si="1"/>
        <v/>
      </c>
      <c r="O617" s="106" t="str">
        <f t="shared" si="2"/>
        <v>#N/A</v>
      </c>
      <c r="P617" s="106" t="str">
        <f t="shared" si="3"/>
        <v>#N/A</v>
      </c>
      <c r="Q617" s="84" t="str">
        <f t="shared" si="4"/>
        <v>#N/A</v>
      </c>
      <c r="R617" s="84" t="str">
        <f t="shared" si="5"/>
        <v>#N/A</v>
      </c>
      <c r="S617" s="107">
        <f t="shared" si="6"/>
        <v>-0.7337</v>
      </c>
      <c r="T617" s="108">
        <f t="shared" si="7"/>
        <v>-1</v>
      </c>
      <c r="U617" s="106" t="str">
        <f t="shared" si="8"/>
        <v>#N/A</v>
      </c>
      <c r="V617" s="84" t="str">
        <f t="shared" si="9"/>
        <v/>
      </c>
      <c r="W617" s="109" t="str">
        <f t="shared" si="10"/>
        <v/>
      </c>
      <c r="X617" s="109" t="str">
        <f t="shared" si="11"/>
        <v/>
      </c>
      <c r="Y617" s="110" t="str">
        <f t="array" ref="Y617">_xlfn.XLOOKUP(A617,'Video Database'!L:L,'Video Database'!M:M,"")</f>
        <v>Bottom of Funnel</v>
      </c>
    </row>
    <row r="618" ht="22.5" customHeight="1">
      <c r="A618" s="113">
        <f t="shared" si="12"/>
        <v>617</v>
      </c>
      <c r="B618" s="98" t="str">
        <f t="array" ref="B618">_xlfn.XLOOKUP(A618,'Video Database'!L:L,'Video Database'!D:D,"")</f>
        <v>Erin</v>
      </c>
      <c r="C618" s="98" t="str">
        <f t="array" ref="C618">_xlfn.XLOOKUP(A618,'Video Database'!L:L,'Video Database'!E:E,"")</f>
        <v>Account 1</v>
      </c>
      <c r="D618" s="99" t="str">
        <f t="array" ref="D618">_xlfn.XLOOKUP(A618,'Video Database'!L:L,'Video Database'!G:G,"")</f>
        <v>LullaBites Natural Sleep Gummies</v>
      </c>
      <c r="E618" s="100">
        <f t="array" ref="E618">_xlfn.XLOOKUP(A618,'Video Database'!L:L,'Video Database'!H:H,"")</f>
        <v>0.7337</v>
      </c>
      <c r="F618" s="101">
        <v>0.0</v>
      </c>
      <c r="G618" s="87">
        <v>0.0</v>
      </c>
      <c r="H618" s="114">
        <f t="array" ref="H618">_xlfn.XLOOKUP(A618,'Video Database'!L:L,'Video Database'!A:A,"")</f>
        <v>46194</v>
      </c>
      <c r="I618" s="103">
        <v>46201.0</v>
      </c>
      <c r="J618" s="104">
        <v>0.0</v>
      </c>
      <c r="K618" s="105"/>
      <c r="L618" s="105" t="str">
        <f t="shared" si="1"/>
        <v/>
      </c>
      <c r="O618" s="106" t="str">
        <f t="shared" si="2"/>
        <v>#N/A</v>
      </c>
      <c r="P618" s="106" t="str">
        <f t="shared" si="3"/>
        <v>#N/A</v>
      </c>
      <c r="Q618" s="84" t="str">
        <f t="shared" si="4"/>
        <v>#N/A</v>
      </c>
      <c r="R618" s="84" t="str">
        <f t="shared" si="5"/>
        <v>#N/A</v>
      </c>
      <c r="S618" s="107">
        <f t="shared" si="6"/>
        <v>-0.7337</v>
      </c>
      <c r="T618" s="108">
        <f t="shared" si="7"/>
        <v>-1</v>
      </c>
      <c r="U618" s="106" t="str">
        <f t="shared" si="8"/>
        <v>#N/A</v>
      </c>
      <c r="V618" s="84" t="str">
        <f t="shared" si="9"/>
        <v/>
      </c>
      <c r="W618" s="109" t="str">
        <f t="shared" si="10"/>
        <v/>
      </c>
      <c r="X618" s="109" t="str">
        <f t="shared" si="11"/>
        <v/>
      </c>
      <c r="Y618" s="110" t="str">
        <f t="array" ref="Y618">_xlfn.XLOOKUP(A618,'Video Database'!L:L,'Video Database'!M:M,"")</f>
        <v>Bottom of Funnel</v>
      </c>
    </row>
    <row r="619" ht="22.5" customHeight="1">
      <c r="A619" s="113">
        <f t="shared" si="12"/>
        <v>618</v>
      </c>
      <c r="B619" s="98" t="str">
        <f t="array" ref="B619">_xlfn.XLOOKUP(A619,'Video Database'!L:L,'Video Database'!D:D,"")</f>
        <v>Blakely</v>
      </c>
      <c r="C619" s="98" t="str">
        <f t="array" ref="C619">_xlfn.XLOOKUP(A619,'Video Database'!L:L,'Video Database'!E:E,"")</f>
        <v>Account 1</v>
      </c>
      <c r="D619" s="99" t="str">
        <f t="array" ref="D619">_xlfn.XLOOKUP(A619,'Video Database'!L:L,'Video Database'!G:G,"")</f>
        <v>BrainMD L-Theanine Gummies</v>
      </c>
      <c r="E619" s="100">
        <f t="array" ref="E619">_xlfn.XLOOKUP(A619,'Video Database'!L:L,'Video Database'!H:H,"")</f>
        <v>0.11</v>
      </c>
      <c r="F619" s="101">
        <v>0.0</v>
      </c>
      <c r="G619" s="87">
        <v>0.0</v>
      </c>
      <c r="H619" s="114">
        <f t="array" ref="H619">_xlfn.XLOOKUP(A619,'Video Database'!L:L,'Video Database'!A:A,"")</f>
        <v>46194</v>
      </c>
      <c r="I619" s="103">
        <v>46201.0</v>
      </c>
      <c r="J619" s="104">
        <v>0.0</v>
      </c>
      <c r="K619" s="105"/>
      <c r="L619" s="105" t="str">
        <f t="shared" si="1"/>
        <v/>
      </c>
      <c r="O619" s="106" t="str">
        <f t="shared" si="2"/>
        <v>#N/A</v>
      </c>
      <c r="P619" s="106" t="str">
        <f t="shared" si="3"/>
        <v>#N/A</v>
      </c>
      <c r="Q619" s="84" t="str">
        <f t="shared" si="4"/>
        <v>#N/A</v>
      </c>
      <c r="R619" s="84" t="str">
        <f t="shared" si="5"/>
        <v>#N/A</v>
      </c>
      <c r="S619" s="107">
        <f t="shared" si="6"/>
        <v>-0.11</v>
      </c>
      <c r="T619" s="108">
        <f t="shared" si="7"/>
        <v>-1</v>
      </c>
      <c r="U619" s="106" t="str">
        <f t="shared" si="8"/>
        <v>#N/A</v>
      </c>
      <c r="V619" s="84" t="str">
        <f t="shared" si="9"/>
        <v/>
      </c>
      <c r="W619" s="109" t="str">
        <f t="shared" si="10"/>
        <v/>
      </c>
      <c r="X619" s="109" t="str">
        <f t="shared" si="11"/>
        <v/>
      </c>
      <c r="Y619" s="110" t="str">
        <f t="array" ref="Y619">_xlfn.XLOOKUP(A619,'Video Database'!L:L,'Video Database'!M:M,"")</f>
        <v>Product Overlay</v>
      </c>
    </row>
    <row r="620" ht="22.5" customHeight="1">
      <c r="A620" s="113">
        <f t="shared" si="12"/>
        <v>619</v>
      </c>
      <c r="B620" s="98" t="str">
        <f t="array" ref="B620">_xlfn.XLOOKUP(A620,'Video Database'!L:L,'Video Database'!D:D,"")</f>
        <v>Blakely</v>
      </c>
      <c r="C620" s="98" t="str">
        <f t="array" ref="C620">_xlfn.XLOOKUP(A620,'Video Database'!L:L,'Video Database'!E:E,"")</f>
        <v>Account 1</v>
      </c>
      <c r="D620" s="99" t="str">
        <f t="array" ref="D620">_xlfn.XLOOKUP(A620,'Video Database'!L:L,'Video Database'!G:G,"")</f>
        <v>JOYMODE Ignite Libido Support</v>
      </c>
      <c r="E620" s="100">
        <f t="array" ref="E620">_xlfn.XLOOKUP(A620,'Video Database'!L:L,'Video Database'!H:H,"")</f>
        <v>0.11</v>
      </c>
      <c r="F620" s="101">
        <v>0.0</v>
      </c>
      <c r="G620" s="87">
        <v>0.0</v>
      </c>
      <c r="H620" s="114">
        <f t="array" ref="H620">_xlfn.XLOOKUP(A620,'Video Database'!L:L,'Video Database'!A:A,"")</f>
        <v>46194</v>
      </c>
      <c r="I620" s="103">
        <v>46201.0</v>
      </c>
      <c r="J620" s="104">
        <v>0.0</v>
      </c>
      <c r="K620" s="105"/>
      <c r="L620" s="105" t="str">
        <f t="shared" si="1"/>
        <v/>
      </c>
      <c r="O620" s="106" t="str">
        <f t="shared" si="2"/>
        <v>#N/A</v>
      </c>
      <c r="P620" s="106" t="str">
        <f t="shared" si="3"/>
        <v>#N/A</v>
      </c>
      <c r="Q620" s="84" t="str">
        <f t="shared" si="4"/>
        <v>#N/A</v>
      </c>
      <c r="R620" s="84" t="str">
        <f t="shared" si="5"/>
        <v>#N/A</v>
      </c>
      <c r="S620" s="107">
        <f t="shared" si="6"/>
        <v>-0.11</v>
      </c>
      <c r="T620" s="108">
        <f t="shared" si="7"/>
        <v>-1</v>
      </c>
      <c r="U620" s="106" t="str">
        <f t="shared" si="8"/>
        <v>#N/A</v>
      </c>
      <c r="V620" s="84" t="str">
        <f t="shared" si="9"/>
        <v/>
      </c>
      <c r="W620" s="109" t="str">
        <f t="shared" si="10"/>
        <v/>
      </c>
      <c r="X620" s="109" t="str">
        <f t="shared" si="11"/>
        <v/>
      </c>
      <c r="Y620" s="110" t="str">
        <f t="array" ref="Y620">_xlfn.XLOOKUP(A620,'Video Database'!L:L,'Video Database'!M:M,"")</f>
        <v>Product Overlay</v>
      </c>
    </row>
    <row r="621" ht="22.5" customHeight="1">
      <c r="A621" s="113">
        <f t="shared" si="12"/>
        <v>620</v>
      </c>
      <c r="B621" s="98" t="str">
        <f t="array" ref="B621">_xlfn.XLOOKUP(A621,'Video Database'!L:L,'Video Database'!D:D,"")</f>
        <v>Blakely</v>
      </c>
      <c r="C621" s="98" t="str">
        <f t="array" ref="C621">_xlfn.XLOOKUP(A621,'Video Database'!L:L,'Video Database'!E:E,"")</f>
        <v>Account 1</v>
      </c>
      <c r="D621" s="99" t="str">
        <f t="array" ref="D621">_xlfn.XLOOKUP(A621,'Video Database'!L:L,'Video Database'!G:G,"")</f>
        <v>tarte dab &amp; gab hair concealer</v>
      </c>
      <c r="E621" s="100">
        <f t="array" ref="E621">_xlfn.XLOOKUP(A621,'Video Database'!L:L,'Video Database'!H:H,"")</f>
        <v>0.11</v>
      </c>
      <c r="F621" s="101">
        <v>0.0</v>
      </c>
      <c r="G621" s="87">
        <v>0.0</v>
      </c>
      <c r="H621" s="114">
        <f t="array" ref="H621">_xlfn.XLOOKUP(A621,'Video Database'!L:L,'Video Database'!A:A,"")</f>
        <v>46194</v>
      </c>
      <c r="I621" s="103">
        <v>46201.0</v>
      </c>
      <c r="J621" s="104">
        <v>0.0</v>
      </c>
      <c r="K621" s="105"/>
      <c r="L621" s="105" t="str">
        <f t="shared" si="1"/>
        <v/>
      </c>
      <c r="O621" s="106" t="str">
        <f t="shared" si="2"/>
        <v>#N/A</v>
      </c>
      <c r="P621" s="106" t="str">
        <f t="shared" si="3"/>
        <v>#N/A</v>
      </c>
      <c r="Q621" s="84" t="str">
        <f t="shared" si="4"/>
        <v>#N/A</v>
      </c>
      <c r="R621" s="84" t="str">
        <f t="shared" si="5"/>
        <v>#N/A</v>
      </c>
      <c r="S621" s="107">
        <f t="shared" si="6"/>
        <v>-0.11</v>
      </c>
      <c r="T621" s="108">
        <f t="shared" si="7"/>
        <v>-1</v>
      </c>
      <c r="U621" s="106" t="str">
        <f t="shared" si="8"/>
        <v>#N/A</v>
      </c>
      <c r="V621" s="84" t="str">
        <f t="shared" si="9"/>
        <v/>
      </c>
      <c r="W621" s="109" t="str">
        <f t="shared" si="10"/>
        <v/>
      </c>
      <c r="X621" s="109" t="str">
        <f t="shared" si="11"/>
        <v/>
      </c>
      <c r="Y621" s="110" t="str">
        <f t="array" ref="Y621">_xlfn.XLOOKUP(A621,'Video Database'!L:L,'Video Database'!M:M,"")</f>
        <v>Product Overlay</v>
      </c>
    </row>
    <row r="622" ht="22.5" customHeight="1">
      <c r="A622" s="113">
        <f t="shared" si="12"/>
        <v>621</v>
      </c>
      <c r="B622" s="98" t="str">
        <f t="array" ref="B622">_xlfn.XLOOKUP(A622,'Video Database'!L:L,'Video Database'!D:D,"")</f>
        <v>Blakely</v>
      </c>
      <c r="C622" s="98" t="str">
        <f t="array" ref="C622">_xlfn.XLOOKUP(A622,'Video Database'!L:L,'Video Database'!E:E,"")</f>
        <v>Account 1</v>
      </c>
      <c r="D622" s="99" t="str">
        <f t="array" ref="D622">_xlfn.XLOOKUP(A622,'Video Database'!L:L,'Video Database'!G:G,"")</f>
        <v>Nooni korean apple lip oil trio</v>
      </c>
      <c r="E622" s="100">
        <f t="array" ref="E622">_xlfn.XLOOKUP(A622,'Video Database'!L:L,'Video Database'!H:H,"")</f>
        <v>0.11</v>
      </c>
      <c r="F622" s="101">
        <v>0.0</v>
      </c>
      <c r="G622" s="87">
        <v>0.0</v>
      </c>
      <c r="H622" s="114">
        <f t="array" ref="H622">_xlfn.XLOOKUP(A622,'Video Database'!L:L,'Video Database'!A:A,"")</f>
        <v>46194</v>
      </c>
      <c r="I622" s="103">
        <v>46201.0</v>
      </c>
      <c r="J622" s="104">
        <v>0.0</v>
      </c>
      <c r="K622" s="105"/>
      <c r="L622" s="105" t="str">
        <f t="shared" si="1"/>
        <v/>
      </c>
      <c r="O622" s="106" t="str">
        <f t="shared" si="2"/>
        <v>#N/A</v>
      </c>
      <c r="P622" s="106" t="str">
        <f t="shared" si="3"/>
        <v>#N/A</v>
      </c>
      <c r="Q622" s="84" t="str">
        <f t="shared" si="4"/>
        <v>#N/A</v>
      </c>
      <c r="R622" s="84" t="str">
        <f t="shared" si="5"/>
        <v>#N/A</v>
      </c>
      <c r="S622" s="107">
        <f t="shared" si="6"/>
        <v>-0.11</v>
      </c>
      <c r="T622" s="108">
        <f t="shared" si="7"/>
        <v>-1</v>
      </c>
      <c r="U622" s="106" t="str">
        <f t="shared" si="8"/>
        <v>#N/A</v>
      </c>
      <c r="V622" s="84" t="str">
        <f t="shared" si="9"/>
        <v/>
      </c>
      <c r="W622" s="109" t="str">
        <f t="shared" si="10"/>
        <v/>
      </c>
      <c r="X622" s="109" t="str">
        <f t="shared" si="11"/>
        <v/>
      </c>
      <c r="Y622" s="110" t="str">
        <f t="array" ref="Y622">_xlfn.XLOOKUP(A622,'Video Database'!L:L,'Video Database'!M:M,"")</f>
        <v>Product Overlay</v>
      </c>
    </row>
    <row r="623" ht="22.5" customHeight="1">
      <c r="A623" s="113">
        <f t="shared" si="12"/>
        <v>622</v>
      </c>
      <c r="B623" s="98" t="str">
        <f t="array" ref="B623">_xlfn.XLOOKUP(A623,'Video Database'!L:L,'Video Database'!D:D,"")</f>
        <v>Blakely</v>
      </c>
      <c r="C623" s="98" t="str">
        <f t="array" ref="C623">_xlfn.XLOOKUP(A623,'Video Database'!L:L,'Video Database'!E:E,"")</f>
        <v>Account 1</v>
      </c>
      <c r="D623" s="99" t="str">
        <f t="array" ref="D623">_xlfn.XLOOKUP(A623,'Video Database'!L:L,'Video Database'!G:G,"")</f>
        <v>tarte CC Color-Correct Tinted Serum</v>
      </c>
      <c r="E623" s="100">
        <f t="array" ref="E623">_xlfn.XLOOKUP(A623,'Video Database'!L:L,'Video Database'!H:H,"")</f>
        <v>0.11</v>
      </c>
      <c r="F623" s="101">
        <v>0.0</v>
      </c>
      <c r="G623" s="87">
        <v>0.0</v>
      </c>
      <c r="H623" s="114">
        <f t="array" ref="H623">_xlfn.XLOOKUP(A623,'Video Database'!L:L,'Video Database'!A:A,"")</f>
        <v>46194</v>
      </c>
      <c r="I623" s="103">
        <v>46201.0</v>
      </c>
      <c r="J623" s="104">
        <v>0.0</v>
      </c>
      <c r="K623" s="105"/>
      <c r="L623" s="105" t="str">
        <f t="shared" si="1"/>
        <v/>
      </c>
      <c r="O623" s="106" t="str">
        <f t="shared" si="2"/>
        <v>#N/A</v>
      </c>
      <c r="P623" s="106" t="str">
        <f t="shared" si="3"/>
        <v>#N/A</v>
      </c>
      <c r="Q623" s="84" t="str">
        <f t="shared" si="4"/>
        <v>#N/A</v>
      </c>
      <c r="R623" s="84" t="str">
        <f t="shared" si="5"/>
        <v>#N/A</v>
      </c>
      <c r="S623" s="107">
        <f t="shared" si="6"/>
        <v>-0.11</v>
      </c>
      <c r="T623" s="108">
        <f t="shared" si="7"/>
        <v>-1</v>
      </c>
      <c r="U623" s="106" t="str">
        <f t="shared" si="8"/>
        <v>#N/A</v>
      </c>
      <c r="V623" s="84" t="str">
        <f t="shared" si="9"/>
        <v/>
      </c>
      <c r="W623" s="109" t="str">
        <f t="shared" si="10"/>
        <v/>
      </c>
      <c r="X623" s="109" t="str">
        <f t="shared" si="11"/>
        <v/>
      </c>
      <c r="Y623" s="110" t="str">
        <f t="array" ref="Y623">_xlfn.XLOOKUP(A623,'Video Database'!L:L,'Video Database'!M:M,"")</f>
        <v>Product Overlay</v>
      </c>
    </row>
    <row r="624" ht="22.5" customHeight="1">
      <c r="A624" s="113">
        <f t="shared" si="12"/>
        <v>623</v>
      </c>
      <c r="B624" s="98" t="str">
        <f t="array" ref="B624">_xlfn.XLOOKUP(A624,'Video Database'!L:L,'Video Database'!D:D,"")</f>
        <v>Blakely</v>
      </c>
      <c r="C624" s="98" t="str">
        <f t="array" ref="C624">_xlfn.XLOOKUP(A624,'Video Database'!L:L,'Video Database'!E:E,"")</f>
        <v>Account 1</v>
      </c>
      <c r="D624" s="99" t="str">
        <f t="array" ref="D624">_xlfn.XLOOKUP(A624,'Video Database'!L:L,'Video Database'!G:G,"")</f>
        <v>Swanson Full Spectrum Spearmint Leaf</v>
      </c>
      <c r="E624" s="100">
        <f t="array" ref="E624">_xlfn.XLOOKUP(A624,'Video Database'!L:L,'Video Database'!H:H,"")</f>
        <v>0.11</v>
      </c>
      <c r="F624" s="101">
        <v>0.0</v>
      </c>
      <c r="G624" s="87">
        <v>0.0</v>
      </c>
      <c r="H624" s="114">
        <f t="array" ref="H624">_xlfn.XLOOKUP(A624,'Video Database'!L:L,'Video Database'!A:A,"")</f>
        <v>46194</v>
      </c>
      <c r="I624" s="103">
        <v>46201.0</v>
      </c>
      <c r="J624" s="104">
        <v>0.0</v>
      </c>
      <c r="K624" s="105"/>
      <c r="L624" s="105" t="str">
        <f t="shared" si="1"/>
        <v/>
      </c>
      <c r="O624" s="106" t="str">
        <f t="shared" si="2"/>
        <v>#N/A</v>
      </c>
      <c r="P624" s="106" t="str">
        <f t="shared" si="3"/>
        <v>#N/A</v>
      </c>
      <c r="Q624" s="84" t="str">
        <f t="shared" si="4"/>
        <v>#N/A</v>
      </c>
      <c r="R624" s="84" t="str">
        <f t="shared" si="5"/>
        <v>#N/A</v>
      </c>
      <c r="S624" s="107">
        <f t="shared" si="6"/>
        <v>-0.11</v>
      </c>
      <c r="T624" s="108">
        <f t="shared" si="7"/>
        <v>-1</v>
      </c>
      <c r="U624" s="106" t="str">
        <f t="shared" si="8"/>
        <v>#N/A</v>
      </c>
      <c r="V624" s="84" t="str">
        <f t="shared" si="9"/>
        <v/>
      </c>
      <c r="W624" s="109" t="str">
        <f t="shared" si="10"/>
        <v/>
      </c>
      <c r="X624" s="109" t="str">
        <f t="shared" si="11"/>
        <v/>
      </c>
      <c r="Y624" s="110" t="str">
        <f t="array" ref="Y624">_xlfn.XLOOKUP(A624,'Video Database'!L:L,'Video Database'!M:M,"")</f>
        <v>Product Overlay</v>
      </c>
    </row>
    <row r="625" ht="22.5" customHeight="1">
      <c r="A625" s="113">
        <f t="shared" si="12"/>
        <v>624</v>
      </c>
      <c r="B625" s="98" t="str">
        <f t="array" ref="B625">_xlfn.XLOOKUP(A625,'Video Database'!L:L,'Video Database'!D:D,"")</f>
        <v>Blakely</v>
      </c>
      <c r="C625" s="98" t="str">
        <f t="array" ref="C625">_xlfn.XLOOKUP(A625,'Video Database'!L:L,'Video Database'!E:E,"")</f>
        <v>Account 1</v>
      </c>
      <c r="D625" s="99" t="str">
        <f t="array" ref="D625">_xlfn.XLOOKUP(A625,'Video Database'!L:L,'Video Database'!G:G,"")</f>
        <v>Fillo's Walking Tamales Variety Pack</v>
      </c>
      <c r="E625" s="100">
        <f t="array" ref="E625">_xlfn.XLOOKUP(A625,'Video Database'!L:L,'Video Database'!H:H,"")</f>
        <v>0.11</v>
      </c>
      <c r="F625" s="101">
        <v>0.0</v>
      </c>
      <c r="G625" s="87">
        <v>0.0</v>
      </c>
      <c r="H625" s="114">
        <f t="array" ref="H625">_xlfn.XLOOKUP(A625,'Video Database'!L:L,'Video Database'!A:A,"")</f>
        <v>46194</v>
      </c>
      <c r="I625" s="103">
        <v>46201.0</v>
      </c>
      <c r="J625" s="104">
        <v>0.0</v>
      </c>
      <c r="K625" s="105"/>
      <c r="L625" s="105" t="str">
        <f t="shared" si="1"/>
        <v/>
      </c>
      <c r="O625" s="106" t="str">
        <f t="shared" si="2"/>
        <v>#N/A</v>
      </c>
      <c r="P625" s="106" t="str">
        <f t="shared" si="3"/>
        <v>#N/A</v>
      </c>
      <c r="Q625" s="84" t="str">
        <f t="shared" si="4"/>
        <v>#N/A</v>
      </c>
      <c r="R625" s="84" t="str">
        <f t="shared" si="5"/>
        <v>#N/A</v>
      </c>
      <c r="S625" s="107">
        <f t="shared" si="6"/>
        <v>-0.11</v>
      </c>
      <c r="T625" s="108">
        <f t="shared" si="7"/>
        <v>-1</v>
      </c>
      <c r="U625" s="106" t="str">
        <f t="shared" si="8"/>
        <v>#N/A</v>
      </c>
      <c r="V625" s="84" t="str">
        <f t="shared" si="9"/>
        <v/>
      </c>
      <c r="W625" s="109" t="str">
        <f t="shared" si="10"/>
        <v/>
      </c>
      <c r="X625" s="109" t="str">
        <f t="shared" si="11"/>
        <v/>
      </c>
      <c r="Y625" s="110" t="str">
        <f t="array" ref="Y625">_xlfn.XLOOKUP(A625,'Video Database'!L:L,'Video Database'!M:M,"")</f>
        <v>Product Overlay</v>
      </c>
    </row>
    <row r="626" ht="22.5" customHeight="1">
      <c r="A626" s="113">
        <f t="shared" si="12"/>
        <v>625</v>
      </c>
      <c r="B626" s="98" t="str">
        <f t="array" ref="B626">_xlfn.XLOOKUP(A626,'Video Database'!L:L,'Video Database'!D:D,"")</f>
        <v>Blakely</v>
      </c>
      <c r="C626" s="98" t="str">
        <f t="array" ref="C626">_xlfn.XLOOKUP(A626,'Video Database'!L:L,'Video Database'!E:E,"")</f>
        <v>Account 1</v>
      </c>
      <c r="D626" s="99" t="str">
        <f t="array" ref="D626">_xlfn.XLOOKUP(A626,'Video Database'!L:L,'Video Database'!G:G,"")</f>
        <v>IRIS Hormone Health Drink Mix</v>
      </c>
      <c r="E626" s="100">
        <f t="array" ref="E626">_xlfn.XLOOKUP(A626,'Video Database'!L:L,'Video Database'!H:H,"")</f>
        <v>0.11</v>
      </c>
      <c r="F626" s="101">
        <v>0.0</v>
      </c>
      <c r="G626" s="87">
        <v>0.0</v>
      </c>
      <c r="H626" s="114">
        <f t="array" ref="H626">_xlfn.XLOOKUP(A626,'Video Database'!L:L,'Video Database'!A:A,"")</f>
        <v>46194</v>
      </c>
      <c r="I626" s="103">
        <v>46201.0</v>
      </c>
      <c r="J626" s="104">
        <v>0.0</v>
      </c>
      <c r="K626" s="105"/>
      <c r="L626" s="105" t="str">
        <f t="shared" si="1"/>
        <v/>
      </c>
      <c r="O626" s="106" t="str">
        <f t="shared" si="2"/>
        <v>#N/A</v>
      </c>
      <c r="P626" s="106" t="str">
        <f t="shared" si="3"/>
        <v>#N/A</v>
      </c>
      <c r="Q626" s="84" t="str">
        <f t="shared" si="4"/>
        <v>#N/A</v>
      </c>
      <c r="R626" s="84" t="str">
        <f t="shared" si="5"/>
        <v>#N/A</v>
      </c>
      <c r="S626" s="107">
        <f t="shared" si="6"/>
        <v>-0.11</v>
      </c>
      <c r="T626" s="108">
        <f t="shared" si="7"/>
        <v>-1</v>
      </c>
      <c r="U626" s="106" t="str">
        <f t="shared" si="8"/>
        <v>#N/A</v>
      </c>
      <c r="V626" s="84" t="str">
        <f t="shared" si="9"/>
        <v/>
      </c>
      <c r="W626" s="109" t="str">
        <f t="shared" si="10"/>
        <v/>
      </c>
      <c r="X626" s="109" t="str">
        <f t="shared" si="11"/>
        <v/>
      </c>
      <c r="Y626" s="110" t="str">
        <f t="array" ref="Y626">_xlfn.XLOOKUP(A626,'Video Database'!L:L,'Video Database'!M:M,"")</f>
        <v>Product Overlay</v>
      </c>
    </row>
    <row r="627" ht="22.5" customHeight="1">
      <c r="A627" s="113">
        <f t="shared" si="12"/>
        <v>626</v>
      </c>
      <c r="B627" s="98" t="str">
        <f t="array" ref="B627">_xlfn.XLOOKUP(A627,'Video Database'!L:L,'Video Database'!D:D,"")</f>
        <v>Blakely</v>
      </c>
      <c r="C627" s="98" t="str">
        <f t="array" ref="C627">_xlfn.XLOOKUP(A627,'Video Database'!L:L,'Video Database'!E:E,"")</f>
        <v>Account 1</v>
      </c>
      <c r="D627" s="99" t="str">
        <f t="array" ref="D627">_xlfn.XLOOKUP(A627,'Video Database'!L:L,'Video Database'!G:G,"")</f>
        <v>Vimergy Organic Lemon Balm</v>
      </c>
      <c r="E627" s="100">
        <f t="array" ref="E627">_xlfn.XLOOKUP(A627,'Video Database'!L:L,'Video Database'!H:H,"")</f>
        <v>0.11</v>
      </c>
      <c r="F627" s="101">
        <v>0.0</v>
      </c>
      <c r="G627" s="87">
        <v>0.0</v>
      </c>
      <c r="H627" s="114">
        <f t="array" ref="H627">_xlfn.XLOOKUP(A627,'Video Database'!L:L,'Video Database'!A:A,"")</f>
        <v>46194</v>
      </c>
      <c r="I627" s="103">
        <v>46201.0</v>
      </c>
      <c r="J627" s="104">
        <v>0.0</v>
      </c>
      <c r="K627" s="105"/>
      <c r="L627" s="105" t="str">
        <f t="shared" si="1"/>
        <v/>
      </c>
      <c r="O627" s="106" t="str">
        <f t="shared" si="2"/>
        <v>#N/A</v>
      </c>
      <c r="P627" s="106" t="str">
        <f t="shared" si="3"/>
        <v>#N/A</v>
      </c>
      <c r="Q627" s="84" t="str">
        <f t="shared" si="4"/>
        <v>#N/A</v>
      </c>
      <c r="R627" s="84" t="str">
        <f t="shared" si="5"/>
        <v>#N/A</v>
      </c>
      <c r="S627" s="107">
        <f t="shared" si="6"/>
        <v>-0.11</v>
      </c>
      <c r="T627" s="108">
        <f t="shared" si="7"/>
        <v>-1</v>
      </c>
      <c r="U627" s="106" t="str">
        <f t="shared" si="8"/>
        <v>#N/A</v>
      </c>
      <c r="V627" s="84" t="str">
        <f t="shared" si="9"/>
        <v/>
      </c>
      <c r="W627" s="109" t="str">
        <f t="shared" si="10"/>
        <v/>
      </c>
      <c r="X627" s="109" t="str">
        <f t="shared" si="11"/>
        <v/>
      </c>
      <c r="Y627" s="110" t="str">
        <f t="array" ref="Y627">_xlfn.XLOOKUP(A627,'Video Database'!L:L,'Video Database'!M:M,"")</f>
        <v>Product Overlay</v>
      </c>
    </row>
    <row r="628" ht="22.5" customHeight="1">
      <c r="A628" s="113">
        <f t="shared" si="12"/>
        <v>627</v>
      </c>
      <c r="B628" s="98" t="str">
        <f t="array" ref="B628">_xlfn.XLOOKUP(A628,'Video Database'!L:L,'Video Database'!D:D,"")</f>
        <v>Blakely</v>
      </c>
      <c r="C628" s="98" t="str">
        <f t="array" ref="C628">_xlfn.XLOOKUP(A628,'Video Database'!L:L,'Video Database'!E:E,"")</f>
        <v>Account 1</v>
      </c>
      <c r="D628" s="99" t="str">
        <f t="array" ref="D628">_xlfn.XLOOKUP(A628,'Video Database'!L:L,'Video Database'!G:G,"")</f>
        <v>BIGVITA Hair +</v>
      </c>
      <c r="E628" s="100">
        <f t="array" ref="E628">_xlfn.XLOOKUP(A628,'Video Database'!L:L,'Video Database'!H:H,"")</f>
        <v>0.11</v>
      </c>
      <c r="F628" s="101">
        <v>0.0</v>
      </c>
      <c r="G628" s="87">
        <v>0.0</v>
      </c>
      <c r="H628" s="114">
        <f t="array" ref="H628">_xlfn.XLOOKUP(A628,'Video Database'!L:L,'Video Database'!A:A,"")</f>
        <v>46194</v>
      </c>
      <c r="I628" s="103">
        <v>46201.0</v>
      </c>
      <c r="J628" s="104">
        <v>0.0</v>
      </c>
      <c r="K628" s="105"/>
      <c r="L628" s="105" t="str">
        <f t="shared" si="1"/>
        <v/>
      </c>
      <c r="O628" s="106" t="str">
        <f t="shared" si="2"/>
        <v>#N/A</v>
      </c>
      <c r="P628" s="106" t="str">
        <f t="shared" si="3"/>
        <v>#N/A</v>
      </c>
      <c r="Q628" s="84" t="str">
        <f t="shared" si="4"/>
        <v>#N/A</v>
      </c>
      <c r="R628" s="84" t="str">
        <f t="shared" si="5"/>
        <v>#N/A</v>
      </c>
      <c r="S628" s="107">
        <f t="shared" si="6"/>
        <v>-0.11</v>
      </c>
      <c r="T628" s="108">
        <f t="shared" si="7"/>
        <v>-1</v>
      </c>
      <c r="U628" s="106" t="str">
        <f t="shared" si="8"/>
        <v>#N/A</v>
      </c>
      <c r="V628" s="84" t="str">
        <f t="shared" si="9"/>
        <v/>
      </c>
      <c r="W628" s="109" t="str">
        <f t="shared" si="10"/>
        <v/>
      </c>
      <c r="X628" s="109" t="str">
        <f t="shared" si="11"/>
        <v/>
      </c>
      <c r="Y628" s="110" t="str">
        <f t="array" ref="Y628">_xlfn.XLOOKUP(A628,'Video Database'!L:L,'Video Database'!M:M,"")</f>
        <v>Product Overlay</v>
      </c>
    </row>
    <row r="629" ht="22.5" customHeight="1">
      <c r="A629" s="113">
        <f t="shared" si="12"/>
        <v>628</v>
      </c>
      <c r="B629" s="98" t="str">
        <f t="array" ref="B629">_xlfn.XLOOKUP(A629,'Video Database'!L:L,'Video Database'!D:D,"")</f>
        <v>Blakely</v>
      </c>
      <c r="C629" s="98" t="str">
        <f t="array" ref="C629">_xlfn.XLOOKUP(A629,'Video Database'!L:L,'Video Database'!E:E,"")</f>
        <v>Account 1</v>
      </c>
      <c r="D629" s="99" t="str">
        <f t="array" ref="D629">_xlfn.XLOOKUP(A629,'Video Database'!L:L,'Video Database'!G:G,"")</f>
        <v>tarte smoldereyes shadow liner duo</v>
      </c>
      <c r="E629" s="100">
        <f t="array" ref="E629">_xlfn.XLOOKUP(A629,'Video Database'!L:L,'Video Database'!H:H,"")</f>
        <v>0.11</v>
      </c>
      <c r="F629" s="101">
        <v>0.0</v>
      </c>
      <c r="G629" s="87">
        <v>0.0</v>
      </c>
      <c r="H629" s="114">
        <f t="array" ref="H629">_xlfn.XLOOKUP(A629,'Video Database'!L:L,'Video Database'!A:A,"")</f>
        <v>46194</v>
      </c>
      <c r="I629" s="103">
        <v>46201.0</v>
      </c>
      <c r="J629" s="104">
        <v>0.0</v>
      </c>
      <c r="K629" s="105"/>
      <c r="L629" s="105" t="str">
        <f t="shared" si="1"/>
        <v/>
      </c>
      <c r="O629" s="106" t="str">
        <f t="shared" si="2"/>
        <v>#N/A</v>
      </c>
      <c r="P629" s="106" t="str">
        <f t="shared" si="3"/>
        <v>#N/A</v>
      </c>
      <c r="Q629" s="84" t="str">
        <f t="shared" si="4"/>
        <v>#N/A</v>
      </c>
      <c r="R629" s="84" t="str">
        <f t="shared" si="5"/>
        <v>#N/A</v>
      </c>
      <c r="S629" s="107">
        <f t="shared" si="6"/>
        <v>-0.11</v>
      </c>
      <c r="T629" s="108">
        <f t="shared" si="7"/>
        <v>-1</v>
      </c>
      <c r="U629" s="106" t="str">
        <f t="shared" si="8"/>
        <v>#N/A</v>
      </c>
      <c r="V629" s="84" t="str">
        <f t="shared" si="9"/>
        <v/>
      </c>
      <c r="W629" s="109" t="str">
        <f t="shared" si="10"/>
        <v/>
      </c>
      <c r="X629" s="109" t="str">
        <f t="shared" si="11"/>
        <v/>
      </c>
      <c r="Y629" s="110" t="str">
        <f t="array" ref="Y629">_xlfn.XLOOKUP(A629,'Video Database'!L:L,'Video Database'!M:M,"")</f>
        <v>Product Overlay</v>
      </c>
    </row>
    <row r="630" ht="22.5" customHeight="1">
      <c r="A630" s="113">
        <f t="shared" si="12"/>
        <v>629</v>
      </c>
      <c r="B630" s="98" t="str">
        <f t="array" ref="B630">_xlfn.XLOOKUP(A630,'Video Database'!L:L,'Video Database'!D:D,"")</f>
        <v>Erin</v>
      </c>
      <c r="C630" s="98" t="str">
        <f t="array" ref="C630">_xlfn.XLOOKUP(A630,'Video Database'!L:L,'Video Database'!E:E,"")</f>
        <v>Account 2</v>
      </c>
      <c r="D630" s="99" t="str">
        <f t="array" ref="D630">_xlfn.XLOOKUP(A630,'Video Database'!L:L,'Video Database'!G:G,"")</f>
        <v>SNOW Diamond Tetth Whitening Strips</v>
      </c>
      <c r="E630" s="100">
        <f t="array" ref="E630">_xlfn.XLOOKUP(A630,'Video Database'!L:L,'Video Database'!H:H,"")</f>
        <v>0.7337</v>
      </c>
      <c r="F630" s="101">
        <v>0.0</v>
      </c>
      <c r="G630" s="87">
        <v>0.0</v>
      </c>
      <c r="H630" s="114">
        <f t="array" ref="H630">_xlfn.XLOOKUP(A630,'Video Database'!L:L,'Video Database'!A:A,"")</f>
        <v>46194</v>
      </c>
      <c r="I630" s="103">
        <v>46201.0</v>
      </c>
      <c r="J630" s="104">
        <v>0.0</v>
      </c>
      <c r="K630" s="105"/>
      <c r="L630" s="105" t="str">
        <f t="shared" si="1"/>
        <v/>
      </c>
      <c r="O630" s="106" t="str">
        <f t="shared" si="2"/>
        <v>#N/A</v>
      </c>
      <c r="P630" s="106" t="str">
        <f t="shared" si="3"/>
        <v>#N/A</v>
      </c>
      <c r="Q630" s="84" t="str">
        <f t="shared" si="4"/>
        <v>#N/A</v>
      </c>
      <c r="R630" s="84" t="str">
        <f t="shared" si="5"/>
        <v>#N/A</v>
      </c>
      <c r="S630" s="107">
        <f t="shared" si="6"/>
        <v>-0.7337</v>
      </c>
      <c r="T630" s="108">
        <f t="shared" si="7"/>
        <v>-1</v>
      </c>
      <c r="U630" s="106" t="str">
        <f t="shared" si="8"/>
        <v>#N/A</v>
      </c>
      <c r="V630" s="84" t="str">
        <f t="shared" si="9"/>
        <v/>
      </c>
      <c r="W630" s="109" t="str">
        <f t="shared" si="10"/>
        <v/>
      </c>
      <c r="X630" s="109" t="str">
        <f t="shared" si="11"/>
        <v/>
      </c>
      <c r="Y630" s="110" t="str">
        <f t="array" ref="Y630">_xlfn.XLOOKUP(A630,'Video Database'!L:L,'Video Database'!M:M,"")</f>
        <v>Bottom of Funnel</v>
      </c>
    </row>
    <row r="631" ht="22.5" customHeight="1">
      <c r="A631" s="113">
        <f t="shared" si="12"/>
        <v>630</v>
      </c>
      <c r="B631" s="98" t="str">
        <f t="array" ref="B631">_xlfn.XLOOKUP(A631,'Video Database'!L:L,'Video Database'!D:D,"")</f>
        <v>Erin</v>
      </c>
      <c r="C631" s="98" t="str">
        <f t="array" ref="C631">_xlfn.XLOOKUP(A631,'Video Database'!L:L,'Video Database'!E:E,"")</f>
        <v>Account 2</v>
      </c>
      <c r="D631" s="99" t="str">
        <f t="array" ref="D631">_xlfn.XLOOKUP(A631,'Video Database'!L:L,'Video Database'!G:G,"")</f>
        <v>SNOW Diamond Tetth Whitening Strips</v>
      </c>
      <c r="E631" s="100">
        <f t="array" ref="E631">_xlfn.XLOOKUP(A631,'Video Database'!L:L,'Video Database'!H:H,"")</f>
        <v>0.7337</v>
      </c>
      <c r="F631" s="101">
        <v>0.0</v>
      </c>
      <c r="G631" s="87">
        <v>0.0</v>
      </c>
      <c r="H631" s="114">
        <f t="array" ref="H631">_xlfn.XLOOKUP(A631,'Video Database'!L:L,'Video Database'!A:A,"")</f>
        <v>46194</v>
      </c>
      <c r="I631" s="103">
        <v>46201.0</v>
      </c>
      <c r="J631" s="104">
        <v>0.0</v>
      </c>
      <c r="K631" s="105"/>
      <c r="L631" s="105" t="str">
        <f t="shared" si="1"/>
        <v/>
      </c>
      <c r="O631" s="106" t="str">
        <f t="shared" si="2"/>
        <v>#N/A</v>
      </c>
      <c r="P631" s="106" t="str">
        <f t="shared" si="3"/>
        <v>#N/A</v>
      </c>
      <c r="Q631" s="84" t="str">
        <f t="shared" si="4"/>
        <v>#N/A</v>
      </c>
      <c r="R631" s="84" t="str">
        <f t="shared" si="5"/>
        <v>#N/A</v>
      </c>
      <c r="S631" s="107">
        <f t="shared" si="6"/>
        <v>-0.7337</v>
      </c>
      <c r="T631" s="108">
        <f t="shared" si="7"/>
        <v>-1</v>
      </c>
      <c r="U631" s="106" t="str">
        <f t="shared" si="8"/>
        <v>#N/A</v>
      </c>
      <c r="V631" s="84" t="str">
        <f t="shared" si="9"/>
        <v/>
      </c>
      <c r="W631" s="109" t="str">
        <f t="shared" si="10"/>
        <v/>
      </c>
      <c r="X631" s="109" t="str">
        <f t="shared" si="11"/>
        <v/>
      </c>
      <c r="Y631" s="110" t="str">
        <f t="array" ref="Y631">_xlfn.XLOOKUP(A631,'Video Database'!L:L,'Video Database'!M:M,"")</f>
        <v>Bottom of Funnel</v>
      </c>
    </row>
    <row r="632" ht="22.5" customHeight="1">
      <c r="A632" s="113">
        <f t="shared" si="12"/>
        <v>631</v>
      </c>
      <c r="B632" s="98" t="str">
        <f t="array" ref="B632">_xlfn.XLOOKUP(A632,'Video Database'!L:L,'Video Database'!D:D,"")</f>
        <v>Erin</v>
      </c>
      <c r="C632" s="98" t="str">
        <f t="array" ref="C632">_xlfn.XLOOKUP(A632,'Video Database'!L:L,'Video Database'!E:E,"")</f>
        <v>Account 2</v>
      </c>
      <c r="D632" s="99" t="str">
        <f t="array" ref="D632">_xlfn.XLOOKUP(A632,'Video Database'!L:L,'Video Database'!G:G,"")</f>
        <v>LullaBites Natural Sleep Gummies</v>
      </c>
      <c r="E632" s="100">
        <f t="array" ref="E632">_xlfn.XLOOKUP(A632,'Video Database'!L:L,'Video Database'!H:H,"")</f>
        <v>0.7337</v>
      </c>
      <c r="F632" s="101">
        <v>0.0</v>
      </c>
      <c r="G632" s="87">
        <v>0.0</v>
      </c>
      <c r="H632" s="114">
        <f t="array" ref="H632">_xlfn.XLOOKUP(A632,'Video Database'!L:L,'Video Database'!A:A,"")</f>
        <v>46194</v>
      </c>
      <c r="I632" s="103">
        <v>46201.0</v>
      </c>
      <c r="J632" s="104">
        <v>0.0</v>
      </c>
      <c r="K632" s="105"/>
      <c r="L632" s="105" t="str">
        <f t="shared" si="1"/>
        <v/>
      </c>
      <c r="O632" s="106" t="str">
        <f t="shared" si="2"/>
        <v>#N/A</v>
      </c>
      <c r="P632" s="106" t="str">
        <f t="shared" si="3"/>
        <v>#N/A</v>
      </c>
      <c r="Q632" s="84" t="str">
        <f t="shared" si="4"/>
        <v>#N/A</v>
      </c>
      <c r="R632" s="84" t="str">
        <f t="shared" si="5"/>
        <v>#N/A</v>
      </c>
      <c r="S632" s="107">
        <f t="shared" si="6"/>
        <v>-0.7337</v>
      </c>
      <c r="T632" s="108">
        <f t="shared" si="7"/>
        <v>-1</v>
      </c>
      <c r="U632" s="106" t="str">
        <f t="shared" si="8"/>
        <v>#N/A</v>
      </c>
      <c r="V632" s="84" t="str">
        <f t="shared" si="9"/>
        <v/>
      </c>
      <c r="W632" s="109" t="str">
        <f t="shared" si="10"/>
        <v/>
      </c>
      <c r="X632" s="109" t="str">
        <f t="shared" si="11"/>
        <v/>
      </c>
      <c r="Y632" s="110" t="str">
        <f t="array" ref="Y632">_xlfn.XLOOKUP(A632,'Video Database'!L:L,'Video Database'!M:M,"")</f>
        <v>Bottom of Funnel</v>
      </c>
    </row>
    <row r="633" ht="22.5" customHeight="1">
      <c r="A633" s="113">
        <f t="shared" si="12"/>
        <v>632</v>
      </c>
      <c r="B633" s="98" t="str">
        <f t="array" ref="B633">_xlfn.XLOOKUP(A633,'Video Database'!L:L,'Video Database'!D:D,"")</f>
        <v>Erin</v>
      </c>
      <c r="C633" s="98" t="str">
        <f t="array" ref="C633">_xlfn.XLOOKUP(A633,'Video Database'!L:L,'Video Database'!E:E,"")</f>
        <v>Account 2</v>
      </c>
      <c r="D633" s="99" t="str">
        <f t="array" ref="D633">_xlfn.XLOOKUP(A633,'Video Database'!L:L,'Video Database'!G:G,"")</f>
        <v>LullaBites Natural Sleep Gummies</v>
      </c>
      <c r="E633" s="100">
        <f t="array" ref="E633">_xlfn.XLOOKUP(A633,'Video Database'!L:L,'Video Database'!H:H,"")</f>
        <v>0.7337</v>
      </c>
      <c r="F633" s="101">
        <v>0.0</v>
      </c>
      <c r="G633" s="87">
        <v>0.0</v>
      </c>
      <c r="H633" s="114">
        <f t="array" ref="H633">_xlfn.XLOOKUP(A633,'Video Database'!L:L,'Video Database'!A:A,"")</f>
        <v>46194</v>
      </c>
      <c r="I633" s="103">
        <v>46201.0</v>
      </c>
      <c r="J633" s="104">
        <v>0.0</v>
      </c>
      <c r="K633" s="105"/>
      <c r="L633" s="105" t="str">
        <f t="shared" si="1"/>
        <v/>
      </c>
      <c r="O633" s="106" t="str">
        <f t="shared" si="2"/>
        <v>#N/A</v>
      </c>
      <c r="P633" s="106" t="str">
        <f t="shared" si="3"/>
        <v>#N/A</v>
      </c>
      <c r="Q633" s="84" t="str">
        <f t="shared" si="4"/>
        <v>#N/A</v>
      </c>
      <c r="R633" s="84" t="str">
        <f t="shared" si="5"/>
        <v>#N/A</v>
      </c>
      <c r="S633" s="107">
        <f t="shared" si="6"/>
        <v>-0.7337</v>
      </c>
      <c r="T633" s="108">
        <f t="shared" si="7"/>
        <v>-1</v>
      </c>
      <c r="U633" s="106" t="str">
        <f t="shared" si="8"/>
        <v>#N/A</v>
      </c>
      <c r="V633" s="84" t="str">
        <f t="shared" si="9"/>
        <v/>
      </c>
      <c r="W633" s="109" t="str">
        <f t="shared" si="10"/>
        <v/>
      </c>
      <c r="X633" s="109" t="str">
        <f t="shared" si="11"/>
        <v/>
      </c>
      <c r="Y633" s="110" t="str">
        <f t="array" ref="Y633">_xlfn.XLOOKUP(A633,'Video Database'!L:L,'Video Database'!M:M,"")</f>
        <v>Bottom of Funnel</v>
      </c>
    </row>
    <row r="634" ht="22.5" customHeight="1">
      <c r="A634" s="113">
        <f t="shared" si="12"/>
        <v>633</v>
      </c>
      <c r="B634" s="98" t="str">
        <f t="array" ref="B634">_xlfn.XLOOKUP(A634,'Video Database'!L:L,'Video Database'!D:D,"")</f>
        <v>Erin</v>
      </c>
      <c r="C634" s="98" t="str">
        <f t="array" ref="C634">_xlfn.XLOOKUP(A634,'Video Database'!L:L,'Video Database'!E:E,"")</f>
        <v>Account 2</v>
      </c>
      <c r="D634" s="99" t="str">
        <f t="array" ref="D634">_xlfn.XLOOKUP(A634,'Video Database'!L:L,'Video Database'!G:G,"")</f>
        <v>LullaBites Natural Sleep Gummies</v>
      </c>
      <c r="E634" s="100">
        <f t="array" ref="E634">_xlfn.XLOOKUP(A634,'Video Database'!L:L,'Video Database'!H:H,"")</f>
        <v>0.7337</v>
      </c>
      <c r="F634" s="101">
        <v>0.0</v>
      </c>
      <c r="G634" s="87">
        <v>0.0</v>
      </c>
      <c r="H634" s="114">
        <f t="array" ref="H634">_xlfn.XLOOKUP(A634,'Video Database'!L:L,'Video Database'!A:A,"")</f>
        <v>46194</v>
      </c>
      <c r="I634" s="103">
        <v>46201.0</v>
      </c>
      <c r="J634" s="104">
        <v>0.0</v>
      </c>
      <c r="K634" s="105"/>
      <c r="L634" s="105" t="str">
        <f t="shared" si="1"/>
        <v/>
      </c>
      <c r="O634" s="106" t="str">
        <f t="shared" si="2"/>
        <v>#N/A</v>
      </c>
      <c r="P634" s="106" t="str">
        <f t="shared" si="3"/>
        <v>#N/A</v>
      </c>
      <c r="Q634" s="84" t="str">
        <f t="shared" si="4"/>
        <v>#N/A</v>
      </c>
      <c r="R634" s="84" t="str">
        <f t="shared" si="5"/>
        <v>#N/A</v>
      </c>
      <c r="S634" s="107">
        <f t="shared" si="6"/>
        <v>-0.7337</v>
      </c>
      <c r="T634" s="108">
        <f t="shared" si="7"/>
        <v>-1</v>
      </c>
      <c r="U634" s="106" t="str">
        <f t="shared" si="8"/>
        <v>#N/A</v>
      </c>
      <c r="V634" s="84" t="str">
        <f t="shared" si="9"/>
        <v/>
      </c>
      <c r="W634" s="109" t="str">
        <f t="shared" si="10"/>
        <v/>
      </c>
      <c r="X634" s="109" t="str">
        <f t="shared" si="11"/>
        <v/>
      </c>
      <c r="Y634" s="110" t="str">
        <f t="array" ref="Y634">_xlfn.XLOOKUP(A634,'Video Database'!L:L,'Video Database'!M:M,"")</f>
        <v>Bottom of Funnel</v>
      </c>
    </row>
    <row r="635" ht="22.5" customHeight="1">
      <c r="A635" s="113">
        <f t="shared" si="12"/>
        <v>634</v>
      </c>
      <c r="B635" s="98" t="str">
        <f t="array" ref="B635">_xlfn.XLOOKUP(A635,'Video Database'!L:L,'Video Database'!D:D,"")</f>
        <v>Blakely</v>
      </c>
      <c r="C635" s="98" t="str">
        <f t="array" ref="C635">_xlfn.XLOOKUP(A635,'Video Database'!L:L,'Video Database'!E:E,"")</f>
        <v>Account 2</v>
      </c>
      <c r="D635" s="99" t="str">
        <f t="array" ref="D635">_xlfn.XLOOKUP(A635,'Video Database'!L:L,'Video Database'!G:G,"")</f>
        <v>JOYMODE Ignite Libido Support</v>
      </c>
      <c r="E635" s="100">
        <f t="array" ref="E635">_xlfn.XLOOKUP(A635,'Video Database'!L:L,'Video Database'!H:H,"")</f>
        <v>0.11</v>
      </c>
      <c r="F635" s="101">
        <v>65.94</v>
      </c>
      <c r="G635" s="87">
        <v>2.0</v>
      </c>
      <c r="H635" s="114">
        <f t="array" ref="H635">_xlfn.XLOOKUP(A635,'Video Database'!L:L,'Video Database'!A:A,"")</f>
        <v>46194</v>
      </c>
      <c r="I635" s="103">
        <v>46201.0</v>
      </c>
      <c r="J635" s="104">
        <v>8.8</v>
      </c>
      <c r="K635" s="87">
        <v>14.0</v>
      </c>
      <c r="L635" s="105">
        <f t="shared" si="1"/>
        <v>1200</v>
      </c>
      <c r="M635" s="87">
        <v>1200.0</v>
      </c>
      <c r="O635" s="106">
        <f t="shared" si="2"/>
        <v>0.01166666667</v>
      </c>
      <c r="P635" s="106">
        <f t="shared" si="3"/>
        <v>0.1428571429</v>
      </c>
      <c r="Q635" s="84">
        <f t="shared" si="4"/>
        <v>4.4</v>
      </c>
      <c r="R635" s="84">
        <f t="shared" si="5"/>
        <v>32.97</v>
      </c>
      <c r="S635" s="107">
        <f t="shared" si="6"/>
        <v>8.69</v>
      </c>
      <c r="T635" s="108">
        <f t="shared" si="7"/>
        <v>79</v>
      </c>
      <c r="U635" s="106">
        <f t="shared" si="8"/>
        <v>0.9875</v>
      </c>
      <c r="V635" s="129">
        <f t="shared" si="9"/>
        <v>0.055</v>
      </c>
      <c r="W635" s="109">
        <f t="shared" si="10"/>
        <v>0.007857142857</v>
      </c>
      <c r="X635" s="109">
        <f t="shared" si="11"/>
        <v>0.1668183197</v>
      </c>
      <c r="Y635" s="110" t="str">
        <f t="array" ref="Y635">_xlfn.XLOOKUP(A635,'Video Database'!L:L,'Video Database'!M:M,"")</f>
        <v>Product Overlay</v>
      </c>
    </row>
    <row r="636" ht="22.5" customHeight="1">
      <c r="A636" s="113">
        <f t="shared" si="12"/>
        <v>635</v>
      </c>
      <c r="B636" s="98" t="str">
        <f t="array" ref="B636">_xlfn.XLOOKUP(A636,'Video Database'!L:L,'Video Database'!D:D,"")</f>
        <v>Blakely</v>
      </c>
      <c r="C636" s="98" t="str">
        <f t="array" ref="C636">_xlfn.XLOOKUP(A636,'Video Database'!L:L,'Video Database'!E:E,"")</f>
        <v>Account 2</v>
      </c>
      <c r="D636" s="99" t="str">
        <f t="array" ref="D636">_xlfn.XLOOKUP(A636,'Video Database'!L:L,'Video Database'!G:G,"")</f>
        <v>BIGVITA Hair +</v>
      </c>
      <c r="E636" s="100">
        <f t="array" ref="E636">_xlfn.XLOOKUP(A636,'Video Database'!L:L,'Video Database'!H:H,"")</f>
        <v>0.11</v>
      </c>
      <c r="F636" s="101">
        <v>0.0</v>
      </c>
      <c r="G636" s="87">
        <v>0.0</v>
      </c>
      <c r="H636" s="114">
        <f t="array" ref="H636">_xlfn.XLOOKUP(A636,'Video Database'!L:L,'Video Database'!A:A,"")</f>
        <v>46194</v>
      </c>
      <c r="I636" s="103">
        <v>46201.0</v>
      </c>
      <c r="J636" s="104">
        <v>0.0</v>
      </c>
      <c r="K636" s="105"/>
      <c r="L636" s="105" t="str">
        <f t="shared" si="1"/>
        <v/>
      </c>
      <c r="O636" s="106" t="str">
        <f t="shared" si="2"/>
        <v>#N/A</v>
      </c>
      <c r="P636" s="106" t="str">
        <f t="shared" si="3"/>
        <v>#N/A</v>
      </c>
      <c r="Q636" s="84" t="str">
        <f t="shared" si="4"/>
        <v>#N/A</v>
      </c>
      <c r="R636" s="84" t="str">
        <f t="shared" si="5"/>
        <v>#N/A</v>
      </c>
      <c r="S636" s="107">
        <f t="shared" si="6"/>
        <v>-0.11</v>
      </c>
      <c r="T636" s="108">
        <f t="shared" si="7"/>
        <v>-1</v>
      </c>
      <c r="U636" s="106" t="str">
        <f t="shared" si="8"/>
        <v>#N/A</v>
      </c>
      <c r="V636" s="84" t="str">
        <f t="shared" si="9"/>
        <v/>
      </c>
      <c r="W636" s="109" t="str">
        <f t="shared" si="10"/>
        <v/>
      </c>
      <c r="X636" s="109" t="str">
        <f t="shared" si="11"/>
        <v/>
      </c>
      <c r="Y636" s="110" t="str">
        <f t="array" ref="Y636">_xlfn.XLOOKUP(A636,'Video Database'!L:L,'Video Database'!M:M,"")</f>
        <v>Product Overlay</v>
      </c>
    </row>
    <row r="637" ht="22.5" customHeight="1">
      <c r="A637" s="113">
        <f t="shared" si="12"/>
        <v>636</v>
      </c>
      <c r="B637" s="98" t="str">
        <f t="array" ref="B637">_xlfn.XLOOKUP(A637,'Video Database'!L:L,'Video Database'!D:D,"")</f>
        <v>Blakely</v>
      </c>
      <c r="C637" s="98" t="str">
        <f t="array" ref="C637">_xlfn.XLOOKUP(A637,'Video Database'!L:L,'Video Database'!E:E,"")</f>
        <v>Account 2</v>
      </c>
      <c r="D637" s="99" t="str">
        <f t="array" ref="D637">_xlfn.XLOOKUP(A637,'Video Database'!L:L,'Video Database'!G:G,"")</f>
        <v>Nooni korean apple lip oil trio</v>
      </c>
      <c r="E637" s="100">
        <f t="array" ref="E637">_xlfn.XLOOKUP(A637,'Video Database'!L:L,'Video Database'!H:H,"")</f>
        <v>0.11</v>
      </c>
      <c r="F637" s="101">
        <v>0.0</v>
      </c>
      <c r="G637" s="87">
        <v>0.0</v>
      </c>
      <c r="H637" s="114">
        <f t="array" ref="H637">_xlfn.XLOOKUP(A637,'Video Database'!L:L,'Video Database'!A:A,"")</f>
        <v>46194</v>
      </c>
      <c r="I637" s="103">
        <v>46201.0</v>
      </c>
      <c r="J637" s="104">
        <v>0.0</v>
      </c>
      <c r="K637" s="105"/>
      <c r="L637" s="105" t="str">
        <f t="shared" si="1"/>
        <v/>
      </c>
      <c r="O637" s="106" t="str">
        <f t="shared" si="2"/>
        <v>#N/A</v>
      </c>
      <c r="P637" s="106" t="str">
        <f t="shared" si="3"/>
        <v>#N/A</v>
      </c>
      <c r="Q637" s="84" t="str">
        <f t="shared" si="4"/>
        <v>#N/A</v>
      </c>
      <c r="R637" s="84" t="str">
        <f t="shared" si="5"/>
        <v>#N/A</v>
      </c>
      <c r="S637" s="107">
        <f t="shared" si="6"/>
        <v>-0.11</v>
      </c>
      <c r="T637" s="108">
        <f t="shared" si="7"/>
        <v>-1</v>
      </c>
      <c r="U637" s="106" t="str">
        <f t="shared" si="8"/>
        <v>#N/A</v>
      </c>
      <c r="V637" s="84" t="str">
        <f t="shared" si="9"/>
        <v/>
      </c>
      <c r="W637" s="109" t="str">
        <f t="shared" si="10"/>
        <v/>
      </c>
      <c r="X637" s="109" t="str">
        <f t="shared" si="11"/>
        <v/>
      </c>
      <c r="Y637" s="110" t="str">
        <f t="array" ref="Y637">_xlfn.XLOOKUP(A637,'Video Database'!L:L,'Video Database'!M:M,"")</f>
        <v>Product Overlay</v>
      </c>
    </row>
    <row r="638" ht="22.5" customHeight="1">
      <c r="A638" s="113">
        <f t="shared" si="12"/>
        <v>637</v>
      </c>
      <c r="B638" s="98" t="str">
        <f t="array" ref="B638">_xlfn.XLOOKUP(A638,'Video Database'!L:L,'Video Database'!D:D,"")</f>
        <v>Blakely</v>
      </c>
      <c r="C638" s="98" t="str">
        <f t="array" ref="C638">_xlfn.XLOOKUP(A638,'Video Database'!L:L,'Video Database'!E:E,"")</f>
        <v>Account 2</v>
      </c>
      <c r="D638" s="99" t="str">
        <f t="array" ref="D638">_xlfn.XLOOKUP(A638,'Video Database'!L:L,'Video Database'!G:G,"")</f>
        <v>tarte dab &amp; gab hair concealer</v>
      </c>
      <c r="E638" s="100">
        <f t="array" ref="E638">_xlfn.XLOOKUP(A638,'Video Database'!L:L,'Video Database'!H:H,"")</f>
        <v>0.11</v>
      </c>
      <c r="F638" s="101">
        <v>0.0</v>
      </c>
      <c r="G638" s="87">
        <v>0.0</v>
      </c>
      <c r="H638" s="114">
        <f t="array" ref="H638">_xlfn.XLOOKUP(A638,'Video Database'!L:L,'Video Database'!A:A,"")</f>
        <v>46194</v>
      </c>
      <c r="I638" s="103">
        <v>46201.0</v>
      </c>
      <c r="J638" s="104">
        <v>0.0</v>
      </c>
      <c r="K638" s="105"/>
      <c r="L638" s="105" t="str">
        <f t="shared" si="1"/>
        <v/>
      </c>
      <c r="O638" s="106" t="str">
        <f t="shared" si="2"/>
        <v>#N/A</v>
      </c>
      <c r="P638" s="106" t="str">
        <f t="shared" si="3"/>
        <v>#N/A</v>
      </c>
      <c r="Q638" s="84" t="str">
        <f t="shared" si="4"/>
        <v>#N/A</v>
      </c>
      <c r="R638" s="84" t="str">
        <f t="shared" si="5"/>
        <v>#N/A</v>
      </c>
      <c r="S638" s="107">
        <f t="shared" si="6"/>
        <v>-0.11</v>
      </c>
      <c r="T638" s="108">
        <f t="shared" si="7"/>
        <v>-1</v>
      </c>
      <c r="U638" s="106" t="str">
        <f t="shared" si="8"/>
        <v>#N/A</v>
      </c>
      <c r="V638" s="84" t="str">
        <f t="shared" si="9"/>
        <v/>
      </c>
      <c r="W638" s="109" t="str">
        <f t="shared" si="10"/>
        <v/>
      </c>
      <c r="X638" s="109" t="str">
        <f t="shared" si="11"/>
        <v/>
      </c>
      <c r="Y638" s="110" t="str">
        <f t="array" ref="Y638">_xlfn.XLOOKUP(A638,'Video Database'!L:L,'Video Database'!M:M,"")</f>
        <v>Product Overlay</v>
      </c>
    </row>
    <row r="639" ht="22.5" customHeight="1">
      <c r="A639" s="113">
        <f t="shared" si="12"/>
        <v>638</v>
      </c>
      <c r="B639" s="98" t="str">
        <f t="array" ref="B639">_xlfn.XLOOKUP(A639,'Video Database'!L:L,'Video Database'!D:D,"")</f>
        <v>Blakely</v>
      </c>
      <c r="C639" s="98" t="str">
        <f t="array" ref="C639">_xlfn.XLOOKUP(A639,'Video Database'!L:L,'Video Database'!E:E,"")</f>
        <v>Account 2</v>
      </c>
      <c r="D639" s="99" t="str">
        <f t="array" ref="D639">_xlfn.XLOOKUP(A639,'Video Database'!L:L,'Video Database'!G:G,"")</f>
        <v>tarte CC Color-Correct Tinted Serum</v>
      </c>
      <c r="E639" s="100">
        <f t="array" ref="E639">_xlfn.XLOOKUP(A639,'Video Database'!L:L,'Video Database'!H:H,"")</f>
        <v>0.11</v>
      </c>
      <c r="F639" s="101">
        <v>0.0</v>
      </c>
      <c r="G639" s="87">
        <v>0.0</v>
      </c>
      <c r="H639" s="114">
        <f t="array" ref="H639">_xlfn.XLOOKUP(A639,'Video Database'!L:L,'Video Database'!A:A,"")</f>
        <v>46194</v>
      </c>
      <c r="I639" s="103">
        <v>46201.0</v>
      </c>
      <c r="J639" s="104">
        <v>0.0</v>
      </c>
      <c r="K639" s="105"/>
      <c r="L639" s="105" t="str">
        <f t="shared" si="1"/>
        <v/>
      </c>
      <c r="O639" s="106" t="str">
        <f t="shared" si="2"/>
        <v>#N/A</v>
      </c>
      <c r="P639" s="106" t="str">
        <f t="shared" si="3"/>
        <v>#N/A</v>
      </c>
      <c r="Q639" s="84" t="str">
        <f t="shared" si="4"/>
        <v>#N/A</v>
      </c>
      <c r="R639" s="84" t="str">
        <f t="shared" si="5"/>
        <v>#N/A</v>
      </c>
      <c r="S639" s="107">
        <f t="shared" si="6"/>
        <v>-0.11</v>
      </c>
      <c r="T639" s="108">
        <f t="shared" si="7"/>
        <v>-1</v>
      </c>
      <c r="U639" s="106" t="str">
        <f t="shared" si="8"/>
        <v>#N/A</v>
      </c>
      <c r="V639" s="84" t="str">
        <f t="shared" si="9"/>
        <v/>
      </c>
      <c r="W639" s="109" t="str">
        <f t="shared" si="10"/>
        <v/>
      </c>
      <c r="X639" s="109" t="str">
        <f t="shared" si="11"/>
        <v/>
      </c>
      <c r="Y639" s="110" t="str">
        <f t="array" ref="Y639">_xlfn.XLOOKUP(A639,'Video Database'!L:L,'Video Database'!M:M,"")</f>
        <v>Product Overlay</v>
      </c>
    </row>
    <row r="640" ht="22.5" customHeight="1">
      <c r="A640" s="113">
        <f t="shared" si="12"/>
        <v>639</v>
      </c>
      <c r="B640" s="98" t="str">
        <f t="array" ref="B640">_xlfn.XLOOKUP(A640,'Video Database'!L:L,'Video Database'!D:D,"")</f>
        <v>Blakely</v>
      </c>
      <c r="C640" s="98" t="str">
        <f t="array" ref="C640">_xlfn.XLOOKUP(A640,'Video Database'!L:L,'Video Database'!E:E,"")</f>
        <v>Account 2</v>
      </c>
      <c r="D640" s="99" t="str">
        <f t="array" ref="D640">_xlfn.XLOOKUP(A640,'Video Database'!L:L,'Video Database'!G:G,"")</f>
        <v>BrainMD L-Theanine Gummies</v>
      </c>
      <c r="E640" s="100">
        <f t="array" ref="E640">_xlfn.XLOOKUP(A640,'Video Database'!L:L,'Video Database'!H:H,"")</f>
        <v>0.11</v>
      </c>
      <c r="F640" s="101">
        <v>0.0</v>
      </c>
      <c r="G640" s="87">
        <v>0.0</v>
      </c>
      <c r="H640" s="114">
        <f t="array" ref="H640">_xlfn.XLOOKUP(A640,'Video Database'!L:L,'Video Database'!A:A,"")</f>
        <v>46194</v>
      </c>
      <c r="I640" s="103">
        <v>46201.0</v>
      </c>
      <c r="J640" s="104">
        <v>0.0</v>
      </c>
      <c r="K640" s="105"/>
      <c r="L640" s="105" t="str">
        <f t="shared" si="1"/>
        <v/>
      </c>
      <c r="O640" s="106" t="str">
        <f t="shared" si="2"/>
        <v>#N/A</v>
      </c>
      <c r="P640" s="106" t="str">
        <f t="shared" si="3"/>
        <v>#N/A</v>
      </c>
      <c r="Q640" s="84" t="str">
        <f t="shared" si="4"/>
        <v>#N/A</v>
      </c>
      <c r="R640" s="84" t="str">
        <f t="shared" si="5"/>
        <v>#N/A</v>
      </c>
      <c r="S640" s="107">
        <f t="shared" si="6"/>
        <v>-0.11</v>
      </c>
      <c r="T640" s="108">
        <f t="shared" si="7"/>
        <v>-1</v>
      </c>
      <c r="U640" s="106" t="str">
        <f t="shared" si="8"/>
        <v>#N/A</v>
      </c>
      <c r="V640" s="84" t="str">
        <f t="shared" si="9"/>
        <v/>
      </c>
      <c r="W640" s="109" t="str">
        <f t="shared" si="10"/>
        <v/>
      </c>
      <c r="X640" s="109" t="str">
        <f t="shared" si="11"/>
        <v/>
      </c>
      <c r="Y640" s="110" t="str">
        <f t="array" ref="Y640">_xlfn.XLOOKUP(A640,'Video Database'!L:L,'Video Database'!M:M,"")</f>
        <v>Product Overlay</v>
      </c>
    </row>
    <row r="641" ht="22.5" customHeight="1">
      <c r="A641" s="113">
        <f t="shared" si="12"/>
        <v>640</v>
      </c>
      <c r="B641" s="98" t="str">
        <f t="array" ref="B641">_xlfn.XLOOKUP(A641,'Video Database'!L:L,'Video Database'!D:D,"")</f>
        <v>Blakely</v>
      </c>
      <c r="C641" s="98" t="str">
        <f t="array" ref="C641">_xlfn.XLOOKUP(A641,'Video Database'!L:L,'Video Database'!E:E,"")</f>
        <v>Account 2</v>
      </c>
      <c r="D641" s="99" t="str">
        <f t="array" ref="D641">_xlfn.XLOOKUP(A641,'Video Database'!L:L,'Video Database'!G:G,"")</f>
        <v>IRIS Hormone Health Drink Mix</v>
      </c>
      <c r="E641" s="100">
        <f t="array" ref="E641">_xlfn.XLOOKUP(A641,'Video Database'!L:L,'Video Database'!H:H,"")</f>
        <v>0.11</v>
      </c>
      <c r="F641" s="101">
        <v>0.0</v>
      </c>
      <c r="G641" s="87">
        <v>0.0</v>
      </c>
      <c r="H641" s="114">
        <f t="array" ref="H641">_xlfn.XLOOKUP(A641,'Video Database'!L:L,'Video Database'!A:A,"")</f>
        <v>46194</v>
      </c>
      <c r="I641" s="103">
        <v>46201.0</v>
      </c>
      <c r="J641" s="104">
        <v>0.0</v>
      </c>
      <c r="K641" s="105"/>
      <c r="L641" s="105" t="str">
        <f t="shared" si="1"/>
        <v/>
      </c>
      <c r="O641" s="106" t="str">
        <f t="shared" si="2"/>
        <v>#N/A</v>
      </c>
      <c r="P641" s="106" t="str">
        <f t="shared" si="3"/>
        <v>#N/A</v>
      </c>
      <c r="Q641" s="84" t="str">
        <f t="shared" si="4"/>
        <v>#N/A</v>
      </c>
      <c r="R641" s="84" t="str">
        <f t="shared" si="5"/>
        <v>#N/A</v>
      </c>
      <c r="S641" s="107">
        <f t="shared" si="6"/>
        <v>-0.11</v>
      </c>
      <c r="T641" s="108">
        <f t="shared" si="7"/>
        <v>-1</v>
      </c>
      <c r="U641" s="106" t="str">
        <f t="shared" si="8"/>
        <v>#N/A</v>
      </c>
      <c r="V641" s="84" t="str">
        <f t="shared" si="9"/>
        <v/>
      </c>
      <c r="W641" s="109" t="str">
        <f t="shared" si="10"/>
        <v/>
      </c>
      <c r="X641" s="109" t="str">
        <f t="shared" si="11"/>
        <v/>
      </c>
      <c r="Y641" s="110" t="str">
        <f t="array" ref="Y641">_xlfn.XLOOKUP(A641,'Video Database'!L:L,'Video Database'!M:M,"")</f>
        <v>Product Overlay</v>
      </c>
    </row>
    <row r="642" ht="22.5" customHeight="1">
      <c r="A642" s="113">
        <f t="shared" si="12"/>
        <v>641</v>
      </c>
      <c r="B642" s="98" t="str">
        <f t="array" ref="B642">_xlfn.XLOOKUP(A642,'Video Database'!L:L,'Video Database'!D:D,"")</f>
        <v>Blakely</v>
      </c>
      <c r="C642" s="98" t="str">
        <f t="array" ref="C642">_xlfn.XLOOKUP(A642,'Video Database'!L:L,'Video Database'!E:E,"")</f>
        <v>Account 2</v>
      </c>
      <c r="D642" s="99" t="str">
        <f t="array" ref="D642">_xlfn.XLOOKUP(A642,'Video Database'!L:L,'Video Database'!G:G,"")</f>
        <v>Fillo's Walking Tamales Variety Pack</v>
      </c>
      <c r="E642" s="100">
        <f t="array" ref="E642">_xlfn.XLOOKUP(A642,'Video Database'!L:L,'Video Database'!H:H,"")</f>
        <v>0.11</v>
      </c>
      <c r="F642" s="101">
        <v>0.0</v>
      </c>
      <c r="G642" s="87">
        <v>0.0</v>
      </c>
      <c r="H642" s="114">
        <f t="array" ref="H642">_xlfn.XLOOKUP(A642,'Video Database'!L:L,'Video Database'!A:A,"")</f>
        <v>46194</v>
      </c>
      <c r="I642" s="103">
        <v>46201.0</v>
      </c>
      <c r="J642" s="104">
        <v>0.0</v>
      </c>
      <c r="K642" s="105"/>
      <c r="L642" s="105" t="str">
        <f t="shared" si="1"/>
        <v/>
      </c>
      <c r="O642" s="106" t="str">
        <f t="shared" si="2"/>
        <v>#N/A</v>
      </c>
      <c r="P642" s="106" t="str">
        <f t="shared" si="3"/>
        <v>#N/A</v>
      </c>
      <c r="Q642" s="84" t="str">
        <f t="shared" si="4"/>
        <v>#N/A</v>
      </c>
      <c r="R642" s="84" t="str">
        <f t="shared" si="5"/>
        <v>#N/A</v>
      </c>
      <c r="S642" s="107">
        <f t="shared" si="6"/>
        <v>-0.11</v>
      </c>
      <c r="T642" s="108">
        <f t="shared" si="7"/>
        <v>-1</v>
      </c>
      <c r="U642" s="106" t="str">
        <f t="shared" si="8"/>
        <v>#N/A</v>
      </c>
      <c r="V642" s="84" t="str">
        <f t="shared" si="9"/>
        <v/>
      </c>
      <c r="W642" s="109" t="str">
        <f t="shared" si="10"/>
        <v/>
      </c>
      <c r="X642" s="109" t="str">
        <f t="shared" si="11"/>
        <v/>
      </c>
      <c r="Y642" s="110" t="str">
        <f t="array" ref="Y642">_xlfn.XLOOKUP(A642,'Video Database'!L:L,'Video Database'!M:M,"")</f>
        <v>Product Overlay</v>
      </c>
    </row>
    <row r="643" ht="22.5" customHeight="1">
      <c r="A643" s="113">
        <f t="shared" si="12"/>
        <v>642</v>
      </c>
      <c r="B643" s="98" t="str">
        <f t="array" ref="B643">_xlfn.XLOOKUP(A643,'Video Database'!L:L,'Video Database'!D:D,"")</f>
        <v>Blakely</v>
      </c>
      <c r="C643" s="98" t="str">
        <f t="array" ref="C643">_xlfn.XLOOKUP(A643,'Video Database'!L:L,'Video Database'!E:E,"")</f>
        <v>Account 2</v>
      </c>
      <c r="D643" s="99" t="str">
        <f t="array" ref="D643">_xlfn.XLOOKUP(A643,'Video Database'!L:L,'Video Database'!G:G,"")</f>
        <v>tarte smoldereyes shadow liner duo</v>
      </c>
      <c r="E643" s="100">
        <f t="array" ref="E643">_xlfn.XLOOKUP(A643,'Video Database'!L:L,'Video Database'!H:H,"")</f>
        <v>0.11</v>
      </c>
      <c r="F643" s="101">
        <v>0.0</v>
      </c>
      <c r="G643" s="87">
        <v>0.0</v>
      </c>
      <c r="H643" s="114">
        <f t="array" ref="H643">_xlfn.XLOOKUP(A643,'Video Database'!L:L,'Video Database'!A:A,"")</f>
        <v>46194</v>
      </c>
      <c r="I643" s="103">
        <v>46201.0</v>
      </c>
      <c r="J643" s="104">
        <v>0.0</v>
      </c>
      <c r="K643" s="105"/>
      <c r="L643" s="105" t="str">
        <f t="shared" si="1"/>
        <v/>
      </c>
      <c r="O643" s="106" t="str">
        <f t="shared" si="2"/>
        <v>#N/A</v>
      </c>
      <c r="P643" s="106" t="str">
        <f t="shared" si="3"/>
        <v>#N/A</v>
      </c>
      <c r="Q643" s="84" t="str">
        <f t="shared" si="4"/>
        <v>#N/A</v>
      </c>
      <c r="R643" s="84" t="str">
        <f t="shared" si="5"/>
        <v>#N/A</v>
      </c>
      <c r="S643" s="107">
        <f t="shared" si="6"/>
        <v>-0.11</v>
      </c>
      <c r="T643" s="108">
        <f t="shared" si="7"/>
        <v>-1</v>
      </c>
      <c r="U643" s="106" t="str">
        <f t="shared" si="8"/>
        <v>#N/A</v>
      </c>
      <c r="V643" s="84" t="str">
        <f t="shared" si="9"/>
        <v/>
      </c>
      <c r="W643" s="109" t="str">
        <f t="shared" si="10"/>
        <v/>
      </c>
      <c r="X643" s="109" t="str">
        <f t="shared" si="11"/>
        <v/>
      </c>
      <c r="Y643" s="110" t="str">
        <f t="array" ref="Y643">_xlfn.XLOOKUP(A643,'Video Database'!L:L,'Video Database'!M:M,"")</f>
        <v>Product Overlay</v>
      </c>
    </row>
    <row r="644" ht="22.5" customHeight="1">
      <c r="A644" s="113">
        <f t="shared" si="12"/>
        <v>643</v>
      </c>
      <c r="B644" s="98" t="str">
        <f t="array" ref="B644">_xlfn.XLOOKUP(A644,'Video Database'!L:L,'Video Database'!D:D,"")</f>
        <v>Blakely</v>
      </c>
      <c r="C644" s="98" t="str">
        <f t="array" ref="C644">_xlfn.XLOOKUP(A644,'Video Database'!L:L,'Video Database'!E:E,"")</f>
        <v>Account 2</v>
      </c>
      <c r="D644" s="99" t="str">
        <f t="array" ref="D644">_xlfn.XLOOKUP(A644,'Video Database'!L:L,'Video Database'!G:G,"")</f>
        <v>Swanson Full Spectrum Spearmint Leaf</v>
      </c>
      <c r="E644" s="100">
        <f t="array" ref="E644">_xlfn.XLOOKUP(A644,'Video Database'!L:L,'Video Database'!H:H,"")</f>
        <v>0.11</v>
      </c>
      <c r="F644" s="101">
        <v>0.0</v>
      </c>
      <c r="G644" s="87">
        <v>0.0</v>
      </c>
      <c r="H644" s="114">
        <f t="array" ref="H644">_xlfn.XLOOKUP(A644,'Video Database'!L:L,'Video Database'!A:A,"")</f>
        <v>46194</v>
      </c>
      <c r="I644" s="103">
        <v>46201.0</v>
      </c>
      <c r="J644" s="104">
        <v>0.0</v>
      </c>
      <c r="K644" s="105"/>
      <c r="L644" s="105" t="str">
        <f t="shared" si="1"/>
        <v/>
      </c>
      <c r="O644" s="106" t="str">
        <f t="shared" si="2"/>
        <v>#N/A</v>
      </c>
      <c r="P644" s="106" t="str">
        <f t="shared" si="3"/>
        <v>#N/A</v>
      </c>
      <c r="Q644" s="84" t="str">
        <f t="shared" si="4"/>
        <v>#N/A</v>
      </c>
      <c r="R644" s="84" t="str">
        <f t="shared" si="5"/>
        <v>#N/A</v>
      </c>
      <c r="S644" s="107">
        <f t="shared" si="6"/>
        <v>-0.11</v>
      </c>
      <c r="T644" s="108">
        <f t="shared" si="7"/>
        <v>-1</v>
      </c>
      <c r="U644" s="106" t="str">
        <f t="shared" si="8"/>
        <v>#N/A</v>
      </c>
      <c r="V644" s="84" t="str">
        <f t="shared" si="9"/>
        <v/>
      </c>
      <c r="W644" s="109" t="str">
        <f t="shared" si="10"/>
        <v/>
      </c>
      <c r="X644" s="109" t="str">
        <f t="shared" si="11"/>
        <v/>
      </c>
      <c r="Y644" s="110" t="str">
        <f t="array" ref="Y644">_xlfn.XLOOKUP(A644,'Video Database'!L:L,'Video Database'!M:M,"")</f>
        <v>Product Overlay</v>
      </c>
    </row>
    <row r="645" ht="22.5" customHeight="1">
      <c r="A645" s="113">
        <f t="shared" si="12"/>
        <v>644</v>
      </c>
      <c r="B645" s="98" t="str">
        <f t="array" ref="B645">_xlfn.XLOOKUP(A645,'Video Database'!L:L,'Video Database'!D:D,"")</f>
        <v>Blakely</v>
      </c>
      <c r="C645" s="98" t="str">
        <f t="array" ref="C645">_xlfn.XLOOKUP(A645,'Video Database'!L:L,'Video Database'!E:E,"")</f>
        <v>Account 2</v>
      </c>
      <c r="D645" s="99" t="str">
        <f t="array" ref="D645">_xlfn.XLOOKUP(A645,'Video Database'!L:L,'Video Database'!G:G,"")</f>
        <v>Vimergy Organic Lemon Balm</v>
      </c>
      <c r="E645" s="100">
        <f t="array" ref="E645">_xlfn.XLOOKUP(A645,'Video Database'!L:L,'Video Database'!H:H,"")</f>
        <v>0.11</v>
      </c>
      <c r="F645" s="101">
        <v>0.0</v>
      </c>
      <c r="G645" s="87">
        <v>0.0</v>
      </c>
      <c r="H645" s="114">
        <f t="array" ref="H645">_xlfn.XLOOKUP(A645,'Video Database'!L:L,'Video Database'!A:A,"")</f>
        <v>46194</v>
      </c>
      <c r="I645" s="103">
        <v>46201.0</v>
      </c>
      <c r="J645" s="104">
        <v>0.0</v>
      </c>
      <c r="K645" s="105"/>
      <c r="L645" s="105" t="str">
        <f t="shared" si="1"/>
        <v/>
      </c>
      <c r="O645" s="106" t="str">
        <f t="shared" si="2"/>
        <v>#N/A</v>
      </c>
      <c r="P645" s="106" t="str">
        <f t="shared" si="3"/>
        <v>#N/A</v>
      </c>
      <c r="Q645" s="84" t="str">
        <f t="shared" si="4"/>
        <v>#N/A</v>
      </c>
      <c r="R645" s="84" t="str">
        <f t="shared" si="5"/>
        <v>#N/A</v>
      </c>
      <c r="S645" s="107">
        <f t="shared" si="6"/>
        <v>-0.11</v>
      </c>
      <c r="T645" s="108">
        <f t="shared" si="7"/>
        <v>-1</v>
      </c>
      <c r="U645" s="106" t="str">
        <f t="shared" si="8"/>
        <v>#N/A</v>
      </c>
      <c r="V645" s="84" t="str">
        <f t="shared" si="9"/>
        <v/>
      </c>
      <c r="W645" s="109" t="str">
        <f t="shared" si="10"/>
        <v/>
      </c>
      <c r="X645" s="109" t="str">
        <f t="shared" si="11"/>
        <v/>
      </c>
      <c r="Y645" s="110" t="str">
        <f t="array" ref="Y645">_xlfn.XLOOKUP(A645,'Video Database'!L:L,'Video Database'!M:M,"")</f>
        <v>Product Overlay</v>
      </c>
    </row>
    <row r="646" ht="22.5" customHeight="1">
      <c r="A646" s="113">
        <f t="shared" si="12"/>
        <v>645</v>
      </c>
      <c r="B646" s="98" t="str">
        <f t="array" ref="B646">_xlfn.XLOOKUP(A646,'Video Database'!L:L,'Video Database'!D:D,"")</f>
        <v>Blakely</v>
      </c>
      <c r="C646" s="98" t="str">
        <f t="array" ref="C646">_xlfn.XLOOKUP(A646,'Video Database'!L:L,'Video Database'!E:E,"")</f>
        <v>Account 2</v>
      </c>
      <c r="D646" s="99" t="str">
        <f t="array" ref="D646">_xlfn.XLOOKUP(A646,'Video Database'!L:L,'Video Database'!G:G,"")</f>
        <v>tarte dab &amp; gab hair concealer</v>
      </c>
      <c r="E646" s="100">
        <f t="array" ref="E646">_xlfn.XLOOKUP(A646,'Video Database'!L:L,'Video Database'!H:H,"")</f>
        <v>0.11</v>
      </c>
      <c r="F646" s="101">
        <v>0.0</v>
      </c>
      <c r="G646" s="87">
        <v>0.0</v>
      </c>
      <c r="H646" s="114">
        <f t="array" ref="H646">_xlfn.XLOOKUP(A646,'Video Database'!L:L,'Video Database'!A:A,"")</f>
        <v>46194</v>
      </c>
      <c r="I646" s="103">
        <v>46201.0</v>
      </c>
      <c r="J646" s="104">
        <v>0.0</v>
      </c>
      <c r="K646" s="105"/>
      <c r="L646" s="105" t="str">
        <f t="shared" si="1"/>
        <v/>
      </c>
      <c r="O646" s="106" t="str">
        <f t="shared" si="2"/>
        <v>#N/A</v>
      </c>
      <c r="P646" s="106" t="str">
        <f t="shared" si="3"/>
        <v>#N/A</v>
      </c>
      <c r="Q646" s="84" t="str">
        <f t="shared" si="4"/>
        <v>#N/A</v>
      </c>
      <c r="R646" s="84" t="str">
        <f t="shared" si="5"/>
        <v>#N/A</v>
      </c>
      <c r="S646" s="107">
        <f t="shared" si="6"/>
        <v>-0.11</v>
      </c>
      <c r="T646" s="108">
        <f t="shared" si="7"/>
        <v>-1</v>
      </c>
      <c r="U646" s="106" t="str">
        <f t="shared" si="8"/>
        <v>#N/A</v>
      </c>
      <c r="V646" s="84" t="str">
        <f t="shared" si="9"/>
        <v/>
      </c>
      <c r="W646" s="109" t="str">
        <f t="shared" si="10"/>
        <v/>
      </c>
      <c r="X646" s="109" t="str">
        <f t="shared" si="11"/>
        <v/>
      </c>
      <c r="Y646" s="110" t="str">
        <f t="array" ref="Y646">_xlfn.XLOOKUP(A646,'Video Database'!L:L,'Video Database'!M:M,"")</f>
        <v>Product Overlay</v>
      </c>
    </row>
    <row r="647" ht="22.5" customHeight="1">
      <c r="A647" s="113">
        <f t="shared" si="12"/>
        <v>646</v>
      </c>
      <c r="B647" s="98" t="str">
        <f t="array" ref="B647">_xlfn.XLOOKUP(A647,'Video Database'!L:L,'Video Database'!D:D,"")</f>
        <v>Blakely</v>
      </c>
      <c r="C647" s="98" t="str">
        <f t="array" ref="C647">_xlfn.XLOOKUP(A647,'Video Database'!L:L,'Video Database'!E:E,"")</f>
        <v>Account 2</v>
      </c>
      <c r="D647" s="99" t="str">
        <f t="array" ref="D647">_xlfn.XLOOKUP(A647,'Video Database'!L:L,'Video Database'!G:G,"")</f>
        <v>tarte dab &amp; gab hair concealer</v>
      </c>
      <c r="E647" s="100">
        <f t="array" ref="E647">_xlfn.XLOOKUP(A647,'Video Database'!L:L,'Video Database'!H:H,"")</f>
        <v>0.11</v>
      </c>
      <c r="F647" s="101">
        <v>0.0</v>
      </c>
      <c r="G647" s="87">
        <v>0.0</v>
      </c>
      <c r="H647" s="114">
        <f t="array" ref="H647">_xlfn.XLOOKUP(A647,'Video Database'!L:L,'Video Database'!A:A,"")</f>
        <v>46194</v>
      </c>
      <c r="I647" s="103">
        <v>46201.0</v>
      </c>
      <c r="J647" s="104">
        <v>0.0</v>
      </c>
      <c r="K647" s="105"/>
      <c r="L647" s="105" t="str">
        <f t="shared" si="1"/>
        <v/>
      </c>
      <c r="O647" s="106" t="str">
        <f t="shared" si="2"/>
        <v>#N/A</v>
      </c>
      <c r="P647" s="106" t="str">
        <f t="shared" si="3"/>
        <v>#N/A</v>
      </c>
      <c r="Q647" s="84" t="str">
        <f t="shared" si="4"/>
        <v>#N/A</v>
      </c>
      <c r="R647" s="84" t="str">
        <f t="shared" si="5"/>
        <v>#N/A</v>
      </c>
      <c r="S647" s="107">
        <f t="shared" si="6"/>
        <v>-0.11</v>
      </c>
      <c r="T647" s="108">
        <f t="shared" si="7"/>
        <v>-1</v>
      </c>
      <c r="U647" s="106" t="str">
        <f t="shared" si="8"/>
        <v>#N/A</v>
      </c>
      <c r="V647" s="84" t="str">
        <f t="shared" si="9"/>
        <v/>
      </c>
      <c r="W647" s="109" t="str">
        <f t="shared" si="10"/>
        <v/>
      </c>
      <c r="X647" s="109" t="str">
        <f t="shared" si="11"/>
        <v/>
      </c>
      <c r="Y647" s="110" t="str">
        <f t="array" ref="Y647">_xlfn.XLOOKUP(A647,'Video Database'!L:L,'Video Database'!M:M,"")</f>
        <v>Product Overlay</v>
      </c>
    </row>
    <row r="648" ht="22.5" customHeight="1">
      <c r="A648" s="113">
        <f t="shared" si="12"/>
        <v>647</v>
      </c>
      <c r="B648" s="98" t="str">
        <f t="array" ref="B648">_xlfn.XLOOKUP(A648,'Video Database'!L:L,'Video Database'!D:D,"")</f>
        <v>Erin</v>
      </c>
      <c r="C648" s="98" t="str">
        <f t="array" ref="C648">_xlfn.XLOOKUP(A648,'Video Database'!L:L,'Video Database'!E:E,"")</f>
        <v>Account 3</v>
      </c>
      <c r="D648" s="99" t="str">
        <f t="array" ref="D648">_xlfn.XLOOKUP(A648,'Video Database'!L:L,'Video Database'!G:G,"")</f>
        <v>SNOW Diamond Tetth Whitening Strips</v>
      </c>
      <c r="E648" s="100">
        <f t="array" ref="E648">_xlfn.XLOOKUP(A648,'Video Database'!L:L,'Video Database'!H:H,"")</f>
        <v>0.7337</v>
      </c>
      <c r="F648" s="101">
        <v>0.0</v>
      </c>
      <c r="G648" s="87">
        <v>0.0</v>
      </c>
      <c r="H648" s="114">
        <f t="array" ref="H648">_xlfn.XLOOKUP(A648,'Video Database'!L:L,'Video Database'!A:A,"")</f>
        <v>46194</v>
      </c>
      <c r="I648" s="103">
        <v>46201.0</v>
      </c>
      <c r="J648" s="104">
        <v>0.0</v>
      </c>
      <c r="K648" s="105"/>
      <c r="L648" s="105" t="str">
        <f t="shared" si="1"/>
        <v/>
      </c>
      <c r="O648" s="106" t="str">
        <f t="shared" si="2"/>
        <v>#N/A</v>
      </c>
      <c r="P648" s="106" t="str">
        <f t="shared" si="3"/>
        <v>#N/A</v>
      </c>
      <c r="Q648" s="84" t="str">
        <f t="shared" si="4"/>
        <v>#N/A</v>
      </c>
      <c r="R648" s="84" t="str">
        <f t="shared" si="5"/>
        <v>#N/A</v>
      </c>
      <c r="S648" s="107">
        <f t="shared" si="6"/>
        <v>-0.7337</v>
      </c>
      <c r="T648" s="108">
        <f t="shared" si="7"/>
        <v>-1</v>
      </c>
      <c r="U648" s="106" t="str">
        <f t="shared" si="8"/>
        <v>#N/A</v>
      </c>
      <c r="V648" s="84" t="str">
        <f t="shared" si="9"/>
        <v/>
      </c>
      <c r="W648" s="109" t="str">
        <f t="shared" si="10"/>
        <v/>
      </c>
      <c r="X648" s="109" t="str">
        <f t="shared" si="11"/>
        <v/>
      </c>
      <c r="Y648" s="110" t="str">
        <f t="array" ref="Y648">_xlfn.XLOOKUP(A648,'Video Database'!L:L,'Video Database'!M:M,"")</f>
        <v>Bottom of Funnel</v>
      </c>
    </row>
    <row r="649" ht="22.5" customHeight="1">
      <c r="A649" s="113">
        <f t="shared" si="12"/>
        <v>648</v>
      </c>
      <c r="B649" s="98" t="str">
        <f t="array" ref="B649">_xlfn.XLOOKUP(A649,'Video Database'!L:L,'Video Database'!D:D,"")</f>
        <v>Erin</v>
      </c>
      <c r="C649" s="98" t="str">
        <f t="array" ref="C649">_xlfn.XLOOKUP(A649,'Video Database'!L:L,'Video Database'!E:E,"")</f>
        <v>Account 3</v>
      </c>
      <c r="D649" s="99" t="str">
        <f t="array" ref="D649">_xlfn.XLOOKUP(A649,'Video Database'!L:L,'Video Database'!G:G,"")</f>
        <v>SNOW Diamond Tetth Whitening Strips</v>
      </c>
      <c r="E649" s="100">
        <f t="array" ref="E649">_xlfn.XLOOKUP(A649,'Video Database'!L:L,'Video Database'!H:H,"")</f>
        <v>0.7337</v>
      </c>
      <c r="F649" s="101">
        <v>0.0</v>
      </c>
      <c r="G649" s="87">
        <v>0.0</v>
      </c>
      <c r="H649" s="114">
        <f t="array" ref="H649">_xlfn.XLOOKUP(A649,'Video Database'!L:L,'Video Database'!A:A,"")</f>
        <v>46194</v>
      </c>
      <c r="I649" s="103">
        <v>46201.0</v>
      </c>
      <c r="J649" s="104">
        <v>0.0</v>
      </c>
      <c r="K649" s="105"/>
      <c r="L649" s="105" t="str">
        <f t="shared" si="1"/>
        <v/>
      </c>
      <c r="O649" s="106" t="str">
        <f t="shared" si="2"/>
        <v>#N/A</v>
      </c>
      <c r="P649" s="106" t="str">
        <f t="shared" si="3"/>
        <v>#N/A</v>
      </c>
      <c r="Q649" s="84" t="str">
        <f t="shared" si="4"/>
        <v>#N/A</v>
      </c>
      <c r="R649" s="84" t="str">
        <f t="shared" si="5"/>
        <v>#N/A</v>
      </c>
      <c r="S649" s="107">
        <f t="shared" si="6"/>
        <v>-0.7337</v>
      </c>
      <c r="T649" s="108">
        <f t="shared" si="7"/>
        <v>-1</v>
      </c>
      <c r="U649" s="106" t="str">
        <f t="shared" si="8"/>
        <v>#N/A</v>
      </c>
      <c r="V649" s="84" t="str">
        <f t="shared" si="9"/>
        <v/>
      </c>
      <c r="W649" s="109" t="str">
        <f t="shared" si="10"/>
        <v/>
      </c>
      <c r="X649" s="109" t="str">
        <f t="shared" si="11"/>
        <v/>
      </c>
      <c r="Y649" s="110" t="str">
        <f t="array" ref="Y649">_xlfn.XLOOKUP(A649,'Video Database'!L:L,'Video Database'!M:M,"")</f>
        <v>Bottom of Funnel</v>
      </c>
    </row>
    <row r="650" ht="22.5" customHeight="1">
      <c r="A650" s="113">
        <f t="shared" si="12"/>
        <v>649</v>
      </c>
      <c r="B650" s="98" t="str">
        <f t="array" ref="B650">_xlfn.XLOOKUP(A650,'Video Database'!L:L,'Video Database'!D:D,"")</f>
        <v>Erin</v>
      </c>
      <c r="C650" s="98" t="str">
        <f t="array" ref="C650">_xlfn.XLOOKUP(A650,'Video Database'!L:L,'Video Database'!E:E,"")</f>
        <v>Account 3</v>
      </c>
      <c r="D650" s="99" t="str">
        <f t="array" ref="D650">_xlfn.XLOOKUP(A650,'Video Database'!L:L,'Video Database'!G:G,"")</f>
        <v>LullaBites Natural Sleep Gummies</v>
      </c>
      <c r="E650" s="100">
        <f t="array" ref="E650">_xlfn.XLOOKUP(A650,'Video Database'!L:L,'Video Database'!H:H,"")</f>
        <v>0.7337</v>
      </c>
      <c r="F650" s="101">
        <v>0.0</v>
      </c>
      <c r="G650" s="87">
        <v>0.0</v>
      </c>
      <c r="H650" s="114">
        <f t="array" ref="H650">_xlfn.XLOOKUP(A650,'Video Database'!L:L,'Video Database'!A:A,"")</f>
        <v>46194</v>
      </c>
      <c r="I650" s="103">
        <v>46201.0</v>
      </c>
      <c r="J650" s="104">
        <v>0.0</v>
      </c>
      <c r="K650" s="105"/>
      <c r="L650" s="105" t="str">
        <f t="shared" si="1"/>
        <v/>
      </c>
      <c r="O650" s="106" t="str">
        <f t="shared" si="2"/>
        <v>#N/A</v>
      </c>
      <c r="P650" s="106" t="str">
        <f t="shared" si="3"/>
        <v>#N/A</v>
      </c>
      <c r="Q650" s="84" t="str">
        <f t="shared" si="4"/>
        <v>#N/A</v>
      </c>
      <c r="R650" s="84" t="str">
        <f t="shared" si="5"/>
        <v>#N/A</v>
      </c>
      <c r="S650" s="107">
        <f t="shared" si="6"/>
        <v>-0.7337</v>
      </c>
      <c r="T650" s="108">
        <f t="shared" si="7"/>
        <v>-1</v>
      </c>
      <c r="U650" s="106" t="str">
        <f t="shared" si="8"/>
        <v>#N/A</v>
      </c>
      <c r="V650" s="84" t="str">
        <f t="shared" si="9"/>
        <v/>
      </c>
      <c r="W650" s="109" t="str">
        <f t="shared" si="10"/>
        <v/>
      </c>
      <c r="X650" s="109" t="str">
        <f t="shared" si="11"/>
        <v/>
      </c>
      <c r="Y650" s="110" t="str">
        <f t="array" ref="Y650">_xlfn.XLOOKUP(A650,'Video Database'!L:L,'Video Database'!M:M,"")</f>
        <v>Bottom of Funnel</v>
      </c>
    </row>
    <row r="651" ht="22.5" customHeight="1">
      <c r="A651" s="113">
        <f t="shared" si="12"/>
        <v>650</v>
      </c>
      <c r="B651" s="98" t="str">
        <f t="array" ref="B651">_xlfn.XLOOKUP(A651,'Video Database'!L:L,'Video Database'!D:D,"")</f>
        <v>Erin</v>
      </c>
      <c r="C651" s="98" t="str">
        <f t="array" ref="C651">_xlfn.XLOOKUP(A651,'Video Database'!L:L,'Video Database'!E:E,"")</f>
        <v>Account 3</v>
      </c>
      <c r="D651" s="99" t="str">
        <f t="array" ref="D651">_xlfn.XLOOKUP(A651,'Video Database'!L:L,'Video Database'!G:G,"")</f>
        <v>SNOW Diamond Tetth Whitening Strips</v>
      </c>
      <c r="E651" s="100">
        <f t="array" ref="E651">_xlfn.XLOOKUP(A651,'Video Database'!L:L,'Video Database'!H:H,"")</f>
        <v>0.7337</v>
      </c>
      <c r="F651" s="101">
        <v>0.0</v>
      </c>
      <c r="G651" s="87">
        <v>0.0</v>
      </c>
      <c r="H651" s="114">
        <f t="array" ref="H651">_xlfn.XLOOKUP(A651,'Video Database'!L:L,'Video Database'!A:A,"")</f>
        <v>46194</v>
      </c>
      <c r="I651" s="103">
        <v>46201.0</v>
      </c>
      <c r="J651" s="104">
        <v>0.0</v>
      </c>
      <c r="K651" s="105"/>
      <c r="L651" s="105" t="str">
        <f t="shared" si="1"/>
        <v/>
      </c>
      <c r="O651" s="106" t="str">
        <f t="shared" si="2"/>
        <v>#N/A</v>
      </c>
      <c r="P651" s="106" t="str">
        <f t="shared" si="3"/>
        <v>#N/A</v>
      </c>
      <c r="Q651" s="84" t="str">
        <f t="shared" si="4"/>
        <v>#N/A</v>
      </c>
      <c r="R651" s="84" t="str">
        <f t="shared" si="5"/>
        <v>#N/A</v>
      </c>
      <c r="S651" s="107">
        <f t="shared" si="6"/>
        <v>-0.7337</v>
      </c>
      <c r="T651" s="108">
        <f t="shared" si="7"/>
        <v>-1</v>
      </c>
      <c r="U651" s="106" t="str">
        <f t="shared" si="8"/>
        <v>#N/A</v>
      </c>
      <c r="V651" s="84" t="str">
        <f t="shared" si="9"/>
        <v/>
      </c>
      <c r="W651" s="109" t="str">
        <f t="shared" si="10"/>
        <v/>
      </c>
      <c r="X651" s="109" t="str">
        <f t="shared" si="11"/>
        <v/>
      </c>
      <c r="Y651" s="110" t="str">
        <f t="array" ref="Y651">_xlfn.XLOOKUP(A651,'Video Database'!L:L,'Video Database'!M:M,"")</f>
        <v>Bottom of Funnel</v>
      </c>
    </row>
    <row r="652" ht="22.5" customHeight="1">
      <c r="A652" s="113">
        <f t="shared" si="12"/>
        <v>651</v>
      </c>
      <c r="B652" s="98" t="str">
        <f t="array" ref="B652">_xlfn.XLOOKUP(A652,'Video Database'!L:L,'Video Database'!D:D,"")</f>
        <v>Erin</v>
      </c>
      <c r="C652" s="98" t="str">
        <f t="array" ref="C652">_xlfn.XLOOKUP(A652,'Video Database'!L:L,'Video Database'!E:E,"")</f>
        <v>Account 3</v>
      </c>
      <c r="D652" s="99" t="str">
        <f t="array" ref="D652">_xlfn.XLOOKUP(A652,'Video Database'!L:L,'Video Database'!G:G,"")</f>
        <v>LullaBites Natural Sleep Gummies</v>
      </c>
      <c r="E652" s="100">
        <f t="array" ref="E652">_xlfn.XLOOKUP(A652,'Video Database'!L:L,'Video Database'!H:H,"")</f>
        <v>0.7337</v>
      </c>
      <c r="F652" s="101">
        <v>0.0</v>
      </c>
      <c r="G652" s="87">
        <v>0.0</v>
      </c>
      <c r="H652" s="114">
        <f t="array" ref="H652">_xlfn.XLOOKUP(A652,'Video Database'!L:L,'Video Database'!A:A,"")</f>
        <v>46194</v>
      </c>
      <c r="I652" s="103">
        <v>46201.0</v>
      </c>
      <c r="J652" s="104">
        <v>0.0</v>
      </c>
      <c r="K652" s="105"/>
      <c r="L652" s="105" t="str">
        <f t="shared" si="1"/>
        <v/>
      </c>
      <c r="O652" s="106" t="str">
        <f t="shared" si="2"/>
        <v>#N/A</v>
      </c>
      <c r="P652" s="106" t="str">
        <f t="shared" si="3"/>
        <v>#N/A</v>
      </c>
      <c r="Q652" s="84" t="str">
        <f t="shared" si="4"/>
        <v>#N/A</v>
      </c>
      <c r="R652" s="84" t="str">
        <f t="shared" si="5"/>
        <v>#N/A</v>
      </c>
      <c r="S652" s="107">
        <f t="shared" si="6"/>
        <v>-0.7337</v>
      </c>
      <c r="T652" s="108">
        <f t="shared" si="7"/>
        <v>-1</v>
      </c>
      <c r="U652" s="106" t="str">
        <f t="shared" si="8"/>
        <v>#N/A</v>
      </c>
      <c r="V652" s="84" t="str">
        <f t="shared" si="9"/>
        <v/>
      </c>
      <c r="W652" s="109" t="str">
        <f t="shared" si="10"/>
        <v/>
      </c>
      <c r="X652" s="109" t="str">
        <f t="shared" si="11"/>
        <v/>
      </c>
      <c r="Y652" s="110" t="str">
        <f t="array" ref="Y652">_xlfn.XLOOKUP(A652,'Video Database'!L:L,'Video Database'!M:M,"")</f>
        <v>Bottom of Funnel</v>
      </c>
    </row>
    <row r="653" ht="22.5" customHeight="1">
      <c r="A653" s="113">
        <f t="shared" si="12"/>
        <v>652</v>
      </c>
      <c r="B653" s="98" t="str">
        <f t="array" ref="B653">_xlfn.XLOOKUP(A653,'Video Database'!L:L,'Video Database'!D:D,"")</f>
        <v>Blakely</v>
      </c>
      <c r="C653" s="98" t="str">
        <f t="array" ref="C653">_xlfn.XLOOKUP(A653,'Video Database'!L:L,'Video Database'!E:E,"")</f>
        <v>Account 3</v>
      </c>
      <c r="D653" s="99" t="str">
        <f t="array" ref="D653">_xlfn.XLOOKUP(A653,'Video Database'!L:L,'Video Database'!G:G,"")</f>
        <v>BrainMD L-Theanine Gummies</v>
      </c>
      <c r="E653" s="100">
        <f t="array" ref="E653">_xlfn.XLOOKUP(A653,'Video Database'!L:L,'Video Database'!H:H,"")</f>
        <v>0.11</v>
      </c>
      <c r="F653" s="101">
        <v>0.0</v>
      </c>
      <c r="G653" s="87">
        <v>0.0</v>
      </c>
      <c r="H653" s="114">
        <f t="array" ref="H653">_xlfn.XLOOKUP(A653,'Video Database'!L:L,'Video Database'!A:A,"")</f>
        <v>46194</v>
      </c>
      <c r="I653" s="103">
        <v>46201.0</v>
      </c>
      <c r="J653" s="104">
        <v>0.0</v>
      </c>
      <c r="K653" s="105"/>
      <c r="L653" s="105" t="str">
        <f t="shared" si="1"/>
        <v/>
      </c>
      <c r="O653" s="106" t="str">
        <f t="shared" si="2"/>
        <v>#N/A</v>
      </c>
      <c r="P653" s="106" t="str">
        <f t="shared" si="3"/>
        <v>#N/A</v>
      </c>
      <c r="Q653" s="84" t="str">
        <f t="shared" si="4"/>
        <v>#N/A</v>
      </c>
      <c r="R653" s="84" t="str">
        <f t="shared" si="5"/>
        <v>#N/A</v>
      </c>
      <c r="S653" s="107">
        <f t="shared" si="6"/>
        <v>-0.11</v>
      </c>
      <c r="T653" s="108">
        <f t="shared" si="7"/>
        <v>-1</v>
      </c>
      <c r="U653" s="106" t="str">
        <f t="shared" si="8"/>
        <v>#N/A</v>
      </c>
      <c r="V653" s="84" t="str">
        <f t="shared" si="9"/>
        <v/>
      </c>
      <c r="W653" s="109" t="str">
        <f t="shared" si="10"/>
        <v/>
      </c>
      <c r="X653" s="109" t="str">
        <f t="shared" si="11"/>
        <v/>
      </c>
      <c r="Y653" s="110" t="str">
        <f t="array" ref="Y653">_xlfn.XLOOKUP(A653,'Video Database'!L:L,'Video Database'!M:M,"")</f>
        <v>Product Overlay</v>
      </c>
    </row>
    <row r="654" ht="22.5" customHeight="1">
      <c r="A654" s="113">
        <f t="shared" si="12"/>
        <v>653</v>
      </c>
      <c r="B654" s="98" t="str">
        <f t="array" ref="B654">_xlfn.XLOOKUP(A654,'Video Database'!L:L,'Video Database'!D:D,"")</f>
        <v>Blakely</v>
      </c>
      <c r="C654" s="98" t="str">
        <f t="array" ref="C654">_xlfn.XLOOKUP(A654,'Video Database'!L:L,'Video Database'!E:E,"")</f>
        <v>Account 3</v>
      </c>
      <c r="D654" s="99" t="str">
        <f t="array" ref="D654">_xlfn.XLOOKUP(A654,'Video Database'!L:L,'Video Database'!G:G,"")</f>
        <v>JOYMODE Ignite Libido Support</v>
      </c>
      <c r="E654" s="100">
        <f t="array" ref="E654">_xlfn.XLOOKUP(A654,'Video Database'!L:L,'Video Database'!H:H,"")</f>
        <v>0.11</v>
      </c>
      <c r="F654" s="101">
        <v>0.0</v>
      </c>
      <c r="G654" s="87">
        <v>0.0</v>
      </c>
      <c r="H654" s="114">
        <f t="array" ref="H654">_xlfn.XLOOKUP(A654,'Video Database'!L:L,'Video Database'!A:A,"")</f>
        <v>46194</v>
      </c>
      <c r="I654" s="103">
        <v>46201.0</v>
      </c>
      <c r="J654" s="104">
        <v>0.0</v>
      </c>
      <c r="K654" s="105"/>
      <c r="L654" s="105" t="str">
        <f t="shared" si="1"/>
        <v/>
      </c>
      <c r="O654" s="106" t="str">
        <f t="shared" si="2"/>
        <v>#N/A</v>
      </c>
      <c r="P654" s="106" t="str">
        <f t="shared" si="3"/>
        <v>#N/A</v>
      </c>
      <c r="Q654" s="84" t="str">
        <f t="shared" si="4"/>
        <v>#N/A</v>
      </c>
      <c r="R654" s="84" t="str">
        <f t="shared" si="5"/>
        <v>#N/A</v>
      </c>
      <c r="S654" s="107">
        <f t="shared" si="6"/>
        <v>-0.11</v>
      </c>
      <c r="T654" s="108">
        <f t="shared" si="7"/>
        <v>-1</v>
      </c>
      <c r="U654" s="106" t="str">
        <f t="shared" si="8"/>
        <v>#N/A</v>
      </c>
      <c r="V654" s="84" t="str">
        <f t="shared" si="9"/>
        <v/>
      </c>
      <c r="W654" s="109" t="str">
        <f t="shared" si="10"/>
        <v/>
      </c>
      <c r="X654" s="109" t="str">
        <f t="shared" si="11"/>
        <v/>
      </c>
      <c r="Y654" s="110" t="str">
        <f t="array" ref="Y654">_xlfn.XLOOKUP(A654,'Video Database'!L:L,'Video Database'!M:M,"")</f>
        <v>Product Overlay</v>
      </c>
    </row>
    <row r="655" ht="22.5" customHeight="1">
      <c r="A655" s="113">
        <f t="shared" si="12"/>
        <v>654</v>
      </c>
      <c r="B655" s="98" t="str">
        <f t="array" ref="B655">_xlfn.XLOOKUP(A655,'Video Database'!L:L,'Video Database'!D:D,"")</f>
        <v>Blakely</v>
      </c>
      <c r="C655" s="98" t="str">
        <f t="array" ref="C655">_xlfn.XLOOKUP(A655,'Video Database'!L:L,'Video Database'!E:E,"")</f>
        <v>Account 3</v>
      </c>
      <c r="D655" s="99" t="str">
        <f t="array" ref="D655">_xlfn.XLOOKUP(A655,'Video Database'!L:L,'Video Database'!G:G,"")</f>
        <v>IRIS Hormone Health Drink Mix</v>
      </c>
      <c r="E655" s="100">
        <f t="array" ref="E655">_xlfn.XLOOKUP(A655,'Video Database'!L:L,'Video Database'!H:H,"")</f>
        <v>0.11</v>
      </c>
      <c r="F655" s="101">
        <v>0.0</v>
      </c>
      <c r="G655" s="87">
        <v>0.0</v>
      </c>
      <c r="H655" s="114">
        <f t="array" ref="H655">_xlfn.XLOOKUP(A655,'Video Database'!L:L,'Video Database'!A:A,"")</f>
        <v>46194</v>
      </c>
      <c r="I655" s="103">
        <v>46201.0</v>
      </c>
      <c r="J655" s="104">
        <v>0.0</v>
      </c>
      <c r="K655" s="105"/>
      <c r="L655" s="105" t="str">
        <f t="shared" si="1"/>
        <v/>
      </c>
      <c r="O655" s="106" t="str">
        <f t="shared" si="2"/>
        <v>#N/A</v>
      </c>
      <c r="P655" s="106" t="str">
        <f t="shared" si="3"/>
        <v>#N/A</v>
      </c>
      <c r="Q655" s="84" t="str">
        <f t="shared" si="4"/>
        <v>#N/A</v>
      </c>
      <c r="R655" s="84" t="str">
        <f t="shared" si="5"/>
        <v>#N/A</v>
      </c>
      <c r="S655" s="107">
        <f t="shared" si="6"/>
        <v>-0.11</v>
      </c>
      <c r="T655" s="108">
        <f t="shared" si="7"/>
        <v>-1</v>
      </c>
      <c r="U655" s="106" t="str">
        <f t="shared" si="8"/>
        <v>#N/A</v>
      </c>
      <c r="V655" s="84" t="str">
        <f t="shared" si="9"/>
        <v/>
      </c>
      <c r="W655" s="109" t="str">
        <f t="shared" si="10"/>
        <v/>
      </c>
      <c r="X655" s="109" t="str">
        <f t="shared" si="11"/>
        <v/>
      </c>
      <c r="Y655" s="110" t="str">
        <f t="array" ref="Y655">_xlfn.XLOOKUP(A655,'Video Database'!L:L,'Video Database'!M:M,"")</f>
        <v>Product Overlay</v>
      </c>
    </row>
    <row r="656" ht="22.5" customHeight="1">
      <c r="A656" s="113">
        <f t="shared" si="12"/>
        <v>655</v>
      </c>
      <c r="B656" s="98" t="str">
        <f t="array" ref="B656">_xlfn.XLOOKUP(A656,'Video Database'!L:L,'Video Database'!D:D,"")</f>
        <v>Blakely</v>
      </c>
      <c r="C656" s="98" t="str">
        <f t="array" ref="C656">_xlfn.XLOOKUP(A656,'Video Database'!L:L,'Video Database'!E:E,"")</f>
        <v>Account 3</v>
      </c>
      <c r="D656" s="99" t="str">
        <f t="array" ref="D656">_xlfn.XLOOKUP(A656,'Video Database'!L:L,'Video Database'!G:G,"")</f>
        <v>tarte CC Color-Correct Tinted Serum</v>
      </c>
      <c r="E656" s="100">
        <f t="array" ref="E656">_xlfn.XLOOKUP(A656,'Video Database'!L:L,'Video Database'!H:H,"")</f>
        <v>0.11</v>
      </c>
      <c r="F656" s="101">
        <v>0.0</v>
      </c>
      <c r="G656" s="87">
        <v>0.0</v>
      </c>
      <c r="H656" s="114">
        <f t="array" ref="H656">_xlfn.XLOOKUP(A656,'Video Database'!L:L,'Video Database'!A:A,"")</f>
        <v>46194</v>
      </c>
      <c r="I656" s="103">
        <v>46201.0</v>
      </c>
      <c r="J656" s="104">
        <v>0.0</v>
      </c>
      <c r="K656" s="105"/>
      <c r="L656" s="105" t="str">
        <f t="shared" si="1"/>
        <v/>
      </c>
      <c r="O656" s="106" t="str">
        <f t="shared" si="2"/>
        <v>#N/A</v>
      </c>
      <c r="P656" s="106" t="str">
        <f t="shared" si="3"/>
        <v>#N/A</v>
      </c>
      <c r="Q656" s="84" t="str">
        <f t="shared" si="4"/>
        <v>#N/A</v>
      </c>
      <c r="R656" s="84" t="str">
        <f t="shared" si="5"/>
        <v>#N/A</v>
      </c>
      <c r="S656" s="107">
        <f t="shared" si="6"/>
        <v>-0.11</v>
      </c>
      <c r="T656" s="108">
        <f t="shared" si="7"/>
        <v>-1</v>
      </c>
      <c r="U656" s="106" t="str">
        <f t="shared" si="8"/>
        <v>#N/A</v>
      </c>
      <c r="V656" s="84" t="str">
        <f t="shared" si="9"/>
        <v/>
      </c>
      <c r="W656" s="109" t="str">
        <f t="shared" si="10"/>
        <v/>
      </c>
      <c r="X656" s="109" t="str">
        <f t="shared" si="11"/>
        <v/>
      </c>
      <c r="Y656" s="110" t="str">
        <f t="array" ref="Y656">_xlfn.XLOOKUP(A656,'Video Database'!L:L,'Video Database'!M:M,"")</f>
        <v>Product Overlay</v>
      </c>
    </row>
    <row r="657" ht="22.5" customHeight="1">
      <c r="A657" s="113">
        <f t="shared" si="12"/>
        <v>656</v>
      </c>
      <c r="B657" s="98" t="str">
        <f t="array" ref="B657">_xlfn.XLOOKUP(A657,'Video Database'!L:L,'Video Database'!D:D,"")</f>
        <v>Blakely</v>
      </c>
      <c r="C657" s="98" t="str">
        <f t="array" ref="C657">_xlfn.XLOOKUP(A657,'Video Database'!L:L,'Video Database'!E:E,"")</f>
        <v>Account 3</v>
      </c>
      <c r="D657" s="99" t="str">
        <f t="array" ref="D657">_xlfn.XLOOKUP(A657,'Video Database'!L:L,'Video Database'!G:G,"")</f>
        <v>BIGVITA Hair +</v>
      </c>
      <c r="E657" s="100">
        <f t="array" ref="E657">_xlfn.XLOOKUP(A657,'Video Database'!L:L,'Video Database'!H:H,"")</f>
        <v>0.11</v>
      </c>
      <c r="F657" s="101">
        <v>0.0</v>
      </c>
      <c r="G657" s="87">
        <v>0.0</v>
      </c>
      <c r="H657" s="114">
        <f t="array" ref="H657">_xlfn.XLOOKUP(A657,'Video Database'!L:L,'Video Database'!A:A,"")</f>
        <v>46194</v>
      </c>
      <c r="I657" s="103">
        <v>46201.0</v>
      </c>
      <c r="J657" s="104">
        <v>0.0</v>
      </c>
      <c r="K657" s="105"/>
      <c r="L657" s="105" t="str">
        <f t="shared" si="1"/>
        <v/>
      </c>
      <c r="O657" s="106" t="str">
        <f t="shared" si="2"/>
        <v>#N/A</v>
      </c>
      <c r="P657" s="106" t="str">
        <f t="shared" si="3"/>
        <v>#N/A</v>
      </c>
      <c r="Q657" s="84" t="str">
        <f t="shared" si="4"/>
        <v>#N/A</v>
      </c>
      <c r="R657" s="84" t="str">
        <f t="shared" si="5"/>
        <v>#N/A</v>
      </c>
      <c r="S657" s="107">
        <f t="shared" si="6"/>
        <v>-0.11</v>
      </c>
      <c r="T657" s="108">
        <f t="shared" si="7"/>
        <v>-1</v>
      </c>
      <c r="U657" s="106" t="str">
        <f t="shared" si="8"/>
        <v>#N/A</v>
      </c>
      <c r="V657" s="84" t="str">
        <f t="shared" si="9"/>
        <v/>
      </c>
      <c r="W657" s="109" t="str">
        <f t="shared" si="10"/>
        <v/>
      </c>
      <c r="X657" s="109" t="str">
        <f t="shared" si="11"/>
        <v/>
      </c>
      <c r="Y657" s="110" t="str">
        <f t="array" ref="Y657">_xlfn.XLOOKUP(A657,'Video Database'!L:L,'Video Database'!M:M,"")</f>
        <v>Product Overlay</v>
      </c>
    </row>
    <row r="658" ht="22.5" customHeight="1">
      <c r="A658" s="113">
        <f t="shared" si="12"/>
        <v>657</v>
      </c>
      <c r="B658" s="98" t="str">
        <f t="array" ref="B658">_xlfn.XLOOKUP(A658,'Video Database'!L:L,'Video Database'!D:D,"")</f>
        <v>Blakely</v>
      </c>
      <c r="C658" s="98" t="str">
        <f t="array" ref="C658">_xlfn.XLOOKUP(A658,'Video Database'!L:L,'Video Database'!E:E,"")</f>
        <v>Account 3</v>
      </c>
      <c r="D658" s="99" t="str">
        <f t="array" ref="D658">_xlfn.XLOOKUP(A658,'Video Database'!L:L,'Video Database'!G:G,"")</f>
        <v>Nooni korean apple lip oil trio</v>
      </c>
      <c r="E658" s="100">
        <f t="array" ref="E658">_xlfn.XLOOKUP(A658,'Video Database'!L:L,'Video Database'!H:H,"")</f>
        <v>0.11</v>
      </c>
      <c r="F658" s="101">
        <v>0.0</v>
      </c>
      <c r="G658" s="87">
        <v>0.0</v>
      </c>
      <c r="H658" s="114">
        <f t="array" ref="H658">_xlfn.XLOOKUP(A658,'Video Database'!L:L,'Video Database'!A:A,"")</f>
        <v>46194</v>
      </c>
      <c r="I658" s="103">
        <v>46201.0</v>
      </c>
      <c r="J658" s="104">
        <v>0.0</v>
      </c>
      <c r="K658" s="105"/>
      <c r="L658" s="105" t="str">
        <f t="shared" si="1"/>
        <v/>
      </c>
      <c r="O658" s="106" t="str">
        <f t="shared" si="2"/>
        <v>#N/A</v>
      </c>
      <c r="P658" s="106" t="str">
        <f t="shared" si="3"/>
        <v>#N/A</v>
      </c>
      <c r="Q658" s="84" t="str">
        <f t="shared" si="4"/>
        <v>#N/A</v>
      </c>
      <c r="R658" s="84" t="str">
        <f t="shared" si="5"/>
        <v>#N/A</v>
      </c>
      <c r="S658" s="107">
        <f t="shared" si="6"/>
        <v>-0.11</v>
      </c>
      <c r="T658" s="108">
        <f t="shared" si="7"/>
        <v>-1</v>
      </c>
      <c r="U658" s="106" t="str">
        <f t="shared" si="8"/>
        <v>#N/A</v>
      </c>
      <c r="V658" s="84" t="str">
        <f t="shared" si="9"/>
        <v/>
      </c>
      <c r="W658" s="109" t="str">
        <f t="shared" si="10"/>
        <v/>
      </c>
      <c r="X658" s="109" t="str">
        <f t="shared" si="11"/>
        <v/>
      </c>
      <c r="Y658" s="110" t="str">
        <f t="array" ref="Y658">_xlfn.XLOOKUP(A658,'Video Database'!L:L,'Video Database'!M:M,"")</f>
        <v>Product Overlay</v>
      </c>
    </row>
    <row r="659" ht="22.5" customHeight="1">
      <c r="A659" s="113">
        <f t="shared" si="12"/>
        <v>658</v>
      </c>
      <c r="B659" s="98" t="str">
        <f t="array" ref="B659">_xlfn.XLOOKUP(A659,'Video Database'!L:L,'Video Database'!D:D,"")</f>
        <v>Blakely</v>
      </c>
      <c r="C659" s="98" t="str">
        <f t="array" ref="C659">_xlfn.XLOOKUP(A659,'Video Database'!L:L,'Video Database'!E:E,"")</f>
        <v>Account 3</v>
      </c>
      <c r="D659" s="99" t="str">
        <f t="array" ref="D659">_xlfn.XLOOKUP(A659,'Video Database'!L:L,'Video Database'!G:G,"")</f>
        <v>Vimergy Organic Lemon Balm</v>
      </c>
      <c r="E659" s="100">
        <f t="array" ref="E659">_xlfn.XLOOKUP(A659,'Video Database'!L:L,'Video Database'!H:H,"")</f>
        <v>0.11</v>
      </c>
      <c r="F659" s="101">
        <v>0.0</v>
      </c>
      <c r="G659" s="87">
        <v>0.0</v>
      </c>
      <c r="H659" s="114">
        <f t="array" ref="H659">_xlfn.XLOOKUP(A659,'Video Database'!L:L,'Video Database'!A:A,"")</f>
        <v>46194</v>
      </c>
      <c r="I659" s="103">
        <v>46201.0</v>
      </c>
      <c r="J659" s="104">
        <v>0.0</v>
      </c>
      <c r="K659" s="105"/>
      <c r="L659" s="105" t="str">
        <f t="shared" si="1"/>
        <v/>
      </c>
      <c r="O659" s="106" t="str">
        <f t="shared" si="2"/>
        <v>#N/A</v>
      </c>
      <c r="P659" s="106" t="str">
        <f t="shared" si="3"/>
        <v>#N/A</v>
      </c>
      <c r="Q659" s="84" t="str">
        <f t="shared" si="4"/>
        <v>#N/A</v>
      </c>
      <c r="R659" s="84" t="str">
        <f t="shared" si="5"/>
        <v>#N/A</v>
      </c>
      <c r="S659" s="107">
        <f t="shared" si="6"/>
        <v>-0.11</v>
      </c>
      <c r="T659" s="108">
        <f t="shared" si="7"/>
        <v>-1</v>
      </c>
      <c r="U659" s="106" t="str">
        <f t="shared" si="8"/>
        <v>#N/A</v>
      </c>
      <c r="V659" s="84" t="str">
        <f t="shared" si="9"/>
        <v/>
      </c>
      <c r="W659" s="109" t="str">
        <f t="shared" si="10"/>
        <v/>
      </c>
      <c r="X659" s="109" t="str">
        <f t="shared" si="11"/>
        <v/>
      </c>
      <c r="Y659" s="110" t="str">
        <f t="array" ref="Y659">_xlfn.XLOOKUP(A659,'Video Database'!L:L,'Video Database'!M:M,"")</f>
        <v>Product Overlay</v>
      </c>
    </row>
    <row r="660" ht="22.5" customHeight="1">
      <c r="A660" s="113">
        <f t="shared" si="12"/>
        <v>659</v>
      </c>
      <c r="B660" s="98" t="str">
        <f t="array" ref="B660">_xlfn.XLOOKUP(A660,'Video Database'!L:L,'Video Database'!D:D,"")</f>
        <v>Blakely</v>
      </c>
      <c r="C660" s="98" t="str">
        <f t="array" ref="C660">_xlfn.XLOOKUP(A660,'Video Database'!L:L,'Video Database'!E:E,"")</f>
        <v>Account 3</v>
      </c>
      <c r="D660" s="99" t="str">
        <f t="array" ref="D660">_xlfn.XLOOKUP(A660,'Video Database'!L:L,'Video Database'!G:G,"")</f>
        <v>Swanson Full Spectrum Spearmint Leaf</v>
      </c>
      <c r="E660" s="100">
        <f t="array" ref="E660">_xlfn.XLOOKUP(A660,'Video Database'!L:L,'Video Database'!H:H,"")</f>
        <v>0.11</v>
      </c>
      <c r="F660" s="101">
        <v>0.0</v>
      </c>
      <c r="G660" s="87">
        <v>0.0</v>
      </c>
      <c r="H660" s="114">
        <f t="array" ref="H660">_xlfn.XLOOKUP(A660,'Video Database'!L:L,'Video Database'!A:A,"")</f>
        <v>46194</v>
      </c>
      <c r="I660" s="103">
        <v>46201.0</v>
      </c>
      <c r="J660" s="104">
        <v>0.0</v>
      </c>
      <c r="K660" s="105"/>
      <c r="L660" s="105" t="str">
        <f t="shared" si="1"/>
        <v/>
      </c>
      <c r="O660" s="106" t="str">
        <f t="shared" si="2"/>
        <v>#N/A</v>
      </c>
      <c r="P660" s="106" t="str">
        <f t="shared" si="3"/>
        <v>#N/A</v>
      </c>
      <c r="Q660" s="84" t="str">
        <f t="shared" si="4"/>
        <v>#N/A</v>
      </c>
      <c r="R660" s="84" t="str">
        <f t="shared" si="5"/>
        <v>#N/A</v>
      </c>
      <c r="S660" s="107">
        <f t="shared" si="6"/>
        <v>-0.11</v>
      </c>
      <c r="T660" s="108">
        <f t="shared" si="7"/>
        <v>-1</v>
      </c>
      <c r="U660" s="106" t="str">
        <f t="shared" si="8"/>
        <v>#N/A</v>
      </c>
      <c r="V660" s="84" t="str">
        <f t="shared" si="9"/>
        <v/>
      </c>
      <c r="W660" s="109" t="str">
        <f t="shared" si="10"/>
        <v/>
      </c>
      <c r="X660" s="109" t="str">
        <f t="shared" si="11"/>
        <v/>
      </c>
      <c r="Y660" s="110" t="str">
        <f t="array" ref="Y660">_xlfn.XLOOKUP(A660,'Video Database'!L:L,'Video Database'!M:M,"")</f>
        <v>Product Overlay</v>
      </c>
    </row>
    <row r="661" ht="22.5" customHeight="1">
      <c r="A661" s="113">
        <f t="shared" si="12"/>
        <v>660</v>
      </c>
      <c r="B661" s="98" t="str">
        <f t="array" ref="B661">_xlfn.XLOOKUP(A661,'Video Database'!L:L,'Video Database'!D:D,"")</f>
        <v>Blakely</v>
      </c>
      <c r="C661" s="98" t="str">
        <f t="array" ref="C661">_xlfn.XLOOKUP(A661,'Video Database'!L:L,'Video Database'!E:E,"")</f>
        <v>Account 3</v>
      </c>
      <c r="D661" s="99" t="str">
        <f t="array" ref="D661">_xlfn.XLOOKUP(A661,'Video Database'!L:L,'Video Database'!G:G,"")</f>
        <v>tarte smoldereyes shadow liner duo</v>
      </c>
      <c r="E661" s="100">
        <f t="array" ref="E661">_xlfn.XLOOKUP(A661,'Video Database'!L:L,'Video Database'!H:H,"")</f>
        <v>0.11</v>
      </c>
      <c r="F661" s="101">
        <v>0.0</v>
      </c>
      <c r="G661" s="87">
        <v>0.0</v>
      </c>
      <c r="H661" s="114">
        <f t="array" ref="H661">_xlfn.XLOOKUP(A661,'Video Database'!L:L,'Video Database'!A:A,"")</f>
        <v>46194</v>
      </c>
      <c r="I661" s="103">
        <v>46201.0</v>
      </c>
      <c r="J661" s="104">
        <v>0.0</v>
      </c>
      <c r="K661" s="105"/>
      <c r="L661" s="105" t="str">
        <f t="shared" si="1"/>
        <v/>
      </c>
      <c r="O661" s="106" t="str">
        <f t="shared" si="2"/>
        <v>#N/A</v>
      </c>
      <c r="P661" s="106" t="str">
        <f t="shared" si="3"/>
        <v>#N/A</v>
      </c>
      <c r="Q661" s="84" t="str">
        <f t="shared" si="4"/>
        <v>#N/A</v>
      </c>
      <c r="R661" s="84" t="str">
        <f t="shared" si="5"/>
        <v>#N/A</v>
      </c>
      <c r="S661" s="107">
        <f t="shared" si="6"/>
        <v>-0.11</v>
      </c>
      <c r="T661" s="108">
        <f t="shared" si="7"/>
        <v>-1</v>
      </c>
      <c r="U661" s="106" t="str">
        <f t="shared" si="8"/>
        <v>#N/A</v>
      </c>
      <c r="V661" s="84" t="str">
        <f t="shared" si="9"/>
        <v/>
      </c>
      <c r="W661" s="109" t="str">
        <f t="shared" si="10"/>
        <v/>
      </c>
      <c r="X661" s="109" t="str">
        <f t="shared" si="11"/>
        <v/>
      </c>
      <c r="Y661" s="110" t="str">
        <f t="array" ref="Y661">_xlfn.XLOOKUP(A661,'Video Database'!L:L,'Video Database'!M:M,"")</f>
        <v>Product Overlay</v>
      </c>
    </row>
    <row r="662" ht="22.5" customHeight="1">
      <c r="A662" s="113">
        <f t="shared" si="12"/>
        <v>661</v>
      </c>
      <c r="B662" s="98" t="str">
        <f t="array" ref="B662">_xlfn.XLOOKUP(A662,'Video Database'!L:L,'Video Database'!D:D,"")</f>
        <v>Blakely</v>
      </c>
      <c r="C662" s="98" t="str">
        <f t="array" ref="C662">_xlfn.XLOOKUP(A662,'Video Database'!L:L,'Video Database'!E:E,"")</f>
        <v>Account 3</v>
      </c>
      <c r="D662" s="99" t="str">
        <f t="array" ref="D662">_xlfn.XLOOKUP(A662,'Video Database'!L:L,'Video Database'!G:G,"")</f>
        <v>Vimergy Organic Lemon Balm</v>
      </c>
      <c r="E662" s="100">
        <f t="array" ref="E662">_xlfn.XLOOKUP(A662,'Video Database'!L:L,'Video Database'!H:H,"")</f>
        <v>0.11</v>
      </c>
      <c r="F662" s="101">
        <v>0.0</v>
      </c>
      <c r="G662" s="87">
        <v>0.0</v>
      </c>
      <c r="H662" s="114">
        <f t="array" ref="H662">_xlfn.XLOOKUP(A662,'Video Database'!L:L,'Video Database'!A:A,"")</f>
        <v>46194</v>
      </c>
      <c r="I662" s="103">
        <v>46201.0</v>
      </c>
      <c r="J662" s="104">
        <v>0.0</v>
      </c>
      <c r="K662" s="105"/>
      <c r="L662" s="105" t="str">
        <f t="shared" si="1"/>
        <v/>
      </c>
      <c r="O662" s="106" t="str">
        <f t="shared" si="2"/>
        <v>#N/A</v>
      </c>
      <c r="P662" s="106" t="str">
        <f t="shared" si="3"/>
        <v>#N/A</v>
      </c>
      <c r="Q662" s="84" t="str">
        <f t="shared" si="4"/>
        <v>#N/A</v>
      </c>
      <c r="R662" s="84" t="str">
        <f t="shared" si="5"/>
        <v>#N/A</v>
      </c>
      <c r="S662" s="107">
        <f t="shared" si="6"/>
        <v>-0.11</v>
      </c>
      <c r="T662" s="108">
        <f t="shared" si="7"/>
        <v>-1</v>
      </c>
      <c r="U662" s="106" t="str">
        <f t="shared" si="8"/>
        <v>#N/A</v>
      </c>
      <c r="V662" s="84" t="str">
        <f t="shared" si="9"/>
        <v/>
      </c>
      <c r="W662" s="109" t="str">
        <f t="shared" si="10"/>
        <v/>
      </c>
      <c r="X662" s="109" t="str">
        <f t="shared" si="11"/>
        <v/>
      </c>
      <c r="Y662" s="110" t="str">
        <f t="array" ref="Y662">_xlfn.XLOOKUP(A662,'Video Database'!L:L,'Video Database'!M:M,"")</f>
        <v>Product Overlay</v>
      </c>
    </row>
    <row r="663" ht="22.5" customHeight="1">
      <c r="A663" s="113">
        <f t="shared" si="12"/>
        <v>662</v>
      </c>
      <c r="B663" s="98" t="str">
        <f t="array" ref="B663">_xlfn.XLOOKUP(A663,'Video Database'!L:L,'Video Database'!D:D,"")</f>
        <v>Blakely</v>
      </c>
      <c r="C663" s="98" t="str">
        <f t="array" ref="C663">_xlfn.XLOOKUP(A663,'Video Database'!L:L,'Video Database'!E:E,"")</f>
        <v>Account 3</v>
      </c>
      <c r="D663" s="99" t="str">
        <f t="array" ref="D663">_xlfn.XLOOKUP(A663,'Video Database'!L:L,'Video Database'!G:G,"")</f>
        <v>Fillo's Walking Tamales Variety Pack</v>
      </c>
      <c r="E663" s="100">
        <f t="array" ref="E663">_xlfn.XLOOKUP(A663,'Video Database'!L:L,'Video Database'!H:H,"")</f>
        <v>0.11</v>
      </c>
      <c r="F663" s="101">
        <v>0.0</v>
      </c>
      <c r="G663" s="87">
        <v>0.0</v>
      </c>
      <c r="H663" s="114">
        <f t="array" ref="H663">_xlfn.XLOOKUP(A663,'Video Database'!L:L,'Video Database'!A:A,"")</f>
        <v>46194</v>
      </c>
      <c r="I663" s="103">
        <v>46201.0</v>
      </c>
      <c r="J663" s="104">
        <v>0.0</v>
      </c>
      <c r="K663" s="105"/>
      <c r="L663" s="105" t="str">
        <f t="shared" si="1"/>
        <v/>
      </c>
      <c r="O663" s="106" t="str">
        <f t="shared" si="2"/>
        <v>#N/A</v>
      </c>
      <c r="P663" s="106" t="str">
        <f t="shared" si="3"/>
        <v>#N/A</v>
      </c>
      <c r="Q663" s="84" t="str">
        <f t="shared" si="4"/>
        <v>#N/A</v>
      </c>
      <c r="R663" s="84" t="str">
        <f t="shared" si="5"/>
        <v>#N/A</v>
      </c>
      <c r="S663" s="107">
        <f t="shared" si="6"/>
        <v>-0.11</v>
      </c>
      <c r="T663" s="108">
        <f t="shared" si="7"/>
        <v>-1</v>
      </c>
      <c r="U663" s="106" t="str">
        <f t="shared" si="8"/>
        <v>#N/A</v>
      </c>
      <c r="V663" s="84" t="str">
        <f t="shared" si="9"/>
        <v/>
      </c>
      <c r="W663" s="109" t="str">
        <f t="shared" si="10"/>
        <v/>
      </c>
      <c r="X663" s="109" t="str">
        <f t="shared" si="11"/>
        <v/>
      </c>
      <c r="Y663" s="110" t="str">
        <f t="array" ref="Y663">_xlfn.XLOOKUP(A663,'Video Database'!L:L,'Video Database'!M:M,"")</f>
        <v>Product Overlay</v>
      </c>
    </row>
    <row r="664" ht="22.5" customHeight="1">
      <c r="A664" s="113">
        <f t="shared" si="12"/>
        <v>663</v>
      </c>
      <c r="B664" s="98" t="str">
        <f t="array" ref="B664">_xlfn.XLOOKUP(A664,'Video Database'!L:L,'Video Database'!D:D,"")</f>
        <v>Erin</v>
      </c>
      <c r="C664" s="98" t="str">
        <f t="array" ref="C664">_xlfn.XLOOKUP(A664,'Video Database'!L:L,'Video Database'!E:E,"")</f>
        <v>Account 4</v>
      </c>
      <c r="D664" s="99" t="str">
        <f t="array" ref="D664">_xlfn.XLOOKUP(A664,'Video Database'!L:L,'Video Database'!G:G,"")</f>
        <v>SNOW Diamond Tetth Whitening Strips</v>
      </c>
      <c r="E664" s="100">
        <f t="array" ref="E664">_xlfn.XLOOKUP(A664,'Video Database'!L:L,'Video Database'!H:H,"")</f>
        <v>0.737</v>
      </c>
      <c r="F664" s="101">
        <v>0.0</v>
      </c>
      <c r="G664" s="87">
        <v>0.0</v>
      </c>
      <c r="H664" s="114">
        <f t="array" ref="H664">_xlfn.XLOOKUP(A664,'Video Database'!L:L,'Video Database'!A:A,"")</f>
        <v>46194</v>
      </c>
      <c r="I664" s="103">
        <v>46201.0</v>
      </c>
      <c r="J664" s="104">
        <v>0.0</v>
      </c>
      <c r="K664" s="105"/>
      <c r="L664" s="105" t="str">
        <f t="shared" si="1"/>
        <v/>
      </c>
      <c r="O664" s="106" t="str">
        <f t="shared" si="2"/>
        <v>#N/A</v>
      </c>
      <c r="P664" s="106" t="str">
        <f t="shared" si="3"/>
        <v>#N/A</v>
      </c>
      <c r="Q664" s="84" t="str">
        <f t="shared" si="4"/>
        <v>#N/A</v>
      </c>
      <c r="R664" s="84" t="str">
        <f t="shared" si="5"/>
        <v>#N/A</v>
      </c>
      <c r="S664" s="107">
        <f t="shared" si="6"/>
        <v>-0.737</v>
      </c>
      <c r="T664" s="108">
        <f t="shared" si="7"/>
        <v>-1</v>
      </c>
      <c r="U664" s="106" t="str">
        <f t="shared" si="8"/>
        <v>#N/A</v>
      </c>
      <c r="V664" s="84" t="str">
        <f t="shared" si="9"/>
        <v/>
      </c>
      <c r="W664" s="109" t="str">
        <f t="shared" si="10"/>
        <v/>
      </c>
      <c r="X664" s="109" t="str">
        <f t="shared" si="11"/>
        <v/>
      </c>
      <c r="Y664" s="110" t="str">
        <f t="array" ref="Y664">_xlfn.XLOOKUP(A664,'Video Database'!L:L,'Video Database'!M:M,"")</f>
        <v>Bottom of Funnel</v>
      </c>
    </row>
    <row r="665" ht="22.5" customHeight="1">
      <c r="A665" s="113">
        <f t="shared" si="12"/>
        <v>664</v>
      </c>
      <c r="B665" s="98" t="str">
        <f t="array" ref="B665">_xlfn.XLOOKUP(A665,'Video Database'!L:L,'Video Database'!D:D,"")</f>
        <v>Erin</v>
      </c>
      <c r="C665" s="98" t="str">
        <f t="array" ref="C665">_xlfn.XLOOKUP(A665,'Video Database'!L:L,'Video Database'!E:E,"")</f>
        <v>Account 4</v>
      </c>
      <c r="D665" s="99" t="str">
        <f t="array" ref="D665">_xlfn.XLOOKUP(A665,'Video Database'!L:L,'Video Database'!G:G,"")</f>
        <v>LullaBites Natural Sleep Gummies</v>
      </c>
      <c r="E665" s="100">
        <f t="array" ref="E665">_xlfn.XLOOKUP(A665,'Video Database'!L:L,'Video Database'!H:H,"")</f>
        <v>0.737</v>
      </c>
      <c r="F665" s="101">
        <v>0.0</v>
      </c>
      <c r="G665" s="87">
        <v>0.0</v>
      </c>
      <c r="H665" s="114">
        <f t="array" ref="H665">_xlfn.XLOOKUP(A665,'Video Database'!L:L,'Video Database'!A:A,"")</f>
        <v>46194</v>
      </c>
      <c r="I665" s="103">
        <v>46201.0</v>
      </c>
      <c r="J665" s="104">
        <v>0.0</v>
      </c>
      <c r="K665" s="105"/>
      <c r="L665" s="105" t="str">
        <f t="shared" si="1"/>
        <v/>
      </c>
      <c r="O665" s="106" t="str">
        <f t="shared" si="2"/>
        <v>#N/A</v>
      </c>
      <c r="P665" s="106" t="str">
        <f t="shared" si="3"/>
        <v>#N/A</v>
      </c>
      <c r="Q665" s="84" t="str">
        <f t="shared" si="4"/>
        <v>#N/A</v>
      </c>
      <c r="R665" s="84" t="str">
        <f t="shared" si="5"/>
        <v>#N/A</v>
      </c>
      <c r="S665" s="107">
        <f t="shared" si="6"/>
        <v>-0.737</v>
      </c>
      <c r="T665" s="108">
        <f t="shared" si="7"/>
        <v>-1</v>
      </c>
      <c r="U665" s="106" t="str">
        <f t="shared" si="8"/>
        <v>#N/A</v>
      </c>
      <c r="V665" s="84" t="str">
        <f t="shared" si="9"/>
        <v/>
      </c>
      <c r="W665" s="109" t="str">
        <f t="shared" si="10"/>
        <v/>
      </c>
      <c r="X665" s="109" t="str">
        <f t="shared" si="11"/>
        <v/>
      </c>
      <c r="Y665" s="110" t="str">
        <f t="array" ref="Y665">_xlfn.XLOOKUP(A665,'Video Database'!L:L,'Video Database'!M:M,"")</f>
        <v>Bottom of Funnel</v>
      </c>
    </row>
    <row r="666" ht="22.5" customHeight="1">
      <c r="A666" s="113">
        <f t="shared" si="12"/>
        <v>665</v>
      </c>
      <c r="B666" s="98" t="str">
        <f t="array" ref="B666">_xlfn.XLOOKUP(A666,'Video Database'!L:L,'Video Database'!D:D,"")</f>
        <v>Erin</v>
      </c>
      <c r="C666" s="98" t="str">
        <f t="array" ref="C666">_xlfn.XLOOKUP(A666,'Video Database'!L:L,'Video Database'!E:E,"")</f>
        <v>Account 4</v>
      </c>
      <c r="D666" s="99" t="str">
        <f t="array" ref="D666">_xlfn.XLOOKUP(A666,'Video Database'!L:L,'Video Database'!G:G,"")</f>
        <v>LullaBites Natural Sleep Gummies</v>
      </c>
      <c r="E666" s="100">
        <f t="array" ref="E666">_xlfn.XLOOKUP(A666,'Video Database'!L:L,'Video Database'!H:H,"")</f>
        <v>0.737</v>
      </c>
      <c r="F666" s="101">
        <v>0.0</v>
      </c>
      <c r="G666" s="87">
        <v>0.0</v>
      </c>
      <c r="H666" s="114">
        <f t="array" ref="H666">_xlfn.XLOOKUP(A666,'Video Database'!L:L,'Video Database'!A:A,"")</f>
        <v>46194</v>
      </c>
      <c r="I666" s="103">
        <v>46201.0</v>
      </c>
      <c r="J666" s="104">
        <v>0.0</v>
      </c>
      <c r="K666" s="105"/>
      <c r="L666" s="105" t="str">
        <f t="shared" si="1"/>
        <v/>
      </c>
      <c r="O666" s="106" t="str">
        <f t="shared" si="2"/>
        <v>#N/A</v>
      </c>
      <c r="P666" s="106" t="str">
        <f t="shared" si="3"/>
        <v>#N/A</v>
      </c>
      <c r="Q666" s="84" t="str">
        <f t="shared" si="4"/>
        <v>#N/A</v>
      </c>
      <c r="R666" s="84" t="str">
        <f t="shared" si="5"/>
        <v>#N/A</v>
      </c>
      <c r="S666" s="107">
        <f t="shared" si="6"/>
        <v>-0.737</v>
      </c>
      <c r="T666" s="108">
        <f t="shared" si="7"/>
        <v>-1</v>
      </c>
      <c r="U666" s="106" t="str">
        <f t="shared" si="8"/>
        <v>#N/A</v>
      </c>
      <c r="V666" s="84" t="str">
        <f t="shared" si="9"/>
        <v/>
      </c>
      <c r="W666" s="109" t="str">
        <f t="shared" si="10"/>
        <v/>
      </c>
      <c r="X666" s="109" t="str">
        <f t="shared" si="11"/>
        <v/>
      </c>
      <c r="Y666" s="110" t="str">
        <f t="array" ref="Y666">_xlfn.XLOOKUP(A666,'Video Database'!L:L,'Video Database'!M:M,"")</f>
        <v>Bottom of Funnel</v>
      </c>
    </row>
    <row r="667" ht="22.5" customHeight="1">
      <c r="A667" s="113">
        <f t="shared" si="12"/>
        <v>666</v>
      </c>
      <c r="B667" s="98" t="str">
        <f t="array" ref="B667">_xlfn.XLOOKUP(A667,'Video Database'!L:L,'Video Database'!D:D,"")</f>
        <v>Erin</v>
      </c>
      <c r="C667" s="98" t="str">
        <f t="array" ref="C667">_xlfn.XLOOKUP(A667,'Video Database'!L:L,'Video Database'!E:E,"")</f>
        <v>Account 4</v>
      </c>
      <c r="D667" s="99" t="str">
        <f t="array" ref="D667">_xlfn.XLOOKUP(A667,'Video Database'!L:L,'Video Database'!G:G,"")</f>
        <v>LullaBites Natural Sleep Gummies</v>
      </c>
      <c r="E667" s="100">
        <f t="array" ref="E667">_xlfn.XLOOKUP(A667,'Video Database'!L:L,'Video Database'!H:H,"")</f>
        <v>0.737</v>
      </c>
      <c r="F667" s="101">
        <v>0.0</v>
      </c>
      <c r="G667" s="87">
        <v>0.0</v>
      </c>
      <c r="H667" s="114">
        <f t="array" ref="H667">_xlfn.XLOOKUP(A667,'Video Database'!L:L,'Video Database'!A:A,"")</f>
        <v>46194</v>
      </c>
      <c r="I667" s="103">
        <v>46201.0</v>
      </c>
      <c r="J667" s="104">
        <v>0.0</v>
      </c>
      <c r="K667" s="105"/>
      <c r="L667" s="105" t="str">
        <f t="shared" si="1"/>
        <v/>
      </c>
      <c r="O667" s="106" t="str">
        <f t="shared" si="2"/>
        <v>#N/A</v>
      </c>
      <c r="P667" s="106" t="str">
        <f t="shared" si="3"/>
        <v>#N/A</v>
      </c>
      <c r="Q667" s="84" t="str">
        <f t="shared" si="4"/>
        <v>#N/A</v>
      </c>
      <c r="R667" s="84" t="str">
        <f t="shared" si="5"/>
        <v>#N/A</v>
      </c>
      <c r="S667" s="107">
        <f t="shared" si="6"/>
        <v>-0.737</v>
      </c>
      <c r="T667" s="108">
        <f t="shared" si="7"/>
        <v>-1</v>
      </c>
      <c r="U667" s="106" t="str">
        <f t="shared" si="8"/>
        <v>#N/A</v>
      </c>
      <c r="V667" s="84" t="str">
        <f t="shared" si="9"/>
        <v/>
      </c>
      <c r="W667" s="109" t="str">
        <f t="shared" si="10"/>
        <v/>
      </c>
      <c r="X667" s="109" t="str">
        <f t="shared" si="11"/>
        <v/>
      </c>
      <c r="Y667" s="110" t="str">
        <f t="array" ref="Y667">_xlfn.XLOOKUP(A667,'Video Database'!L:L,'Video Database'!M:M,"")</f>
        <v>Bottom of Funnel</v>
      </c>
    </row>
    <row r="668" ht="22.5" customHeight="1">
      <c r="A668" s="113">
        <f t="shared" si="12"/>
        <v>667</v>
      </c>
      <c r="B668" s="98" t="str">
        <f t="array" ref="B668">_xlfn.XLOOKUP(A668,'Video Database'!L:L,'Video Database'!D:D,"")</f>
        <v>Erin</v>
      </c>
      <c r="C668" s="98" t="str">
        <f t="array" ref="C668">_xlfn.XLOOKUP(A668,'Video Database'!L:L,'Video Database'!E:E,"")</f>
        <v>Account 4</v>
      </c>
      <c r="D668" s="99" t="str">
        <f t="array" ref="D668">_xlfn.XLOOKUP(A668,'Video Database'!L:L,'Video Database'!G:G,"")</f>
        <v>SNOW Diamond Tetth Whitening Strips</v>
      </c>
      <c r="E668" s="100">
        <f t="array" ref="E668">_xlfn.XLOOKUP(A668,'Video Database'!L:L,'Video Database'!H:H,"")</f>
        <v>0.737</v>
      </c>
      <c r="F668" s="101">
        <v>0.0</v>
      </c>
      <c r="G668" s="87">
        <v>0.0</v>
      </c>
      <c r="H668" s="114">
        <f t="array" ref="H668">_xlfn.XLOOKUP(A668,'Video Database'!L:L,'Video Database'!A:A,"")</f>
        <v>46194</v>
      </c>
      <c r="I668" s="103">
        <v>46201.0</v>
      </c>
      <c r="J668" s="104">
        <v>0.0</v>
      </c>
      <c r="K668" s="105"/>
      <c r="L668" s="105" t="str">
        <f t="shared" si="1"/>
        <v/>
      </c>
      <c r="O668" s="106" t="str">
        <f t="shared" si="2"/>
        <v>#N/A</v>
      </c>
      <c r="P668" s="106" t="str">
        <f t="shared" si="3"/>
        <v>#N/A</v>
      </c>
      <c r="Q668" s="84" t="str">
        <f t="shared" si="4"/>
        <v>#N/A</v>
      </c>
      <c r="R668" s="84" t="str">
        <f t="shared" si="5"/>
        <v>#N/A</v>
      </c>
      <c r="S668" s="107">
        <f t="shared" si="6"/>
        <v>-0.737</v>
      </c>
      <c r="T668" s="108">
        <f t="shared" si="7"/>
        <v>-1</v>
      </c>
      <c r="U668" s="106" t="str">
        <f t="shared" si="8"/>
        <v>#N/A</v>
      </c>
      <c r="V668" s="84" t="str">
        <f t="shared" si="9"/>
        <v/>
      </c>
      <c r="W668" s="109" t="str">
        <f t="shared" si="10"/>
        <v/>
      </c>
      <c r="X668" s="109" t="str">
        <f t="shared" si="11"/>
        <v/>
      </c>
      <c r="Y668" s="110" t="str">
        <f t="array" ref="Y668">_xlfn.XLOOKUP(A668,'Video Database'!L:L,'Video Database'!M:M,"")</f>
        <v>Bottom of Funnel</v>
      </c>
    </row>
    <row r="669" ht="22.5" customHeight="1">
      <c r="A669" s="113">
        <f t="shared" si="12"/>
        <v>668</v>
      </c>
      <c r="B669" s="98" t="str">
        <f t="array" ref="B669">_xlfn.XLOOKUP(A669,'Video Database'!L:L,'Video Database'!D:D,"")</f>
        <v>Blakely</v>
      </c>
      <c r="C669" s="98" t="str">
        <f t="array" ref="C669">_xlfn.XLOOKUP(A669,'Video Database'!L:L,'Video Database'!E:E,"")</f>
        <v>Account 4</v>
      </c>
      <c r="D669" s="99" t="str">
        <f t="array" ref="D669">_xlfn.XLOOKUP(A669,'Video Database'!L:L,'Video Database'!G:G,"")</f>
        <v>BIGVITA Hair +</v>
      </c>
      <c r="E669" s="100">
        <f t="array" ref="E669">_xlfn.XLOOKUP(A669,'Video Database'!L:L,'Video Database'!H:H,"")</f>
        <v>0.11</v>
      </c>
      <c r="F669" s="101">
        <v>0.0</v>
      </c>
      <c r="G669" s="87">
        <v>0.0</v>
      </c>
      <c r="H669" s="114">
        <f t="array" ref="H669">_xlfn.XLOOKUP(A669,'Video Database'!L:L,'Video Database'!A:A,"")</f>
        <v>46194</v>
      </c>
      <c r="I669" s="103">
        <v>46201.0</v>
      </c>
      <c r="J669" s="104">
        <v>0.0</v>
      </c>
      <c r="K669" s="105"/>
      <c r="L669" s="105" t="str">
        <f t="shared" si="1"/>
        <v/>
      </c>
      <c r="O669" s="106" t="str">
        <f t="shared" si="2"/>
        <v>#N/A</v>
      </c>
      <c r="P669" s="106" t="str">
        <f t="shared" si="3"/>
        <v>#N/A</v>
      </c>
      <c r="Q669" s="84" t="str">
        <f t="shared" si="4"/>
        <v>#N/A</v>
      </c>
      <c r="R669" s="84" t="str">
        <f t="shared" si="5"/>
        <v>#N/A</v>
      </c>
      <c r="S669" s="107">
        <f t="shared" si="6"/>
        <v>-0.11</v>
      </c>
      <c r="T669" s="108">
        <f t="shared" si="7"/>
        <v>-1</v>
      </c>
      <c r="U669" s="106" t="str">
        <f t="shared" si="8"/>
        <v>#N/A</v>
      </c>
      <c r="V669" s="84" t="str">
        <f t="shared" si="9"/>
        <v/>
      </c>
      <c r="W669" s="109" t="str">
        <f t="shared" si="10"/>
        <v/>
      </c>
      <c r="X669" s="109" t="str">
        <f t="shared" si="11"/>
        <v/>
      </c>
      <c r="Y669" s="110" t="str">
        <f t="array" ref="Y669">_xlfn.XLOOKUP(A669,'Video Database'!L:L,'Video Database'!M:M,"")</f>
        <v>Product Overlay</v>
      </c>
    </row>
    <row r="670" ht="22.5" customHeight="1">
      <c r="A670" s="113">
        <f t="shared" si="12"/>
        <v>669</v>
      </c>
      <c r="B670" s="98" t="str">
        <f t="array" ref="B670">_xlfn.XLOOKUP(A670,'Video Database'!L:L,'Video Database'!D:D,"")</f>
        <v>Blakely</v>
      </c>
      <c r="C670" s="98" t="str">
        <f t="array" ref="C670">_xlfn.XLOOKUP(A670,'Video Database'!L:L,'Video Database'!E:E,"")</f>
        <v>Account 4</v>
      </c>
      <c r="D670" s="99" t="str">
        <f t="array" ref="D670">_xlfn.XLOOKUP(A670,'Video Database'!L:L,'Video Database'!G:G,"")</f>
        <v>JOYMODE Ignite Libido Support</v>
      </c>
      <c r="E670" s="100">
        <f t="array" ref="E670">_xlfn.XLOOKUP(A670,'Video Database'!L:L,'Video Database'!H:H,"")</f>
        <v>0.11</v>
      </c>
      <c r="F670" s="101">
        <v>0.0</v>
      </c>
      <c r="G670" s="87">
        <v>0.0</v>
      </c>
      <c r="H670" s="114">
        <f t="array" ref="H670">_xlfn.XLOOKUP(A670,'Video Database'!L:L,'Video Database'!A:A,"")</f>
        <v>46194</v>
      </c>
      <c r="I670" s="103">
        <v>46201.0</v>
      </c>
      <c r="J670" s="104">
        <v>0.0</v>
      </c>
      <c r="K670" s="105"/>
      <c r="L670" s="105" t="str">
        <f t="shared" si="1"/>
        <v/>
      </c>
      <c r="O670" s="106" t="str">
        <f t="shared" si="2"/>
        <v>#N/A</v>
      </c>
      <c r="P670" s="106" t="str">
        <f t="shared" si="3"/>
        <v>#N/A</v>
      </c>
      <c r="Q670" s="84" t="str">
        <f t="shared" si="4"/>
        <v>#N/A</v>
      </c>
      <c r="R670" s="84" t="str">
        <f t="shared" si="5"/>
        <v>#N/A</v>
      </c>
      <c r="S670" s="107">
        <f t="shared" si="6"/>
        <v>-0.11</v>
      </c>
      <c r="T670" s="108">
        <f t="shared" si="7"/>
        <v>-1</v>
      </c>
      <c r="U670" s="106" t="str">
        <f t="shared" si="8"/>
        <v>#N/A</v>
      </c>
      <c r="V670" s="84" t="str">
        <f t="shared" si="9"/>
        <v/>
      </c>
      <c r="W670" s="109" t="str">
        <f t="shared" si="10"/>
        <v/>
      </c>
      <c r="X670" s="109" t="str">
        <f t="shared" si="11"/>
        <v/>
      </c>
      <c r="Y670" s="110" t="str">
        <f t="array" ref="Y670">_xlfn.XLOOKUP(A670,'Video Database'!L:L,'Video Database'!M:M,"")</f>
        <v>Product Overlay</v>
      </c>
    </row>
    <row r="671" ht="22.5" customHeight="1">
      <c r="A671" s="113">
        <f t="shared" si="12"/>
        <v>670</v>
      </c>
      <c r="B671" s="98" t="str">
        <f t="array" ref="B671">_xlfn.XLOOKUP(A671,'Video Database'!L:L,'Video Database'!D:D,"")</f>
        <v>Blakely</v>
      </c>
      <c r="C671" s="98" t="str">
        <f t="array" ref="C671">_xlfn.XLOOKUP(A671,'Video Database'!L:L,'Video Database'!E:E,"")</f>
        <v>Account 4</v>
      </c>
      <c r="D671" s="99" t="str">
        <f t="array" ref="D671">_xlfn.XLOOKUP(A671,'Video Database'!L:L,'Video Database'!G:G,"")</f>
        <v>Nooni korean apple lip oil trio</v>
      </c>
      <c r="E671" s="100">
        <f t="array" ref="E671">_xlfn.XLOOKUP(A671,'Video Database'!L:L,'Video Database'!H:H,"")</f>
        <v>0.11</v>
      </c>
      <c r="F671" s="101">
        <v>0.0</v>
      </c>
      <c r="G671" s="87">
        <v>0.0</v>
      </c>
      <c r="H671" s="114">
        <f t="array" ref="H671">_xlfn.XLOOKUP(A671,'Video Database'!L:L,'Video Database'!A:A,"")</f>
        <v>46194</v>
      </c>
      <c r="I671" s="103">
        <v>46201.0</v>
      </c>
      <c r="J671" s="104">
        <v>0.0</v>
      </c>
      <c r="K671" s="105"/>
      <c r="L671" s="105" t="str">
        <f t="shared" si="1"/>
        <v/>
      </c>
      <c r="O671" s="106" t="str">
        <f t="shared" si="2"/>
        <v>#N/A</v>
      </c>
      <c r="P671" s="106" t="str">
        <f t="shared" si="3"/>
        <v>#N/A</v>
      </c>
      <c r="Q671" s="84" t="str">
        <f t="shared" si="4"/>
        <v>#N/A</v>
      </c>
      <c r="R671" s="84" t="str">
        <f t="shared" si="5"/>
        <v>#N/A</v>
      </c>
      <c r="S671" s="107">
        <f t="shared" si="6"/>
        <v>-0.11</v>
      </c>
      <c r="T671" s="108">
        <f t="shared" si="7"/>
        <v>-1</v>
      </c>
      <c r="U671" s="106" t="str">
        <f t="shared" si="8"/>
        <v>#N/A</v>
      </c>
      <c r="V671" s="84" t="str">
        <f t="shared" si="9"/>
        <v/>
      </c>
      <c r="W671" s="109" t="str">
        <f t="shared" si="10"/>
        <v/>
      </c>
      <c r="X671" s="109" t="str">
        <f t="shared" si="11"/>
        <v/>
      </c>
      <c r="Y671" s="110" t="str">
        <f t="array" ref="Y671">_xlfn.XLOOKUP(A671,'Video Database'!L:L,'Video Database'!M:M,"")</f>
        <v>Product Overlay</v>
      </c>
    </row>
    <row r="672" ht="22.5" customHeight="1">
      <c r="A672" s="113">
        <f t="shared" si="12"/>
        <v>671</v>
      </c>
      <c r="B672" s="98" t="str">
        <f t="array" ref="B672">_xlfn.XLOOKUP(A672,'Video Database'!L:L,'Video Database'!D:D,"")</f>
        <v>Blakely</v>
      </c>
      <c r="C672" s="98" t="str">
        <f t="array" ref="C672">_xlfn.XLOOKUP(A672,'Video Database'!L:L,'Video Database'!E:E,"")</f>
        <v>Account 4</v>
      </c>
      <c r="D672" s="99" t="str">
        <f t="array" ref="D672">_xlfn.XLOOKUP(A672,'Video Database'!L:L,'Video Database'!G:G,"")</f>
        <v>tarte smoldereyes shadow liner duo</v>
      </c>
      <c r="E672" s="100">
        <f t="array" ref="E672">_xlfn.XLOOKUP(A672,'Video Database'!L:L,'Video Database'!H:H,"")</f>
        <v>0.11</v>
      </c>
      <c r="F672" s="101">
        <v>0.0</v>
      </c>
      <c r="G672" s="87">
        <v>0.0</v>
      </c>
      <c r="H672" s="114">
        <f t="array" ref="H672">_xlfn.XLOOKUP(A672,'Video Database'!L:L,'Video Database'!A:A,"")</f>
        <v>46194</v>
      </c>
      <c r="I672" s="103">
        <v>46201.0</v>
      </c>
      <c r="J672" s="104">
        <v>0.0</v>
      </c>
      <c r="K672" s="105"/>
      <c r="L672" s="105" t="str">
        <f t="shared" si="1"/>
        <v/>
      </c>
      <c r="O672" s="106" t="str">
        <f t="shared" si="2"/>
        <v>#N/A</v>
      </c>
      <c r="P672" s="106" t="str">
        <f t="shared" si="3"/>
        <v>#N/A</v>
      </c>
      <c r="Q672" s="84" t="str">
        <f t="shared" si="4"/>
        <v>#N/A</v>
      </c>
      <c r="R672" s="84" t="str">
        <f t="shared" si="5"/>
        <v>#N/A</v>
      </c>
      <c r="S672" s="107">
        <f t="shared" si="6"/>
        <v>-0.11</v>
      </c>
      <c r="T672" s="108">
        <f t="shared" si="7"/>
        <v>-1</v>
      </c>
      <c r="U672" s="106" t="str">
        <f t="shared" si="8"/>
        <v>#N/A</v>
      </c>
      <c r="V672" s="84" t="str">
        <f t="shared" si="9"/>
        <v/>
      </c>
      <c r="W672" s="109" t="str">
        <f t="shared" si="10"/>
        <v/>
      </c>
      <c r="X672" s="109" t="str">
        <f t="shared" si="11"/>
        <v/>
      </c>
      <c r="Y672" s="110" t="str">
        <f t="array" ref="Y672">_xlfn.XLOOKUP(A672,'Video Database'!L:L,'Video Database'!M:M,"")</f>
        <v>Product Overlay</v>
      </c>
    </row>
    <row r="673" ht="22.5" customHeight="1">
      <c r="A673" s="113">
        <f t="shared" si="12"/>
        <v>672</v>
      </c>
      <c r="B673" s="98" t="str">
        <f t="array" ref="B673">_xlfn.XLOOKUP(A673,'Video Database'!L:L,'Video Database'!D:D,"")</f>
        <v>Blakely</v>
      </c>
      <c r="C673" s="98" t="str">
        <f t="array" ref="C673">_xlfn.XLOOKUP(A673,'Video Database'!L:L,'Video Database'!E:E,"")</f>
        <v>Account 4</v>
      </c>
      <c r="D673" s="99" t="str">
        <f t="array" ref="D673">_xlfn.XLOOKUP(A673,'Video Database'!L:L,'Video Database'!G:G,"")</f>
        <v>BrainMD L-Theanine Gummies</v>
      </c>
      <c r="E673" s="100">
        <f t="array" ref="E673">_xlfn.XLOOKUP(A673,'Video Database'!L:L,'Video Database'!H:H,"")</f>
        <v>0.11</v>
      </c>
      <c r="F673" s="101">
        <v>0.0</v>
      </c>
      <c r="G673" s="87">
        <v>0.0</v>
      </c>
      <c r="H673" s="114">
        <f t="array" ref="H673">_xlfn.XLOOKUP(A673,'Video Database'!L:L,'Video Database'!A:A,"")</f>
        <v>46194</v>
      </c>
      <c r="I673" s="103">
        <v>46201.0</v>
      </c>
      <c r="J673" s="104">
        <v>0.0</v>
      </c>
      <c r="K673" s="105"/>
      <c r="L673" s="105" t="str">
        <f t="shared" si="1"/>
        <v/>
      </c>
      <c r="O673" s="106" t="str">
        <f t="shared" si="2"/>
        <v>#N/A</v>
      </c>
      <c r="P673" s="106" t="str">
        <f t="shared" si="3"/>
        <v>#N/A</v>
      </c>
      <c r="Q673" s="84" t="str">
        <f t="shared" si="4"/>
        <v>#N/A</v>
      </c>
      <c r="R673" s="84" t="str">
        <f t="shared" si="5"/>
        <v>#N/A</v>
      </c>
      <c r="S673" s="107">
        <f t="shared" si="6"/>
        <v>-0.11</v>
      </c>
      <c r="T673" s="108">
        <f t="shared" si="7"/>
        <v>-1</v>
      </c>
      <c r="U673" s="106" t="str">
        <f t="shared" si="8"/>
        <v>#N/A</v>
      </c>
      <c r="V673" s="84" t="str">
        <f t="shared" si="9"/>
        <v/>
      </c>
      <c r="W673" s="109" t="str">
        <f t="shared" si="10"/>
        <v/>
      </c>
      <c r="X673" s="109" t="str">
        <f t="shared" si="11"/>
        <v/>
      </c>
      <c r="Y673" s="110" t="str">
        <f t="array" ref="Y673">_xlfn.XLOOKUP(A673,'Video Database'!L:L,'Video Database'!M:M,"")</f>
        <v>Product Overlay</v>
      </c>
    </row>
    <row r="674" ht="22.5" customHeight="1">
      <c r="A674" s="113">
        <f t="shared" si="12"/>
        <v>673</v>
      </c>
      <c r="B674" s="98" t="str">
        <f t="array" ref="B674">_xlfn.XLOOKUP(A674,'Video Database'!L:L,'Video Database'!D:D,"")</f>
        <v>Blakely</v>
      </c>
      <c r="C674" s="98" t="str">
        <f t="array" ref="C674">_xlfn.XLOOKUP(A674,'Video Database'!L:L,'Video Database'!E:E,"")</f>
        <v>Account 4</v>
      </c>
      <c r="D674" s="99" t="str">
        <f t="array" ref="D674">_xlfn.XLOOKUP(A674,'Video Database'!L:L,'Video Database'!G:G,"")</f>
        <v>Swanson Full Spectrum Spearmint Leaf</v>
      </c>
      <c r="E674" s="100">
        <f t="array" ref="E674">_xlfn.XLOOKUP(A674,'Video Database'!L:L,'Video Database'!H:H,"")</f>
        <v>0.11</v>
      </c>
      <c r="F674" s="101">
        <v>0.0</v>
      </c>
      <c r="G674" s="87">
        <v>0.0</v>
      </c>
      <c r="H674" s="114">
        <f t="array" ref="H674">_xlfn.XLOOKUP(A674,'Video Database'!L:L,'Video Database'!A:A,"")</f>
        <v>46194</v>
      </c>
      <c r="I674" s="103">
        <v>46201.0</v>
      </c>
      <c r="J674" s="104">
        <v>0.0</v>
      </c>
      <c r="K674" s="105"/>
      <c r="L674" s="105" t="str">
        <f t="shared" si="1"/>
        <v/>
      </c>
      <c r="O674" s="106" t="str">
        <f t="shared" si="2"/>
        <v>#N/A</v>
      </c>
      <c r="P674" s="106" t="str">
        <f t="shared" si="3"/>
        <v>#N/A</v>
      </c>
      <c r="Q674" s="84" t="str">
        <f t="shared" si="4"/>
        <v>#N/A</v>
      </c>
      <c r="R674" s="84" t="str">
        <f t="shared" si="5"/>
        <v>#N/A</v>
      </c>
      <c r="S674" s="107">
        <f t="shared" si="6"/>
        <v>-0.11</v>
      </c>
      <c r="T674" s="108">
        <f t="shared" si="7"/>
        <v>-1</v>
      </c>
      <c r="U674" s="106" t="str">
        <f t="shared" si="8"/>
        <v>#N/A</v>
      </c>
      <c r="V674" s="84" t="str">
        <f t="shared" si="9"/>
        <v/>
      </c>
      <c r="W674" s="109" t="str">
        <f t="shared" si="10"/>
        <v/>
      </c>
      <c r="X674" s="109" t="str">
        <f t="shared" si="11"/>
        <v/>
      </c>
      <c r="Y674" s="110" t="str">
        <f t="array" ref="Y674">_xlfn.XLOOKUP(A674,'Video Database'!L:L,'Video Database'!M:M,"")</f>
        <v>Product Overlay</v>
      </c>
    </row>
    <row r="675" ht="22.5" customHeight="1">
      <c r="A675" s="113">
        <f t="shared" si="12"/>
        <v>674</v>
      </c>
      <c r="B675" s="98" t="str">
        <f t="array" ref="B675">_xlfn.XLOOKUP(A675,'Video Database'!L:L,'Video Database'!D:D,"")</f>
        <v>Blakely</v>
      </c>
      <c r="C675" s="98" t="str">
        <f t="array" ref="C675">_xlfn.XLOOKUP(A675,'Video Database'!L:L,'Video Database'!E:E,"")</f>
        <v>Account 4</v>
      </c>
      <c r="D675" s="99" t="str">
        <f t="array" ref="D675">_xlfn.XLOOKUP(A675,'Video Database'!L:L,'Video Database'!G:G,"")</f>
        <v>IRIS Hormone Health Drink Mix</v>
      </c>
      <c r="E675" s="100">
        <f t="array" ref="E675">_xlfn.XLOOKUP(A675,'Video Database'!L:L,'Video Database'!H:H,"")</f>
        <v>0.11</v>
      </c>
      <c r="F675" s="101">
        <v>20.84</v>
      </c>
      <c r="G675" s="87">
        <v>1.0</v>
      </c>
      <c r="H675" s="114">
        <f t="array" ref="H675">_xlfn.XLOOKUP(A675,'Video Database'!L:L,'Video Database'!A:A,"")</f>
        <v>46194</v>
      </c>
      <c r="I675" s="103">
        <v>46201.0</v>
      </c>
      <c r="J675" s="104">
        <v>2.19</v>
      </c>
      <c r="K675" s="87">
        <v>63.0</v>
      </c>
      <c r="L675" s="105">
        <f t="shared" si="1"/>
        <v>2600</v>
      </c>
      <c r="M675" s="87">
        <v>2600.0</v>
      </c>
      <c r="O675" s="106">
        <f t="shared" si="2"/>
        <v>0.02423076923</v>
      </c>
      <c r="P675" s="106">
        <f t="shared" si="3"/>
        <v>0.01587301587</v>
      </c>
      <c r="Q675" s="84">
        <f t="shared" si="4"/>
        <v>2.19</v>
      </c>
      <c r="R675" s="84">
        <f t="shared" si="5"/>
        <v>20.84</v>
      </c>
      <c r="S675" s="107">
        <f t="shared" si="6"/>
        <v>2.08</v>
      </c>
      <c r="T675" s="108">
        <f t="shared" si="7"/>
        <v>18.90909091</v>
      </c>
      <c r="U675" s="106">
        <f t="shared" si="8"/>
        <v>0.9497716895</v>
      </c>
      <c r="V675" s="129">
        <f t="shared" si="9"/>
        <v>0.11</v>
      </c>
      <c r="W675" s="109">
        <f t="shared" si="10"/>
        <v>0.001746031746</v>
      </c>
      <c r="X675" s="109">
        <f t="shared" si="11"/>
        <v>0.527831094</v>
      </c>
      <c r="Y675" s="110" t="str">
        <f t="array" ref="Y675">_xlfn.XLOOKUP(A675,'Video Database'!L:L,'Video Database'!M:M,"")</f>
        <v>Product Overlay</v>
      </c>
    </row>
    <row r="676" ht="22.5" customHeight="1">
      <c r="A676" s="113">
        <f t="shared" si="12"/>
        <v>675</v>
      </c>
      <c r="B676" s="98" t="str">
        <f t="array" ref="B676">_xlfn.XLOOKUP(A676,'Video Database'!L:L,'Video Database'!D:D,"")</f>
        <v>Blakely</v>
      </c>
      <c r="C676" s="98" t="str">
        <f t="array" ref="C676">_xlfn.XLOOKUP(A676,'Video Database'!L:L,'Video Database'!E:E,"")</f>
        <v>Account 4</v>
      </c>
      <c r="D676" s="99" t="str">
        <f t="array" ref="D676">_xlfn.XLOOKUP(A676,'Video Database'!L:L,'Video Database'!G:G,"")</f>
        <v>tarte CC Color-Correct Tinted Serum</v>
      </c>
      <c r="E676" s="100">
        <f t="array" ref="E676">_xlfn.XLOOKUP(A676,'Video Database'!L:L,'Video Database'!H:H,"")</f>
        <v>0.11</v>
      </c>
      <c r="F676" s="101">
        <v>0.0</v>
      </c>
      <c r="G676" s="87">
        <v>0.0</v>
      </c>
      <c r="H676" s="114">
        <f t="array" ref="H676">_xlfn.XLOOKUP(A676,'Video Database'!L:L,'Video Database'!A:A,"")</f>
        <v>46194</v>
      </c>
      <c r="I676" s="103">
        <v>46201.0</v>
      </c>
      <c r="J676" s="104">
        <v>0.0</v>
      </c>
      <c r="K676" s="105"/>
      <c r="L676" s="105" t="str">
        <f t="shared" si="1"/>
        <v/>
      </c>
      <c r="O676" s="106" t="str">
        <f t="shared" si="2"/>
        <v>#N/A</v>
      </c>
      <c r="P676" s="106" t="str">
        <f t="shared" si="3"/>
        <v>#N/A</v>
      </c>
      <c r="Q676" s="84" t="str">
        <f t="shared" si="4"/>
        <v>#N/A</v>
      </c>
      <c r="R676" s="84" t="str">
        <f t="shared" si="5"/>
        <v>#N/A</v>
      </c>
      <c r="S676" s="107">
        <f t="shared" si="6"/>
        <v>-0.11</v>
      </c>
      <c r="T676" s="108">
        <f t="shared" si="7"/>
        <v>-1</v>
      </c>
      <c r="U676" s="106" t="str">
        <f t="shared" si="8"/>
        <v>#N/A</v>
      </c>
      <c r="V676" s="84" t="str">
        <f t="shared" si="9"/>
        <v/>
      </c>
      <c r="W676" s="109" t="str">
        <f t="shared" si="10"/>
        <v/>
      </c>
      <c r="X676" s="109" t="str">
        <f t="shared" si="11"/>
        <v/>
      </c>
      <c r="Y676" s="110" t="str">
        <f t="array" ref="Y676">_xlfn.XLOOKUP(A676,'Video Database'!L:L,'Video Database'!M:M,"")</f>
        <v>Product Overlay</v>
      </c>
    </row>
    <row r="677" ht="22.5" customHeight="1">
      <c r="A677" s="113">
        <f t="shared" si="12"/>
        <v>676</v>
      </c>
      <c r="B677" s="98" t="str">
        <f t="array" ref="B677">_xlfn.XLOOKUP(A677,'Video Database'!L:L,'Video Database'!D:D,"")</f>
        <v>Blakely</v>
      </c>
      <c r="C677" s="98" t="str">
        <f t="array" ref="C677">_xlfn.XLOOKUP(A677,'Video Database'!L:L,'Video Database'!E:E,"")</f>
        <v>Account 4</v>
      </c>
      <c r="D677" s="99" t="str">
        <f t="array" ref="D677">_xlfn.XLOOKUP(A677,'Video Database'!L:L,'Video Database'!G:G,"")</f>
        <v>Fillo's Walking Tamales Variety Pack</v>
      </c>
      <c r="E677" s="100">
        <f t="array" ref="E677">_xlfn.XLOOKUP(A677,'Video Database'!L:L,'Video Database'!H:H,"")</f>
        <v>0.11</v>
      </c>
      <c r="F677" s="101">
        <v>0.0</v>
      </c>
      <c r="G677" s="87">
        <v>0.0</v>
      </c>
      <c r="H677" s="114">
        <f t="array" ref="H677">_xlfn.XLOOKUP(A677,'Video Database'!L:L,'Video Database'!A:A,"")</f>
        <v>46194</v>
      </c>
      <c r="I677" s="103">
        <v>46201.0</v>
      </c>
      <c r="J677" s="104">
        <v>0.0</v>
      </c>
      <c r="K677" s="105"/>
      <c r="L677" s="105" t="str">
        <f t="shared" si="1"/>
        <v/>
      </c>
      <c r="O677" s="106" t="str">
        <f t="shared" si="2"/>
        <v>#N/A</v>
      </c>
      <c r="P677" s="106" t="str">
        <f t="shared" si="3"/>
        <v>#N/A</v>
      </c>
      <c r="Q677" s="84" t="str">
        <f t="shared" si="4"/>
        <v>#N/A</v>
      </c>
      <c r="R677" s="84" t="str">
        <f t="shared" si="5"/>
        <v>#N/A</v>
      </c>
      <c r="S677" s="107">
        <f t="shared" si="6"/>
        <v>-0.11</v>
      </c>
      <c r="T677" s="108">
        <f t="shared" si="7"/>
        <v>-1</v>
      </c>
      <c r="U677" s="106" t="str">
        <f t="shared" si="8"/>
        <v>#N/A</v>
      </c>
      <c r="V677" s="84" t="str">
        <f t="shared" si="9"/>
        <v/>
      </c>
      <c r="W677" s="109" t="str">
        <f t="shared" si="10"/>
        <v/>
      </c>
      <c r="X677" s="109" t="str">
        <f t="shared" si="11"/>
        <v/>
      </c>
      <c r="Y677" s="110" t="str">
        <f t="array" ref="Y677">_xlfn.XLOOKUP(A677,'Video Database'!L:L,'Video Database'!M:M,"")</f>
        <v>Product Overlay</v>
      </c>
    </row>
    <row r="678" ht="22.5" customHeight="1">
      <c r="A678" s="113">
        <f t="shared" si="12"/>
        <v>677</v>
      </c>
      <c r="B678" s="98" t="str">
        <f t="array" ref="B678">_xlfn.XLOOKUP(A678,'Video Database'!L:L,'Video Database'!D:D,"")</f>
        <v>Brittney</v>
      </c>
      <c r="C678" s="98" t="str">
        <f t="array" ref="C678">_xlfn.XLOOKUP(A678,'Video Database'!L:L,'Video Database'!E:E,"")</f>
        <v>Account 1</v>
      </c>
      <c r="D678" s="99" t="str">
        <f t="array" ref="D678">_xlfn.XLOOKUP(A678,'Video Database'!L:L,'Video Database'!G:G,"")</f>
        <v>Gruns Greens Popsicle Firecracker Gummies</v>
      </c>
      <c r="E678" s="100">
        <f t="array" ref="E678">_xlfn.XLOOKUP(A678,'Video Database'!L:L,'Video Database'!H:H,"")</f>
        <v>0.11</v>
      </c>
      <c r="F678" s="101">
        <v>17.4</v>
      </c>
      <c r="G678" s="87">
        <v>1.0</v>
      </c>
      <c r="H678" s="114">
        <f t="array" ref="H678">_xlfn.XLOOKUP(A678,'Video Database'!L:L,'Video Database'!A:A,"")</f>
        <v>46195</v>
      </c>
      <c r="I678" s="103">
        <v>46201.0</v>
      </c>
      <c r="J678" s="135">
        <f>0.05*F678</f>
        <v>0.87</v>
      </c>
      <c r="K678" s="87">
        <v>20.0</v>
      </c>
      <c r="L678" s="105">
        <f t="shared" si="1"/>
        <v>1300</v>
      </c>
      <c r="M678" s="87">
        <v>1300.0</v>
      </c>
      <c r="O678" s="106">
        <f t="shared" si="2"/>
        <v>0.01538461538</v>
      </c>
      <c r="P678" s="106">
        <f t="shared" si="3"/>
        <v>0.05</v>
      </c>
      <c r="Q678" s="84">
        <f t="shared" si="4"/>
        <v>0.87</v>
      </c>
      <c r="R678" s="84">
        <f t="shared" si="5"/>
        <v>17.4</v>
      </c>
      <c r="S678" s="107">
        <f t="shared" si="6"/>
        <v>0.76</v>
      </c>
      <c r="T678" s="108">
        <f t="shared" si="7"/>
        <v>6.909090909</v>
      </c>
      <c r="U678" s="106">
        <f t="shared" si="8"/>
        <v>0.8735632184</v>
      </c>
      <c r="V678" s="129">
        <f t="shared" si="9"/>
        <v>0.11</v>
      </c>
      <c r="W678" s="109">
        <f t="shared" si="10"/>
        <v>0.0055</v>
      </c>
      <c r="X678" s="109">
        <f t="shared" si="11"/>
        <v>0.632183908</v>
      </c>
      <c r="Y678" s="110" t="str">
        <f t="array" ref="Y678">_xlfn.XLOOKUP(A678,'Video Database'!L:L,'Video Database'!M:M,"")</f>
        <v>Product Overlay</v>
      </c>
    </row>
    <row r="679" ht="22.5" customHeight="1">
      <c r="A679" s="113">
        <f t="shared" si="12"/>
        <v>678</v>
      </c>
      <c r="B679" s="98" t="str">
        <f t="array" ref="B679">_xlfn.XLOOKUP(A679,'Video Database'!L:L,'Video Database'!D:D,"")</f>
        <v>Brittney</v>
      </c>
      <c r="C679" s="98" t="str">
        <f t="array" ref="C679">_xlfn.XLOOKUP(A679,'Video Database'!L:L,'Video Database'!E:E,"")</f>
        <v>Account 1</v>
      </c>
      <c r="D679" s="99" t="str">
        <f t="array" ref="D679">_xlfn.XLOOKUP(A679,'Video Database'!L:L,'Video Database'!G:G,"")</f>
        <v>Gruns Greens Popsicle Firecracker Gummies</v>
      </c>
      <c r="E679" s="100">
        <f t="array" ref="E679">_xlfn.XLOOKUP(A679,'Video Database'!L:L,'Video Database'!H:H,"")</f>
        <v>0.11</v>
      </c>
      <c r="F679" s="101">
        <v>60.72</v>
      </c>
      <c r="G679" s="87">
        <v>2.0</v>
      </c>
      <c r="H679" s="114">
        <f t="array" ref="H679">_xlfn.XLOOKUP(A679,'Video Database'!L:L,'Video Database'!A:A,"")</f>
        <v>46195</v>
      </c>
      <c r="I679" s="103">
        <v>46201.0</v>
      </c>
      <c r="J679" s="104">
        <v>3.48</v>
      </c>
      <c r="K679" s="87">
        <v>6.0</v>
      </c>
      <c r="L679" s="105">
        <f t="shared" si="1"/>
        <v>636</v>
      </c>
      <c r="M679" s="87">
        <v>636.0</v>
      </c>
      <c r="O679" s="106">
        <f t="shared" si="2"/>
        <v>0.009433962264</v>
      </c>
      <c r="P679" s="106">
        <f t="shared" si="3"/>
        <v>0.3333333333</v>
      </c>
      <c r="Q679" s="84">
        <f t="shared" si="4"/>
        <v>1.74</v>
      </c>
      <c r="R679" s="84">
        <f t="shared" si="5"/>
        <v>30.36</v>
      </c>
      <c r="S679" s="107">
        <f t="shared" si="6"/>
        <v>3.37</v>
      </c>
      <c r="T679" s="108">
        <f t="shared" si="7"/>
        <v>30.63636364</v>
      </c>
      <c r="U679" s="106">
        <f t="shared" si="8"/>
        <v>0.9683908046</v>
      </c>
      <c r="V679" s="129">
        <f t="shared" si="9"/>
        <v>0.055</v>
      </c>
      <c r="W679" s="109">
        <f t="shared" si="10"/>
        <v>0.01833333333</v>
      </c>
      <c r="X679" s="109">
        <f t="shared" si="11"/>
        <v>0.1811594203</v>
      </c>
      <c r="Y679" s="110" t="str">
        <f t="array" ref="Y679">_xlfn.XLOOKUP(A679,'Video Database'!L:L,'Video Database'!M:M,"")</f>
        <v>Product Overlay</v>
      </c>
    </row>
    <row r="680" ht="22.5" customHeight="1">
      <c r="A680" s="113">
        <f t="shared" si="12"/>
        <v>679</v>
      </c>
      <c r="B680" s="98" t="str">
        <f t="array" ref="B680">_xlfn.XLOOKUP(A680,'Video Database'!L:L,'Video Database'!D:D,"")</f>
        <v>Brittney</v>
      </c>
      <c r="C680" s="98" t="str">
        <f t="array" ref="C680">_xlfn.XLOOKUP(A680,'Video Database'!L:L,'Video Database'!E:E,"")</f>
        <v>Account 1</v>
      </c>
      <c r="D680" s="99" t="str">
        <f t="array" ref="D680">_xlfn.XLOOKUP(A680,'Video Database'!L:L,'Video Database'!G:G,"")</f>
        <v>Gruns Greens Popsicle Firecracker Gummies</v>
      </c>
      <c r="E680" s="100">
        <f t="array" ref="E680">_xlfn.XLOOKUP(A680,'Video Database'!L:L,'Video Database'!H:H,"")</f>
        <v>0.11</v>
      </c>
      <c r="F680" s="101">
        <v>0.0</v>
      </c>
      <c r="G680" s="87">
        <v>0.0</v>
      </c>
      <c r="H680" s="114">
        <f t="array" ref="H680">_xlfn.XLOOKUP(A680,'Video Database'!L:L,'Video Database'!A:A,"")</f>
        <v>46195</v>
      </c>
      <c r="I680" s="103">
        <v>46201.0</v>
      </c>
      <c r="J680" s="104">
        <v>0.0</v>
      </c>
      <c r="K680" s="105"/>
      <c r="L680" s="105" t="str">
        <f t="shared" si="1"/>
        <v/>
      </c>
      <c r="O680" s="106" t="str">
        <f t="shared" si="2"/>
        <v>#N/A</v>
      </c>
      <c r="P680" s="106" t="str">
        <f t="shared" si="3"/>
        <v>#N/A</v>
      </c>
      <c r="Q680" s="84" t="str">
        <f t="shared" si="4"/>
        <v>#N/A</v>
      </c>
      <c r="R680" s="84" t="str">
        <f t="shared" si="5"/>
        <v>#N/A</v>
      </c>
      <c r="S680" s="107">
        <f t="shared" si="6"/>
        <v>-0.11</v>
      </c>
      <c r="T680" s="108">
        <f t="shared" si="7"/>
        <v>-1</v>
      </c>
      <c r="U680" s="106" t="str">
        <f t="shared" si="8"/>
        <v>#N/A</v>
      </c>
      <c r="V680" s="84" t="str">
        <f t="shared" si="9"/>
        <v/>
      </c>
      <c r="W680" s="109" t="str">
        <f t="shared" si="10"/>
        <v/>
      </c>
      <c r="X680" s="109" t="str">
        <f t="shared" si="11"/>
        <v/>
      </c>
      <c r="Y680" s="110" t="str">
        <f t="array" ref="Y680">_xlfn.XLOOKUP(A680,'Video Database'!L:L,'Video Database'!M:M,"")</f>
        <v>Bottom of Funnel</v>
      </c>
    </row>
    <row r="681" ht="22.5" customHeight="1">
      <c r="A681" s="113">
        <f t="shared" si="12"/>
        <v>680</v>
      </c>
      <c r="B681" s="98" t="str">
        <f t="array" ref="B681">_xlfn.XLOOKUP(A681,'Video Database'!L:L,'Video Database'!D:D,"")</f>
        <v>Brittney</v>
      </c>
      <c r="C681" s="98" t="str">
        <f t="array" ref="C681">_xlfn.XLOOKUP(A681,'Video Database'!L:L,'Video Database'!E:E,"")</f>
        <v>Account 1</v>
      </c>
      <c r="D681" s="99" t="str">
        <f t="array" ref="D681">_xlfn.XLOOKUP(A681,'Video Database'!L:L,'Video Database'!G:G,"")</f>
        <v>Gruns Greens Popsicle Firecracker Gummies</v>
      </c>
      <c r="E681" s="100">
        <f t="array" ref="E681">_xlfn.XLOOKUP(A681,'Video Database'!L:L,'Video Database'!H:H,"")</f>
        <v>0.11</v>
      </c>
      <c r="F681" s="101">
        <v>0.0</v>
      </c>
      <c r="G681" s="87">
        <v>0.0</v>
      </c>
      <c r="H681" s="114">
        <f t="array" ref="H681">_xlfn.XLOOKUP(A681,'Video Database'!L:L,'Video Database'!A:A,"")</f>
        <v>46195</v>
      </c>
      <c r="I681" s="103">
        <v>46201.0</v>
      </c>
      <c r="J681" s="104">
        <v>0.0</v>
      </c>
      <c r="K681" s="105"/>
      <c r="L681" s="105" t="str">
        <f t="shared" si="1"/>
        <v/>
      </c>
      <c r="O681" s="106" t="str">
        <f t="shared" si="2"/>
        <v>#N/A</v>
      </c>
      <c r="P681" s="106" t="str">
        <f t="shared" si="3"/>
        <v>#N/A</v>
      </c>
      <c r="Q681" s="84" t="str">
        <f t="shared" si="4"/>
        <v>#N/A</v>
      </c>
      <c r="R681" s="84" t="str">
        <f t="shared" si="5"/>
        <v>#N/A</v>
      </c>
      <c r="S681" s="107">
        <f t="shared" si="6"/>
        <v>-0.11</v>
      </c>
      <c r="T681" s="108">
        <f t="shared" si="7"/>
        <v>-1</v>
      </c>
      <c r="U681" s="106" t="str">
        <f t="shared" si="8"/>
        <v>#N/A</v>
      </c>
      <c r="V681" s="84" t="str">
        <f t="shared" si="9"/>
        <v/>
      </c>
      <c r="W681" s="109" t="str">
        <f t="shared" si="10"/>
        <v/>
      </c>
      <c r="X681" s="109" t="str">
        <f t="shared" si="11"/>
        <v/>
      </c>
      <c r="Y681" s="110" t="str">
        <f t="array" ref="Y681">_xlfn.XLOOKUP(A681,'Video Database'!L:L,'Video Database'!M:M,"")</f>
        <v>Bottom of Funnel</v>
      </c>
    </row>
    <row r="682" ht="22.5" customHeight="1">
      <c r="A682" s="113">
        <f t="shared" si="12"/>
        <v>681</v>
      </c>
      <c r="B682" s="98" t="str">
        <f t="array" ref="B682">_xlfn.XLOOKUP(A682,'Video Database'!L:L,'Video Database'!D:D,"")</f>
        <v>Brittney</v>
      </c>
      <c r="C682" s="98" t="str">
        <f t="array" ref="C682">_xlfn.XLOOKUP(A682,'Video Database'!L:L,'Video Database'!E:E,"")</f>
        <v>Account 1</v>
      </c>
      <c r="D682" s="99" t="str">
        <f t="array" ref="D682">_xlfn.XLOOKUP(A682,'Video Database'!L:L,'Video Database'!G:G,"")</f>
        <v>Gruns Greens Popsicle Firecracker Gummies</v>
      </c>
      <c r="E682" s="100">
        <f t="array" ref="E682">_xlfn.XLOOKUP(A682,'Video Database'!L:L,'Video Database'!H:H,"")</f>
        <v>0.11</v>
      </c>
      <c r="F682" s="101">
        <v>0.0</v>
      </c>
      <c r="G682" s="87">
        <v>0.0</v>
      </c>
      <c r="H682" s="114">
        <f t="array" ref="H682">_xlfn.XLOOKUP(A682,'Video Database'!L:L,'Video Database'!A:A,"")</f>
        <v>46195</v>
      </c>
      <c r="I682" s="103">
        <v>46201.0</v>
      </c>
      <c r="J682" s="104">
        <v>0.0</v>
      </c>
      <c r="K682" s="105"/>
      <c r="L682" s="105" t="str">
        <f t="shared" si="1"/>
        <v/>
      </c>
      <c r="O682" s="106" t="str">
        <f t="shared" si="2"/>
        <v>#N/A</v>
      </c>
      <c r="P682" s="106" t="str">
        <f t="shared" si="3"/>
        <v>#N/A</v>
      </c>
      <c r="Q682" s="84" t="str">
        <f t="shared" si="4"/>
        <v>#N/A</v>
      </c>
      <c r="R682" s="84" t="str">
        <f t="shared" si="5"/>
        <v>#N/A</v>
      </c>
      <c r="S682" s="107">
        <f t="shared" si="6"/>
        <v>-0.11</v>
      </c>
      <c r="T682" s="108">
        <f t="shared" si="7"/>
        <v>-1</v>
      </c>
      <c r="U682" s="106" t="str">
        <f t="shared" si="8"/>
        <v>#N/A</v>
      </c>
      <c r="V682" s="84" t="str">
        <f t="shared" si="9"/>
        <v/>
      </c>
      <c r="W682" s="109" t="str">
        <f t="shared" si="10"/>
        <v/>
      </c>
      <c r="X682" s="109" t="str">
        <f t="shared" si="11"/>
        <v/>
      </c>
      <c r="Y682" s="110" t="str">
        <f t="array" ref="Y682">_xlfn.XLOOKUP(A682,'Video Database'!L:L,'Video Database'!M:M,"")</f>
        <v>Bottom of Funnel</v>
      </c>
    </row>
    <row r="683" ht="22.5" customHeight="1">
      <c r="A683" s="113">
        <f t="shared" si="12"/>
        <v>682</v>
      </c>
      <c r="B683" s="98" t="str">
        <f t="array" ref="B683">_xlfn.XLOOKUP(A683,'Video Database'!L:L,'Video Database'!D:D,"")</f>
        <v>Blakely</v>
      </c>
      <c r="C683" s="98" t="str">
        <f t="array" ref="C683">_xlfn.XLOOKUP(A683,'Video Database'!L:L,'Video Database'!E:E,"")</f>
        <v>Account 1</v>
      </c>
      <c r="D683" s="99" t="str">
        <f t="array" ref="D683">_xlfn.XLOOKUP(A683,'Video Database'!L:L,'Video Database'!G:G,"")</f>
        <v>Fillo's Walking Tamales Variety Pack</v>
      </c>
      <c r="E683" s="100">
        <f t="array" ref="E683">_xlfn.XLOOKUP(A683,'Video Database'!L:L,'Video Database'!H:H,"")</f>
        <v>0.11</v>
      </c>
      <c r="F683" s="101">
        <v>0.0</v>
      </c>
      <c r="G683" s="87">
        <v>0.0</v>
      </c>
      <c r="H683" s="114">
        <f t="array" ref="H683">_xlfn.XLOOKUP(A683,'Video Database'!L:L,'Video Database'!A:A,"")</f>
        <v>46195</v>
      </c>
      <c r="I683" s="103">
        <v>46201.0</v>
      </c>
      <c r="J683" s="104">
        <v>0.0</v>
      </c>
      <c r="K683" s="105"/>
      <c r="L683" s="105" t="str">
        <f t="shared" si="1"/>
        <v/>
      </c>
      <c r="O683" s="106" t="str">
        <f t="shared" si="2"/>
        <v>#N/A</v>
      </c>
      <c r="P683" s="106" t="str">
        <f t="shared" si="3"/>
        <v>#N/A</v>
      </c>
      <c r="Q683" s="84" t="str">
        <f t="shared" si="4"/>
        <v>#N/A</v>
      </c>
      <c r="R683" s="84" t="str">
        <f t="shared" si="5"/>
        <v>#N/A</v>
      </c>
      <c r="S683" s="107">
        <f t="shared" si="6"/>
        <v>-0.11</v>
      </c>
      <c r="T683" s="108">
        <f t="shared" si="7"/>
        <v>-1</v>
      </c>
      <c r="U683" s="106" t="str">
        <f t="shared" si="8"/>
        <v>#N/A</v>
      </c>
      <c r="V683" s="84" t="str">
        <f t="shared" si="9"/>
        <v/>
      </c>
      <c r="W683" s="109" t="str">
        <f t="shared" si="10"/>
        <v/>
      </c>
      <c r="X683" s="109" t="str">
        <f t="shared" si="11"/>
        <v/>
      </c>
      <c r="Y683" s="110" t="str">
        <f t="array" ref="Y683">_xlfn.XLOOKUP(A683,'Video Database'!L:L,'Video Database'!M:M,"")</f>
        <v>Product Overlay</v>
      </c>
    </row>
    <row r="684" ht="22.5" customHeight="1">
      <c r="A684" s="113">
        <f t="shared" si="12"/>
        <v>683</v>
      </c>
      <c r="B684" s="98" t="str">
        <f t="array" ref="B684">_xlfn.XLOOKUP(A684,'Video Database'!L:L,'Video Database'!D:D,"")</f>
        <v>Blakely</v>
      </c>
      <c r="C684" s="98" t="str">
        <f t="array" ref="C684">_xlfn.XLOOKUP(A684,'Video Database'!L:L,'Video Database'!E:E,"")</f>
        <v>Account 1</v>
      </c>
      <c r="D684" s="99" t="str">
        <f t="array" ref="D684">_xlfn.XLOOKUP(A684,'Video Database'!L:L,'Video Database'!G:G,"")</f>
        <v>BIGVITA Hair +</v>
      </c>
      <c r="E684" s="100">
        <f t="array" ref="E684">_xlfn.XLOOKUP(A684,'Video Database'!L:L,'Video Database'!H:H,"")</f>
        <v>0.11</v>
      </c>
      <c r="F684" s="101">
        <v>0.0</v>
      </c>
      <c r="G684" s="87">
        <v>0.0</v>
      </c>
      <c r="H684" s="114">
        <f t="array" ref="H684">_xlfn.XLOOKUP(A684,'Video Database'!L:L,'Video Database'!A:A,"")</f>
        <v>46195</v>
      </c>
      <c r="I684" s="103">
        <v>46201.0</v>
      </c>
      <c r="J684" s="104">
        <v>0.0</v>
      </c>
      <c r="K684" s="105"/>
      <c r="L684" s="105" t="str">
        <f t="shared" si="1"/>
        <v/>
      </c>
      <c r="O684" s="106" t="str">
        <f t="shared" si="2"/>
        <v>#N/A</v>
      </c>
      <c r="P684" s="106" t="str">
        <f t="shared" si="3"/>
        <v>#N/A</v>
      </c>
      <c r="Q684" s="84" t="str">
        <f t="shared" si="4"/>
        <v>#N/A</v>
      </c>
      <c r="R684" s="84" t="str">
        <f t="shared" si="5"/>
        <v>#N/A</v>
      </c>
      <c r="S684" s="107">
        <f t="shared" si="6"/>
        <v>-0.11</v>
      </c>
      <c r="T684" s="108">
        <f t="shared" si="7"/>
        <v>-1</v>
      </c>
      <c r="U684" s="106" t="str">
        <f t="shared" si="8"/>
        <v>#N/A</v>
      </c>
      <c r="V684" s="84" t="str">
        <f t="shared" si="9"/>
        <v/>
      </c>
      <c r="W684" s="109" t="str">
        <f t="shared" si="10"/>
        <v/>
      </c>
      <c r="X684" s="109" t="str">
        <f t="shared" si="11"/>
        <v/>
      </c>
      <c r="Y684" s="110" t="str">
        <f t="array" ref="Y684">_xlfn.XLOOKUP(A684,'Video Database'!L:L,'Video Database'!M:M,"")</f>
        <v>Product Overlay</v>
      </c>
    </row>
    <row r="685" ht="22.5" customHeight="1">
      <c r="A685" s="113">
        <f t="shared" si="12"/>
        <v>684</v>
      </c>
      <c r="B685" s="98" t="str">
        <f t="array" ref="B685">_xlfn.XLOOKUP(A685,'Video Database'!L:L,'Video Database'!D:D,"")</f>
        <v>Blakely</v>
      </c>
      <c r="C685" s="98" t="str">
        <f t="array" ref="C685">_xlfn.XLOOKUP(A685,'Video Database'!L:L,'Video Database'!E:E,"")</f>
        <v>Account 1</v>
      </c>
      <c r="D685" s="99" t="str">
        <f t="array" ref="D685">_xlfn.XLOOKUP(A685,'Video Database'!L:L,'Video Database'!G:G,"")</f>
        <v>JOYMODE Ignite Libido Support</v>
      </c>
      <c r="E685" s="100">
        <f t="array" ref="E685">_xlfn.XLOOKUP(A685,'Video Database'!L:L,'Video Database'!H:H,"")</f>
        <v>0.11</v>
      </c>
      <c r="F685" s="101">
        <v>0.0</v>
      </c>
      <c r="G685" s="87">
        <v>0.0</v>
      </c>
      <c r="H685" s="114">
        <f t="array" ref="H685">_xlfn.XLOOKUP(A685,'Video Database'!L:L,'Video Database'!A:A,"")</f>
        <v>46195</v>
      </c>
      <c r="I685" s="103">
        <v>46201.0</v>
      </c>
      <c r="J685" s="104">
        <v>0.0</v>
      </c>
      <c r="K685" s="105"/>
      <c r="L685" s="105" t="str">
        <f t="shared" si="1"/>
        <v/>
      </c>
      <c r="O685" s="106" t="str">
        <f t="shared" si="2"/>
        <v>#N/A</v>
      </c>
      <c r="P685" s="106" t="str">
        <f t="shared" si="3"/>
        <v>#N/A</v>
      </c>
      <c r="Q685" s="84" t="str">
        <f t="shared" si="4"/>
        <v>#N/A</v>
      </c>
      <c r="R685" s="84" t="str">
        <f t="shared" si="5"/>
        <v>#N/A</v>
      </c>
      <c r="S685" s="107">
        <f t="shared" si="6"/>
        <v>-0.11</v>
      </c>
      <c r="T685" s="108">
        <f t="shared" si="7"/>
        <v>-1</v>
      </c>
      <c r="U685" s="106" t="str">
        <f t="shared" si="8"/>
        <v>#N/A</v>
      </c>
      <c r="V685" s="84" t="str">
        <f t="shared" si="9"/>
        <v/>
      </c>
      <c r="W685" s="109" t="str">
        <f t="shared" si="10"/>
        <v/>
      </c>
      <c r="X685" s="109" t="str">
        <f t="shared" si="11"/>
        <v/>
      </c>
      <c r="Y685" s="110" t="str">
        <f t="array" ref="Y685">_xlfn.XLOOKUP(A685,'Video Database'!L:L,'Video Database'!M:M,"")</f>
        <v>Product Overlay</v>
      </c>
    </row>
    <row r="686" ht="22.5" customHeight="1">
      <c r="A686" s="113">
        <f t="shared" si="12"/>
        <v>685</v>
      </c>
      <c r="B686" s="98" t="str">
        <f t="array" ref="B686">_xlfn.XLOOKUP(A686,'Video Database'!L:L,'Video Database'!D:D,"")</f>
        <v>Blakely</v>
      </c>
      <c r="C686" s="98" t="str">
        <f t="array" ref="C686">_xlfn.XLOOKUP(A686,'Video Database'!L:L,'Video Database'!E:E,"")</f>
        <v>Account 1</v>
      </c>
      <c r="D686" s="99" t="str">
        <f t="array" ref="D686">_xlfn.XLOOKUP(A686,'Video Database'!L:L,'Video Database'!G:G,"")</f>
        <v>BrainMD L-Theanine Gummies</v>
      </c>
      <c r="E686" s="100">
        <f t="array" ref="E686">_xlfn.XLOOKUP(A686,'Video Database'!L:L,'Video Database'!H:H,"")</f>
        <v>0.11</v>
      </c>
      <c r="F686" s="101">
        <v>0.0</v>
      </c>
      <c r="G686" s="87">
        <v>0.0</v>
      </c>
      <c r="H686" s="114">
        <f t="array" ref="H686">_xlfn.XLOOKUP(A686,'Video Database'!L:L,'Video Database'!A:A,"")</f>
        <v>46195</v>
      </c>
      <c r="I686" s="103">
        <v>46201.0</v>
      </c>
      <c r="J686" s="104">
        <v>0.0</v>
      </c>
      <c r="K686" s="105"/>
      <c r="L686" s="105" t="str">
        <f t="shared" si="1"/>
        <v/>
      </c>
      <c r="O686" s="106" t="str">
        <f t="shared" si="2"/>
        <v>#N/A</v>
      </c>
      <c r="P686" s="106" t="str">
        <f t="shared" si="3"/>
        <v>#N/A</v>
      </c>
      <c r="Q686" s="84" t="str">
        <f t="shared" si="4"/>
        <v>#N/A</v>
      </c>
      <c r="R686" s="84" t="str">
        <f t="shared" si="5"/>
        <v>#N/A</v>
      </c>
      <c r="S686" s="107">
        <f t="shared" si="6"/>
        <v>-0.11</v>
      </c>
      <c r="T686" s="108">
        <f t="shared" si="7"/>
        <v>-1</v>
      </c>
      <c r="U686" s="106" t="str">
        <f t="shared" si="8"/>
        <v>#N/A</v>
      </c>
      <c r="V686" s="84" t="str">
        <f t="shared" si="9"/>
        <v/>
      </c>
      <c r="W686" s="109" t="str">
        <f t="shared" si="10"/>
        <v/>
      </c>
      <c r="X686" s="109" t="str">
        <f t="shared" si="11"/>
        <v/>
      </c>
      <c r="Y686" s="110" t="str">
        <f t="array" ref="Y686">_xlfn.XLOOKUP(A686,'Video Database'!L:L,'Video Database'!M:M,"")</f>
        <v>Product Overlay</v>
      </c>
    </row>
    <row r="687" ht="22.5" customHeight="1">
      <c r="A687" s="113">
        <f t="shared" si="12"/>
        <v>686</v>
      </c>
      <c r="B687" s="98" t="str">
        <f t="array" ref="B687">_xlfn.XLOOKUP(A687,'Video Database'!L:L,'Video Database'!D:D,"")</f>
        <v>Blakely</v>
      </c>
      <c r="C687" s="98" t="str">
        <f t="array" ref="C687">_xlfn.XLOOKUP(A687,'Video Database'!L:L,'Video Database'!E:E,"")</f>
        <v>Account 1</v>
      </c>
      <c r="D687" s="99" t="str">
        <f t="array" ref="D687">_xlfn.XLOOKUP(A687,'Video Database'!L:L,'Video Database'!G:G,"")</f>
        <v>tarte smoldereyes shadow liner duo</v>
      </c>
      <c r="E687" s="100">
        <f t="array" ref="E687">_xlfn.XLOOKUP(A687,'Video Database'!L:L,'Video Database'!H:H,"")</f>
        <v>0.11</v>
      </c>
      <c r="F687" s="101">
        <v>0.0</v>
      </c>
      <c r="G687" s="87">
        <v>0.0</v>
      </c>
      <c r="H687" s="114">
        <f t="array" ref="H687">_xlfn.XLOOKUP(A687,'Video Database'!L:L,'Video Database'!A:A,"")</f>
        <v>46195</v>
      </c>
      <c r="I687" s="103">
        <v>46201.0</v>
      </c>
      <c r="J687" s="104">
        <v>0.0</v>
      </c>
      <c r="K687" s="105"/>
      <c r="L687" s="105" t="str">
        <f t="shared" si="1"/>
        <v/>
      </c>
      <c r="O687" s="106" t="str">
        <f t="shared" si="2"/>
        <v>#N/A</v>
      </c>
      <c r="P687" s="106" t="str">
        <f t="shared" si="3"/>
        <v>#N/A</v>
      </c>
      <c r="Q687" s="84" t="str">
        <f t="shared" si="4"/>
        <v>#N/A</v>
      </c>
      <c r="R687" s="84" t="str">
        <f t="shared" si="5"/>
        <v>#N/A</v>
      </c>
      <c r="S687" s="107">
        <f t="shared" si="6"/>
        <v>-0.11</v>
      </c>
      <c r="T687" s="108">
        <f t="shared" si="7"/>
        <v>-1</v>
      </c>
      <c r="U687" s="106" t="str">
        <f t="shared" si="8"/>
        <v>#N/A</v>
      </c>
      <c r="V687" s="84" t="str">
        <f t="shared" si="9"/>
        <v/>
      </c>
      <c r="W687" s="109" t="str">
        <f t="shared" si="10"/>
        <v/>
      </c>
      <c r="X687" s="109" t="str">
        <f t="shared" si="11"/>
        <v/>
      </c>
      <c r="Y687" s="110" t="str">
        <f t="array" ref="Y687">_xlfn.XLOOKUP(A687,'Video Database'!L:L,'Video Database'!M:M,"")</f>
        <v>Product Overlay</v>
      </c>
    </row>
    <row r="688" ht="22.5" customHeight="1">
      <c r="A688" s="113">
        <f t="shared" si="12"/>
        <v>687</v>
      </c>
      <c r="B688" s="98" t="str">
        <f t="array" ref="B688">_xlfn.XLOOKUP(A688,'Video Database'!L:L,'Video Database'!D:D,"")</f>
        <v>Blakely</v>
      </c>
      <c r="C688" s="98" t="str">
        <f t="array" ref="C688">_xlfn.XLOOKUP(A688,'Video Database'!L:L,'Video Database'!E:E,"")</f>
        <v>Account 1</v>
      </c>
      <c r="D688" s="99" t="str">
        <f t="array" ref="D688">_xlfn.XLOOKUP(A688,'Video Database'!L:L,'Video Database'!G:G,"")</f>
        <v>tarte dab &amp; gab hair concealer</v>
      </c>
      <c r="E688" s="100">
        <f t="array" ref="E688">_xlfn.XLOOKUP(A688,'Video Database'!L:L,'Video Database'!H:H,"")</f>
        <v>0.11</v>
      </c>
      <c r="F688" s="101">
        <v>0.0</v>
      </c>
      <c r="G688" s="87">
        <v>0.0</v>
      </c>
      <c r="H688" s="114">
        <f t="array" ref="H688">_xlfn.XLOOKUP(A688,'Video Database'!L:L,'Video Database'!A:A,"")</f>
        <v>46195</v>
      </c>
      <c r="I688" s="103">
        <v>46201.0</v>
      </c>
      <c r="J688" s="104">
        <v>0.0</v>
      </c>
      <c r="K688" s="105"/>
      <c r="L688" s="105" t="str">
        <f t="shared" si="1"/>
        <v/>
      </c>
      <c r="O688" s="106" t="str">
        <f t="shared" si="2"/>
        <v>#N/A</v>
      </c>
      <c r="P688" s="106" t="str">
        <f t="shared" si="3"/>
        <v>#N/A</v>
      </c>
      <c r="Q688" s="84" t="str">
        <f t="shared" si="4"/>
        <v>#N/A</v>
      </c>
      <c r="R688" s="84" t="str">
        <f t="shared" si="5"/>
        <v>#N/A</v>
      </c>
      <c r="S688" s="107">
        <f t="shared" si="6"/>
        <v>-0.11</v>
      </c>
      <c r="T688" s="108">
        <f t="shared" si="7"/>
        <v>-1</v>
      </c>
      <c r="U688" s="106" t="str">
        <f t="shared" si="8"/>
        <v>#N/A</v>
      </c>
      <c r="V688" s="84" t="str">
        <f t="shared" si="9"/>
        <v/>
      </c>
      <c r="W688" s="109" t="str">
        <f t="shared" si="10"/>
        <v/>
      </c>
      <c r="X688" s="109" t="str">
        <f t="shared" si="11"/>
        <v/>
      </c>
      <c r="Y688" s="110" t="str">
        <f t="array" ref="Y688">_xlfn.XLOOKUP(A688,'Video Database'!L:L,'Video Database'!M:M,"")</f>
        <v>Product Overlay</v>
      </c>
    </row>
    <row r="689" ht="22.5" customHeight="1">
      <c r="A689" s="113">
        <f t="shared" si="12"/>
        <v>688</v>
      </c>
      <c r="B689" s="98" t="str">
        <f t="array" ref="B689">_xlfn.XLOOKUP(A689,'Video Database'!L:L,'Video Database'!D:D,"")</f>
        <v>Blakely</v>
      </c>
      <c r="C689" s="98" t="str">
        <f t="array" ref="C689">_xlfn.XLOOKUP(A689,'Video Database'!L:L,'Video Database'!E:E,"")</f>
        <v>Account 1</v>
      </c>
      <c r="D689" s="99" t="str">
        <f t="array" ref="D689">_xlfn.XLOOKUP(A689,'Video Database'!L:L,'Video Database'!G:G,"")</f>
        <v>Vimergy Organic Lemon Balm</v>
      </c>
      <c r="E689" s="100">
        <f t="array" ref="E689">_xlfn.XLOOKUP(A689,'Video Database'!L:L,'Video Database'!H:H,"")</f>
        <v>0.11</v>
      </c>
      <c r="F689" s="101">
        <v>0.0</v>
      </c>
      <c r="G689" s="87">
        <v>0.0</v>
      </c>
      <c r="H689" s="114">
        <f t="array" ref="H689">_xlfn.XLOOKUP(A689,'Video Database'!L:L,'Video Database'!A:A,"")</f>
        <v>46195</v>
      </c>
      <c r="I689" s="103">
        <v>46201.0</v>
      </c>
      <c r="J689" s="104">
        <v>0.0</v>
      </c>
      <c r="K689" s="105"/>
      <c r="L689" s="105" t="str">
        <f t="shared" si="1"/>
        <v/>
      </c>
      <c r="O689" s="106" t="str">
        <f t="shared" si="2"/>
        <v>#N/A</v>
      </c>
      <c r="P689" s="106" t="str">
        <f t="shared" si="3"/>
        <v>#N/A</v>
      </c>
      <c r="Q689" s="84" t="str">
        <f t="shared" si="4"/>
        <v>#N/A</v>
      </c>
      <c r="R689" s="84" t="str">
        <f t="shared" si="5"/>
        <v>#N/A</v>
      </c>
      <c r="S689" s="107">
        <f t="shared" si="6"/>
        <v>-0.11</v>
      </c>
      <c r="T689" s="108">
        <f t="shared" si="7"/>
        <v>-1</v>
      </c>
      <c r="U689" s="106" t="str">
        <f t="shared" si="8"/>
        <v>#N/A</v>
      </c>
      <c r="V689" s="84" t="str">
        <f t="shared" si="9"/>
        <v/>
      </c>
      <c r="W689" s="109" t="str">
        <f t="shared" si="10"/>
        <v/>
      </c>
      <c r="X689" s="109" t="str">
        <f t="shared" si="11"/>
        <v/>
      </c>
      <c r="Y689" s="110" t="str">
        <f t="array" ref="Y689">_xlfn.XLOOKUP(A689,'Video Database'!L:L,'Video Database'!M:M,"")</f>
        <v>Product Overlay</v>
      </c>
    </row>
    <row r="690" ht="22.5" customHeight="1">
      <c r="A690" s="113">
        <f t="shared" si="12"/>
        <v>689</v>
      </c>
      <c r="B690" s="98" t="str">
        <f t="array" ref="B690">_xlfn.XLOOKUP(A690,'Video Database'!L:L,'Video Database'!D:D,"")</f>
        <v>Blakely</v>
      </c>
      <c r="C690" s="98" t="str">
        <f t="array" ref="C690">_xlfn.XLOOKUP(A690,'Video Database'!L:L,'Video Database'!E:E,"")</f>
        <v>Account 1</v>
      </c>
      <c r="D690" s="99" t="str">
        <f t="array" ref="D690">_xlfn.XLOOKUP(A690,'Video Database'!L:L,'Video Database'!G:G,"")</f>
        <v>BrainMD Peak Energy</v>
      </c>
      <c r="E690" s="100">
        <f t="array" ref="E690">_xlfn.XLOOKUP(A690,'Video Database'!L:L,'Video Database'!H:H,"")</f>
        <v>0.11</v>
      </c>
      <c r="F690" s="101">
        <v>0.0</v>
      </c>
      <c r="G690" s="87">
        <v>0.0</v>
      </c>
      <c r="H690" s="114">
        <f t="array" ref="H690">_xlfn.XLOOKUP(A690,'Video Database'!L:L,'Video Database'!A:A,"")</f>
        <v>46195</v>
      </c>
      <c r="I690" s="103">
        <v>46201.0</v>
      </c>
      <c r="J690" s="104">
        <v>0.0</v>
      </c>
      <c r="K690" s="105"/>
      <c r="L690" s="105" t="str">
        <f t="shared" si="1"/>
        <v/>
      </c>
      <c r="O690" s="106" t="str">
        <f t="shared" si="2"/>
        <v>#N/A</v>
      </c>
      <c r="P690" s="106" t="str">
        <f t="shared" si="3"/>
        <v>#N/A</v>
      </c>
      <c r="Q690" s="84" t="str">
        <f t="shared" si="4"/>
        <v>#N/A</v>
      </c>
      <c r="R690" s="84" t="str">
        <f t="shared" si="5"/>
        <v>#N/A</v>
      </c>
      <c r="S690" s="107">
        <f t="shared" si="6"/>
        <v>-0.11</v>
      </c>
      <c r="T690" s="108">
        <f t="shared" si="7"/>
        <v>-1</v>
      </c>
      <c r="U690" s="106" t="str">
        <f t="shared" si="8"/>
        <v>#N/A</v>
      </c>
      <c r="V690" s="84" t="str">
        <f t="shared" si="9"/>
        <v/>
      </c>
      <c r="W690" s="109" t="str">
        <f t="shared" si="10"/>
        <v/>
      </c>
      <c r="X690" s="109" t="str">
        <f t="shared" si="11"/>
        <v/>
      </c>
      <c r="Y690" s="110" t="str">
        <f t="array" ref="Y690">_xlfn.XLOOKUP(A690,'Video Database'!L:L,'Video Database'!M:M,"")</f>
        <v>Product Overlay</v>
      </c>
    </row>
    <row r="691" ht="22.5" customHeight="1">
      <c r="A691" s="113">
        <f t="shared" si="12"/>
        <v>690</v>
      </c>
      <c r="B691" s="98" t="str">
        <f t="array" ref="B691">_xlfn.XLOOKUP(A691,'Video Database'!L:L,'Video Database'!D:D,"")</f>
        <v>Blakely</v>
      </c>
      <c r="C691" s="98" t="str">
        <f t="array" ref="C691">_xlfn.XLOOKUP(A691,'Video Database'!L:L,'Video Database'!E:E,"")</f>
        <v>Account 1</v>
      </c>
      <c r="D691" s="99" t="str">
        <f t="array" ref="D691">_xlfn.XLOOKUP(A691,'Video Database'!L:L,'Video Database'!G:G,"")</f>
        <v>tarte dab &amp; gab hair concealer</v>
      </c>
      <c r="E691" s="100">
        <f t="array" ref="E691">_xlfn.XLOOKUP(A691,'Video Database'!L:L,'Video Database'!H:H,"")</f>
        <v>0.11</v>
      </c>
      <c r="F691" s="101">
        <v>0.0</v>
      </c>
      <c r="G691" s="87">
        <v>0.0</v>
      </c>
      <c r="H691" s="114">
        <f t="array" ref="H691">_xlfn.XLOOKUP(A691,'Video Database'!L:L,'Video Database'!A:A,"")</f>
        <v>46195</v>
      </c>
      <c r="I691" s="103">
        <v>46201.0</v>
      </c>
      <c r="J691" s="104">
        <v>0.0</v>
      </c>
      <c r="K691" s="105"/>
      <c r="L691" s="105" t="str">
        <f t="shared" si="1"/>
        <v/>
      </c>
      <c r="O691" s="106" t="str">
        <f t="shared" si="2"/>
        <v>#N/A</v>
      </c>
      <c r="P691" s="106" t="str">
        <f t="shared" si="3"/>
        <v>#N/A</v>
      </c>
      <c r="Q691" s="84" t="str">
        <f t="shared" si="4"/>
        <v>#N/A</v>
      </c>
      <c r="R691" s="84" t="str">
        <f t="shared" si="5"/>
        <v>#N/A</v>
      </c>
      <c r="S691" s="107">
        <f t="shared" si="6"/>
        <v>-0.11</v>
      </c>
      <c r="T691" s="108">
        <f t="shared" si="7"/>
        <v>-1</v>
      </c>
      <c r="U691" s="106" t="str">
        <f t="shared" si="8"/>
        <v>#N/A</v>
      </c>
      <c r="V691" s="84" t="str">
        <f t="shared" si="9"/>
        <v/>
      </c>
      <c r="W691" s="109" t="str">
        <f t="shared" si="10"/>
        <v/>
      </c>
      <c r="X691" s="109" t="str">
        <f t="shared" si="11"/>
        <v/>
      </c>
      <c r="Y691" s="110" t="str">
        <f t="array" ref="Y691">_xlfn.XLOOKUP(A691,'Video Database'!L:L,'Video Database'!M:M,"")</f>
        <v>Product Overlay</v>
      </c>
    </row>
    <row r="692" ht="22.5" customHeight="1">
      <c r="A692" s="113">
        <f t="shared" si="12"/>
        <v>691</v>
      </c>
      <c r="B692" s="98" t="str">
        <f t="array" ref="B692">_xlfn.XLOOKUP(A692,'Video Database'!L:L,'Video Database'!D:D,"")</f>
        <v>Blakely</v>
      </c>
      <c r="C692" s="98" t="str">
        <f t="array" ref="C692">_xlfn.XLOOKUP(A692,'Video Database'!L:L,'Video Database'!E:E,"")</f>
        <v>Account 1</v>
      </c>
      <c r="D692" s="99" t="str">
        <f t="array" ref="D692">_xlfn.XLOOKUP(A692,'Video Database'!L:L,'Video Database'!G:G,"")</f>
        <v>IRIS Hormone Health Drink Mix</v>
      </c>
      <c r="E692" s="100">
        <f t="array" ref="E692">_xlfn.XLOOKUP(A692,'Video Database'!L:L,'Video Database'!H:H,"")</f>
        <v>0.11</v>
      </c>
      <c r="F692" s="101">
        <v>0.0</v>
      </c>
      <c r="G692" s="87">
        <v>0.0</v>
      </c>
      <c r="H692" s="114">
        <f t="array" ref="H692">_xlfn.XLOOKUP(A692,'Video Database'!L:L,'Video Database'!A:A,"")</f>
        <v>46195</v>
      </c>
      <c r="I692" s="103">
        <v>46201.0</v>
      </c>
      <c r="J692" s="104">
        <v>0.0</v>
      </c>
      <c r="K692" s="105"/>
      <c r="L692" s="105" t="str">
        <f t="shared" si="1"/>
        <v/>
      </c>
      <c r="O692" s="106" t="str">
        <f t="shared" si="2"/>
        <v>#N/A</v>
      </c>
      <c r="P692" s="106" t="str">
        <f t="shared" si="3"/>
        <v>#N/A</v>
      </c>
      <c r="Q692" s="84" t="str">
        <f t="shared" si="4"/>
        <v>#N/A</v>
      </c>
      <c r="R692" s="84" t="str">
        <f t="shared" si="5"/>
        <v>#N/A</v>
      </c>
      <c r="S692" s="107">
        <f t="shared" si="6"/>
        <v>-0.11</v>
      </c>
      <c r="T692" s="108">
        <f t="shared" si="7"/>
        <v>-1</v>
      </c>
      <c r="U692" s="106" t="str">
        <f t="shared" si="8"/>
        <v>#N/A</v>
      </c>
      <c r="V692" s="84" t="str">
        <f t="shared" si="9"/>
        <v/>
      </c>
      <c r="W692" s="109" t="str">
        <f t="shared" si="10"/>
        <v/>
      </c>
      <c r="X692" s="109" t="str">
        <f t="shared" si="11"/>
        <v/>
      </c>
      <c r="Y692" s="110" t="str">
        <f t="array" ref="Y692">_xlfn.XLOOKUP(A692,'Video Database'!L:L,'Video Database'!M:M,"")</f>
        <v>Product Overlay</v>
      </c>
    </row>
    <row r="693" ht="22.5" customHeight="1">
      <c r="A693" s="113">
        <f t="shared" si="12"/>
        <v>692</v>
      </c>
      <c r="B693" s="98" t="str">
        <f t="array" ref="B693">_xlfn.XLOOKUP(A693,'Video Database'!L:L,'Video Database'!D:D,"")</f>
        <v>Blakely</v>
      </c>
      <c r="C693" s="98" t="str">
        <f t="array" ref="C693">_xlfn.XLOOKUP(A693,'Video Database'!L:L,'Video Database'!E:E,"")</f>
        <v>Account 1</v>
      </c>
      <c r="D693" s="99" t="str">
        <f t="array" ref="D693">_xlfn.XLOOKUP(A693,'Video Database'!L:L,'Video Database'!G:G,"")</f>
        <v>tarte CC Color-Correct Tinted Serum</v>
      </c>
      <c r="E693" s="100">
        <f t="array" ref="E693">_xlfn.XLOOKUP(A693,'Video Database'!L:L,'Video Database'!H:H,"")</f>
        <v>0.11</v>
      </c>
      <c r="F693" s="101">
        <v>0.0</v>
      </c>
      <c r="G693" s="87">
        <v>0.0</v>
      </c>
      <c r="H693" s="114">
        <f t="array" ref="H693">_xlfn.XLOOKUP(A693,'Video Database'!L:L,'Video Database'!A:A,"")</f>
        <v>46195</v>
      </c>
      <c r="I693" s="103">
        <v>46201.0</v>
      </c>
      <c r="J693" s="104">
        <v>0.0</v>
      </c>
      <c r="K693" s="105"/>
      <c r="L693" s="105" t="str">
        <f t="shared" si="1"/>
        <v/>
      </c>
      <c r="O693" s="106" t="str">
        <f t="shared" si="2"/>
        <v>#N/A</v>
      </c>
      <c r="P693" s="106" t="str">
        <f t="shared" si="3"/>
        <v>#N/A</v>
      </c>
      <c r="Q693" s="84" t="str">
        <f t="shared" si="4"/>
        <v>#N/A</v>
      </c>
      <c r="R693" s="84" t="str">
        <f t="shared" si="5"/>
        <v>#N/A</v>
      </c>
      <c r="S693" s="107">
        <f t="shared" si="6"/>
        <v>-0.11</v>
      </c>
      <c r="T693" s="108">
        <f t="shared" si="7"/>
        <v>-1</v>
      </c>
      <c r="U693" s="106" t="str">
        <f t="shared" si="8"/>
        <v>#N/A</v>
      </c>
      <c r="V693" s="84" t="str">
        <f t="shared" si="9"/>
        <v/>
      </c>
      <c r="W693" s="109" t="str">
        <f t="shared" si="10"/>
        <v/>
      </c>
      <c r="X693" s="109" t="str">
        <f t="shared" si="11"/>
        <v/>
      </c>
      <c r="Y693" s="110" t="str">
        <f t="array" ref="Y693">_xlfn.XLOOKUP(A693,'Video Database'!L:L,'Video Database'!M:M,"")</f>
        <v>Product Overlay</v>
      </c>
    </row>
    <row r="694" ht="22.5" customHeight="1">
      <c r="A694" s="113">
        <f t="shared" si="12"/>
        <v>693</v>
      </c>
      <c r="B694" s="98" t="str">
        <f t="array" ref="B694">_xlfn.XLOOKUP(A694,'Video Database'!L:L,'Video Database'!D:D,"")</f>
        <v>Blakely</v>
      </c>
      <c r="C694" s="98" t="str">
        <f t="array" ref="C694">_xlfn.XLOOKUP(A694,'Video Database'!L:L,'Video Database'!E:E,"")</f>
        <v>Account 1</v>
      </c>
      <c r="D694" s="99" t="str">
        <f t="array" ref="D694">_xlfn.XLOOKUP(A694,'Video Database'!L:L,'Video Database'!G:G,"")</f>
        <v>Nooni korean apple lip oil trio</v>
      </c>
      <c r="E694" s="100">
        <f t="array" ref="E694">_xlfn.XLOOKUP(A694,'Video Database'!L:L,'Video Database'!H:H,"")</f>
        <v>0.11</v>
      </c>
      <c r="F694" s="101">
        <v>0.0</v>
      </c>
      <c r="G694" s="87">
        <v>0.0</v>
      </c>
      <c r="H694" s="114">
        <f t="array" ref="H694">_xlfn.XLOOKUP(A694,'Video Database'!L:L,'Video Database'!A:A,"")</f>
        <v>46195</v>
      </c>
      <c r="I694" s="103">
        <v>46201.0</v>
      </c>
      <c r="J694" s="104">
        <v>0.0</v>
      </c>
      <c r="K694" s="105"/>
      <c r="L694" s="105" t="str">
        <f t="shared" si="1"/>
        <v/>
      </c>
      <c r="O694" s="106" t="str">
        <f t="shared" si="2"/>
        <v>#N/A</v>
      </c>
      <c r="P694" s="106" t="str">
        <f t="shared" si="3"/>
        <v>#N/A</v>
      </c>
      <c r="Q694" s="84" t="str">
        <f t="shared" si="4"/>
        <v>#N/A</v>
      </c>
      <c r="R694" s="84" t="str">
        <f t="shared" si="5"/>
        <v>#N/A</v>
      </c>
      <c r="S694" s="107">
        <f t="shared" si="6"/>
        <v>-0.11</v>
      </c>
      <c r="T694" s="108">
        <f t="shared" si="7"/>
        <v>-1</v>
      </c>
      <c r="U694" s="106" t="str">
        <f t="shared" si="8"/>
        <v>#N/A</v>
      </c>
      <c r="V694" s="84" t="str">
        <f t="shared" si="9"/>
        <v/>
      </c>
      <c r="W694" s="109" t="str">
        <f t="shared" si="10"/>
        <v/>
      </c>
      <c r="X694" s="109" t="str">
        <f t="shared" si="11"/>
        <v/>
      </c>
      <c r="Y694" s="110" t="str">
        <f t="array" ref="Y694">_xlfn.XLOOKUP(A694,'Video Database'!L:L,'Video Database'!M:M,"")</f>
        <v>Product Overlay</v>
      </c>
    </row>
    <row r="695" ht="22.5" customHeight="1">
      <c r="A695" s="113">
        <f t="shared" si="12"/>
        <v>694</v>
      </c>
      <c r="B695" s="98" t="str">
        <f t="array" ref="B695">_xlfn.XLOOKUP(A695,'Video Database'!L:L,'Video Database'!D:D,"")</f>
        <v>Blakely</v>
      </c>
      <c r="C695" s="98" t="str">
        <f t="array" ref="C695">_xlfn.XLOOKUP(A695,'Video Database'!L:L,'Video Database'!E:E,"")</f>
        <v>Account 1</v>
      </c>
      <c r="D695" s="99" t="str">
        <f t="array" ref="D695">_xlfn.XLOOKUP(A695,'Video Database'!L:L,'Video Database'!G:G,"")</f>
        <v>Swanson Full Spectrum Spearmint Leaf</v>
      </c>
      <c r="E695" s="100">
        <f t="array" ref="E695">_xlfn.XLOOKUP(A695,'Video Database'!L:L,'Video Database'!H:H,"")</f>
        <v>0.11</v>
      </c>
      <c r="F695" s="101">
        <v>0.0</v>
      </c>
      <c r="G695" s="87">
        <v>0.0</v>
      </c>
      <c r="H695" s="114">
        <f t="array" ref="H695">_xlfn.XLOOKUP(A695,'Video Database'!L:L,'Video Database'!A:A,"")</f>
        <v>46195</v>
      </c>
      <c r="I695" s="103">
        <v>46201.0</v>
      </c>
      <c r="J695" s="104">
        <v>0.0</v>
      </c>
      <c r="K695" s="105"/>
      <c r="L695" s="105" t="str">
        <f t="shared" si="1"/>
        <v/>
      </c>
      <c r="O695" s="106" t="str">
        <f t="shared" si="2"/>
        <v>#N/A</v>
      </c>
      <c r="P695" s="106" t="str">
        <f t="shared" si="3"/>
        <v>#N/A</v>
      </c>
      <c r="Q695" s="84" t="str">
        <f t="shared" si="4"/>
        <v>#N/A</v>
      </c>
      <c r="R695" s="84" t="str">
        <f t="shared" si="5"/>
        <v>#N/A</v>
      </c>
      <c r="S695" s="107">
        <f t="shared" si="6"/>
        <v>-0.11</v>
      </c>
      <c r="T695" s="108">
        <f t="shared" si="7"/>
        <v>-1</v>
      </c>
      <c r="U695" s="106" t="str">
        <f t="shared" si="8"/>
        <v>#N/A</v>
      </c>
      <c r="V695" s="84" t="str">
        <f t="shared" si="9"/>
        <v/>
      </c>
      <c r="W695" s="109" t="str">
        <f t="shared" si="10"/>
        <v/>
      </c>
      <c r="X695" s="109" t="str">
        <f t="shared" si="11"/>
        <v/>
      </c>
      <c r="Y695" s="110" t="str">
        <f t="array" ref="Y695">_xlfn.XLOOKUP(A695,'Video Database'!L:L,'Video Database'!M:M,"")</f>
        <v>Product Overlay</v>
      </c>
    </row>
    <row r="696" ht="22.5" customHeight="1">
      <c r="A696" s="113">
        <f t="shared" si="12"/>
        <v>695</v>
      </c>
      <c r="B696" s="98" t="str">
        <f t="array" ref="B696">_xlfn.XLOOKUP(A696,'Video Database'!L:L,'Video Database'!D:D,"")</f>
        <v>Brittney</v>
      </c>
      <c r="C696" s="98" t="str">
        <f t="array" ref="C696">_xlfn.XLOOKUP(A696,'Video Database'!L:L,'Video Database'!E:E,"")</f>
        <v>Account 1</v>
      </c>
      <c r="D696" s="99" t="str">
        <f t="array" ref="D696">_xlfn.XLOOKUP(A696,'Video Database'!L:L,'Video Database'!G:G,"")</f>
        <v>Gruns Greens Popsicle Firecracker Gummies</v>
      </c>
      <c r="E696" s="100">
        <f t="array" ref="E696">_xlfn.XLOOKUP(A696,'Video Database'!L:L,'Video Database'!H:H,"")</f>
        <v>0.11</v>
      </c>
      <c r="F696" s="101">
        <v>34.98</v>
      </c>
      <c r="G696" s="87">
        <v>1.0</v>
      </c>
      <c r="H696" s="114">
        <f t="array" ref="H696">_xlfn.XLOOKUP(A696,'Video Database'!L:L,'Video Database'!A:A,"")</f>
        <v>46195</v>
      </c>
      <c r="I696" s="103">
        <v>46201.0</v>
      </c>
      <c r="J696" s="135">
        <f>0.05*F696</f>
        <v>1.749</v>
      </c>
      <c r="K696" s="87">
        <v>4.0</v>
      </c>
      <c r="L696" s="105">
        <f t="shared" si="1"/>
        <v>609</v>
      </c>
      <c r="M696" s="87">
        <v>609.0</v>
      </c>
      <c r="O696" s="106">
        <f t="shared" si="2"/>
        <v>0.006568144499</v>
      </c>
      <c r="P696" s="106">
        <f t="shared" si="3"/>
        <v>0.25</v>
      </c>
      <c r="Q696" s="84">
        <f t="shared" si="4"/>
        <v>1.749</v>
      </c>
      <c r="R696" s="84">
        <f t="shared" si="5"/>
        <v>34.98</v>
      </c>
      <c r="S696" s="107">
        <f t="shared" si="6"/>
        <v>1.639</v>
      </c>
      <c r="T696" s="108">
        <f t="shared" si="7"/>
        <v>14.9</v>
      </c>
      <c r="U696" s="106">
        <f t="shared" si="8"/>
        <v>0.9371069182</v>
      </c>
      <c r="V696" s="129">
        <f t="shared" si="9"/>
        <v>0.11</v>
      </c>
      <c r="W696" s="109">
        <f t="shared" si="10"/>
        <v>0.0275</v>
      </c>
      <c r="X696" s="109">
        <f t="shared" si="11"/>
        <v>0.3144654088</v>
      </c>
      <c r="Y696" s="110" t="str">
        <f t="array" ref="Y696">_xlfn.XLOOKUP(A696,'Video Database'!L:L,'Video Database'!M:M,"")</f>
        <v>Product Overlay</v>
      </c>
    </row>
    <row r="697" ht="22.5" customHeight="1">
      <c r="A697" s="113">
        <f t="shared" si="12"/>
        <v>696</v>
      </c>
      <c r="B697" s="98" t="str">
        <f t="array" ref="B697">_xlfn.XLOOKUP(A697,'Video Database'!L:L,'Video Database'!D:D,"")</f>
        <v>Brittney</v>
      </c>
      <c r="C697" s="98" t="str">
        <f t="array" ref="C697">_xlfn.XLOOKUP(A697,'Video Database'!L:L,'Video Database'!E:E,"")</f>
        <v>Account 2</v>
      </c>
      <c r="D697" s="99" t="str">
        <f t="array" ref="D697">_xlfn.XLOOKUP(A697,'Video Database'!L:L,'Video Database'!G:G,"")</f>
        <v>Gruns Greens Popsicle Firecracker Gummies</v>
      </c>
      <c r="E697" s="100">
        <f t="array" ref="E697">_xlfn.XLOOKUP(A697,'Video Database'!L:L,'Video Database'!H:H,"")</f>
        <v>0.11</v>
      </c>
      <c r="F697" s="101">
        <v>0.0</v>
      </c>
      <c r="G697" s="87">
        <v>0.0</v>
      </c>
      <c r="H697" s="114">
        <f t="array" ref="H697">_xlfn.XLOOKUP(A697,'Video Database'!L:L,'Video Database'!A:A,"")</f>
        <v>46195</v>
      </c>
      <c r="I697" s="103">
        <v>46201.0</v>
      </c>
      <c r="J697" s="104">
        <v>0.0</v>
      </c>
      <c r="K697" s="105"/>
      <c r="L697" s="105" t="str">
        <f t="shared" si="1"/>
        <v/>
      </c>
      <c r="O697" s="106" t="str">
        <f t="shared" si="2"/>
        <v>#N/A</v>
      </c>
      <c r="P697" s="106" t="str">
        <f t="shared" si="3"/>
        <v>#N/A</v>
      </c>
      <c r="Q697" s="84" t="str">
        <f t="shared" si="4"/>
        <v>#N/A</v>
      </c>
      <c r="R697" s="84" t="str">
        <f t="shared" si="5"/>
        <v>#N/A</v>
      </c>
      <c r="S697" s="107">
        <f t="shared" si="6"/>
        <v>-0.11</v>
      </c>
      <c r="T697" s="108">
        <f t="shared" si="7"/>
        <v>-1</v>
      </c>
      <c r="U697" s="106" t="str">
        <f t="shared" si="8"/>
        <v>#N/A</v>
      </c>
      <c r="V697" s="84" t="str">
        <f t="shared" si="9"/>
        <v/>
      </c>
      <c r="W697" s="109" t="str">
        <f t="shared" si="10"/>
        <v/>
      </c>
      <c r="X697" s="109" t="str">
        <f t="shared" si="11"/>
        <v/>
      </c>
      <c r="Y697" s="110" t="str">
        <f t="array" ref="Y697">_xlfn.XLOOKUP(A697,'Video Database'!L:L,'Video Database'!M:M,"")</f>
        <v>Bottom of Funnel</v>
      </c>
    </row>
    <row r="698" ht="22.5" customHeight="1">
      <c r="A698" s="113">
        <f t="shared" si="12"/>
        <v>697</v>
      </c>
      <c r="B698" s="98" t="str">
        <f t="array" ref="B698">_xlfn.XLOOKUP(A698,'Video Database'!L:L,'Video Database'!D:D,"")</f>
        <v>Brittney</v>
      </c>
      <c r="C698" s="98" t="str">
        <f t="array" ref="C698">_xlfn.XLOOKUP(A698,'Video Database'!L:L,'Video Database'!E:E,"")</f>
        <v>Account 2</v>
      </c>
      <c r="D698" s="99" t="str">
        <f t="array" ref="D698">_xlfn.XLOOKUP(A698,'Video Database'!L:L,'Video Database'!G:G,"")</f>
        <v>Gruns Greens Popsicle Firecracker Gummies</v>
      </c>
      <c r="E698" s="100">
        <f t="array" ref="E698">_xlfn.XLOOKUP(A698,'Video Database'!L:L,'Video Database'!H:H,"")</f>
        <v>0.11</v>
      </c>
      <c r="F698" s="101">
        <v>0.0</v>
      </c>
      <c r="G698" s="87">
        <v>0.0</v>
      </c>
      <c r="H698" s="114">
        <f t="array" ref="H698">_xlfn.XLOOKUP(A698,'Video Database'!L:L,'Video Database'!A:A,"")</f>
        <v>46195</v>
      </c>
      <c r="I698" s="103">
        <v>46201.0</v>
      </c>
      <c r="J698" s="104">
        <v>0.0</v>
      </c>
      <c r="K698" s="105"/>
      <c r="L698" s="105" t="str">
        <f t="shared" si="1"/>
        <v/>
      </c>
      <c r="O698" s="106" t="str">
        <f t="shared" si="2"/>
        <v>#N/A</v>
      </c>
      <c r="P698" s="106" t="str">
        <f t="shared" si="3"/>
        <v>#N/A</v>
      </c>
      <c r="Q698" s="84" t="str">
        <f t="shared" si="4"/>
        <v>#N/A</v>
      </c>
      <c r="R698" s="84" t="str">
        <f t="shared" si="5"/>
        <v>#N/A</v>
      </c>
      <c r="S698" s="107">
        <f t="shared" si="6"/>
        <v>-0.11</v>
      </c>
      <c r="T698" s="108">
        <f t="shared" si="7"/>
        <v>-1</v>
      </c>
      <c r="U698" s="106" t="str">
        <f t="shared" si="8"/>
        <v>#N/A</v>
      </c>
      <c r="V698" s="84" t="str">
        <f t="shared" si="9"/>
        <v/>
      </c>
      <c r="W698" s="109" t="str">
        <f t="shared" si="10"/>
        <v/>
      </c>
      <c r="X698" s="109" t="str">
        <f t="shared" si="11"/>
        <v/>
      </c>
      <c r="Y698" s="110" t="str">
        <f t="array" ref="Y698">_xlfn.XLOOKUP(A698,'Video Database'!L:L,'Video Database'!M:M,"")</f>
        <v>Bottom of Funnel</v>
      </c>
    </row>
    <row r="699" ht="22.5" customHeight="1">
      <c r="A699" s="113">
        <f t="shared" si="12"/>
        <v>698</v>
      </c>
      <c r="B699" s="98" t="str">
        <f t="array" ref="B699">_xlfn.XLOOKUP(A699,'Video Database'!L:L,'Video Database'!D:D,"")</f>
        <v>Brittney</v>
      </c>
      <c r="C699" s="98" t="str">
        <f t="array" ref="C699">_xlfn.XLOOKUP(A699,'Video Database'!L:L,'Video Database'!E:E,"")</f>
        <v>Account 2</v>
      </c>
      <c r="D699" s="99" t="str">
        <f t="array" ref="D699">_xlfn.XLOOKUP(A699,'Video Database'!L:L,'Video Database'!G:G,"")</f>
        <v>Gruns Greens Popsicle Firecracker Gummies</v>
      </c>
      <c r="E699" s="100">
        <f t="array" ref="E699">_xlfn.XLOOKUP(A699,'Video Database'!L:L,'Video Database'!H:H,"")</f>
        <v>0.11</v>
      </c>
      <c r="F699" s="101">
        <v>0.0</v>
      </c>
      <c r="G699" s="87">
        <v>0.0</v>
      </c>
      <c r="H699" s="114">
        <f t="array" ref="H699">_xlfn.XLOOKUP(A699,'Video Database'!L:L,'Video Database'!A:A,"")</f>
        <v>46195</v>
      </c>
      <c r="I699" s="103">
        <v>46201.0</v>
      </c>
      <c r="J699" s="104">
        <v>0.0</v>
      </c>
      <c r="K699" s="105"/>
      <c r="L699" s="105" t="str">
        <f t="shared" si="1"/>
        <v/>
      </c>
      <c r="O699" s="106" t="str">
        <f t="shared" si="2"/>
        <v>#N/A</v>
      </c>
      <c r="P699" s="106" t="str">
        <f t="shared" si="3"/>
        <v>#N/A</v>
      </c>
      <c r="Q699" s="84" t="str">
        <f t="shared" si="4"/>
        <v>#N/A</v>
      </c>
      <c r="R699" s="84" t="str">
        <f t="shared" si="5"/>
        <v>#N/A</v>
      </c>
      <c r="S699" s="107">
        <f t="shared" si="6"/>
        <v>-0.11</v>
      </c>
      <c r="T699" s="108">
        <f t="shared" si="7"/>
        <v>-1</v>
      </c>
      <c r="U699" s="106" t="str">
        <f t="shared" si="8"/>
        <v>#N/A</v>
      </c>
      <c r="V699" s="84" t="str">
        <f t="shared" si="9"/>
        <v/>
      </c>
      <c r="W699" s="109" t="str">
        <f t="shared" si="10"/>
        <v/>
      </c>
      <c r="X699" s="109" t="str">
        <f t="shared" si="11"/>
        <v/>
      </c>
      <c r="Y699" s="110" t="str">
        <f t="array" ref="Y699">_xlfn.XLOOKUP(A699,'Video Database'!L:L,'Video Database'!M:M,"")</f>
        <v>Bottom of Funnel</v>
      </c>
    </row>
    <row r="700" ht="22.5" customHeight="1">
      <c r="A700" s="113">
        <f t="shared" si="12"/>
        <v>699</v>
      </c>
      <c r="B700" s="98" t="str">
        <f t="array" ref="B700">_xlfn.XLOOKUP(A700,'Video Database'!L:L,'Video Database'!D:D,"")</f>
        <v>Brittney</v>
      </c>
      <c r="C700" s="98" t="str">
        <f t="array" ref="C700">_xlfn.XLOOKUP(A700,'Video Database'!L:L,'Video Database'!E:E,"")</f>
        <v>Account 2</v>
      </c>
      <c r="D700" s="99" t="str">
        <f t="array" ref="D700">_xlfn.XLOOKUP(A700,'Video Database'!L:L,'Video Database'!G:G,"")</f>
        <v>Gruns Greens Popsicle Firecracker Gummies</v>
      </c>
      <c r="E700" s="100">
        <f t="array" ref="E700">_xlfn.XLOOKUP(A700,'Video Database'!L:L,'Video Database'!H:H,"")</f>
        <v>0.11</v>
      </c>
      <c r="F700" s="101">
        <v>0.0</v>
      </c>
      <c r="G700" s="87">
        <v>0.0</v>
      </c>
      <c r="H700" s="114">
        <f t="array" ref="H700">_xlfn.XLOOKUP(A700,'Video Database'!L:L,'Video Database'!A:A,"")</f>
        <v>46195</v>
      </c>
      <c r="I700" s="103">
        <v>46201.0</v>
      </c>
      <c r="J700" s="104">
        <v>0.0</v>
      </c>
      <c r="K700" s="105"/>
      <c r="L700" s="105" t="str">
        <f t="shared" si="1"/>
        <v/>
      </c>
      <c r="O700" s="106" t="str">
        <f t="shared" si="2"/>
        <v>#N/A</v>
      </c>
      <c r="P700" s="106" t="str">
        <f t="shared" si="3"/>
        <v>#N/A</v>
      </c>
      <c r="Q700" s="84" t="str">
        <f t="shared" si="4"/>
        <v>#N/A</v>
      </c>
      <c r="R700" s="84" t="str">
        <f t="shared" si="5"/>
        <v>#N/A</v>
      </c>
      <c r="S700" s="107">
        <f t="shared" si="6"/>
        <v>-0.11</v>
      </c>
      <c r="T700" s="108">
        <f t="shared" si="7"/>
        <v>-1</v>
      </c>
      <c r="U700" s="106" t="str">
        <f t="shared" si="8"/>
        <v>#N/A</v>
      </c>
      <c r="V700" s="84" t="str">
        <f t="shared" si="9"/>
        <v/>
      </c>
      <c r="W700" s="109" t="str">
        <f t="shared" si="10"/>
        <v/>
      </c>
      <c r="X700" s="109" t="str">
        <f t="shared" si="11"/>
        <v/>
      </c>
      <c r="Y700" s="110" t="str">
        <f t="array" ref="Y700">_xlfn.XLOOKUP(A700,'Video Database'!L:L,'Video Database'!M:M,"")</f>
        <v>Bottom of Funnel</v>
      </c>
    </row>
    <row r="701" ht="22.5" customHeight="1">
      <c r="A701" s="113">
        <f t="shared" si="12"/>
        <v>700</v>
      </c>
      <c r="B701" s="98" t="str">
        <f t="array" ref="B701">_xlfn.XLOOKUP(A701,'Video Database'!L:L,'Video Database'!D:D,"")</f>
        <v>Brittney</v>
      </c>
      <c r="C701" s="98" t="str">
        <f t="array" ref="C701">_xlfn.XLOOKUP(A701,'Video Database'!L:L,'Video Database'!E:E,"")</f>
        <v>Account 2</v>
      </c>
      <c r="D701" s="99" t="str">
        <f t="array" ref="D701">_xlfn.XLOOKUP(A701,'Video Database'!L:L,'Video Database'!G:G,"")</f>
        <v>Gruns Greens Popsicle Firecracker Gummies</v>
      </c>
      <c r="E701" s="100">
        <f t="array" ref="E701">_xlfn.XLOOKUP(A701,'Video Database'!L:L,'Video Database'!H:H,"")</f>
        <v>0.11</v>
      </c>
      <c r="F701" s="101">
        <v>0.0</v>
      </c>
      <c r="G701" s="87">
        <v>0.0</v>
      </c>
      <c r="H701" s="114">
        <f t="array" ref="H701">_xlfn.XLOOKUP(A701,'Video Database'!L:L,'Video Database'!A:A,"")</f>
        <v>46195</v>
      </c>
      <c r="I701" s="103">
        <v>46201.0</v>
      </c>
      <c r="J701" s="104">
        <v>0.0</v>
      </c>
      <c r="K701" s="105"/>
      <c r="L701" s="105" t="str">
        <f t="shared" si="1"/>
        <v/>
      </c>
      <c r="O701" s="106" t="str">
        <f t="shared" si="2"/>
        <v>#N/A</v>
      </c>
      <c r="P701" s="106" t="str">
        <f t="shared" si="3"/>
        <v>#N/A</v>
      </c>
      <c r="Q701" s="84" t="str">
        <f t="shared" si="4"/>
        <v>#N/A</v>
      </c>
      <c r="R701" s="84" t="str">
        <f t="shared" si="5"/>
        <v>#N/A</v>
      </c>
      <c r="S701" s="107">
        <f t="shared" si="6"/>
        <v>-0.11</v>
      </c>
      <c r="T701" s="108">
        <f t="shared" si="7"/>
        <v>-1</v>
      </c>
      <c r="U701" s="106" t="str">
        <f t="shared" si="8"/>
        <v>#N/A</v>
      </c>
      <c r="V701" s="84" t="str">
        <f t="shared" si="9"/>
        <v/>
      </c>
      <c r="W701" s="109" t="str">
        <f t="shared" si="10"/>
        <v/>
      </c>
      <c r="X701" s="109" t="str">
        <f t="shared" si="11"/>
        <v/>
      </c>
      <c r="Y701" s="110" t="str">
        <f t="array" ref="Y701">_xlfn.XLOOKUP(A701,'Video Database'!L:L,'Video Database'!M:M,"")</f>
        <v>Bottom of Funnel</v>
      </c>
    </row>
    <row r="702" ht="22.5" customHeight="1">
      <c r="A702" s="113">
        <f t="shared" si="12"/>
        <v>701</v>
      </c>
      <c r="B702" s="98" t="str">
        <f t="array" ref="B702">_xlfn.XLOOKUP(A702,'Video Database'!L:L,'Video Database'!D:D,"")</f>
        <v>Blakely</v>
      </c>
      <c r="C702" s="98" t="str">
        <f t="array" ref="C702">_xlfn.XLOOKUP(A702,'Video Database'!L:L,'Video Database'!E:E,"")</f>
        <v>Account 2</v>
      </c>
      <c r="D702" s="99" t="str">
        <f t="array" ref="D702">_xlfn.XLOOKUP(A702,'Video Database'!L:L,'Video Database'!G:G,"")</f>
        <v>Fillo's Walking Tamales Variety Pack</v>
      </c>
      <c r="E702" s="100">
        <f t="array" ref="E702">_xlfn.XLOOKUP(A702,'Video Database'!L:L,'Video Database'!H:H,"")</f>
        <v>0.11</v>
      </c>
      <c r="F702" s="101">
        <v>0.0</v>
      </c>
      <c r="G702" s="87">
        <v>0.0</v>
      </c>
      <c r="H702" s="114">
        <f t="array" ref="H702">_xlfn.XLOOKUP(A702,'Video Database'!L:L,'Video Database'!A:A,"")</f>
        <v>46195</v>
      </c>
      <c r="I702" s="103">
        <v>46201.0</v>
      </c>
      <c r="J702" s="104">
        <v>0.0</v>
      </c>
      <c r="K702" s="105"/>
      <c r="L702" s="105" t="str">
        <f t="shared" si="1"/>
        <v/>
      </c>
      <c r="O702" s="106" t="str">
        <f t="shared" si="2"/>
        <v>#N/A</v>
      </c>
      <c r="P702" s="106" t="str">
        <f t="shared" si="3"/>
        <v>#N/A</v>
      </c>
      <c r="Q702" s="84" t="str">
        <f t="shared" si="4"/>
        <v>#N/A</v>
      </c>
      <c r="R702" s="84" t="str">
        <f t="shared" si="5"/>
        <v>#N/A</v>
      </c>
      <c r="S702" s="107">
        <f t="shared" si="6"/>
        <v>-0.11</v>
      </c>
      <c r="T702" s="108">
        <f t="shared" si="7"/>
        <v>-1</v>
      </c>
      <c r="U702" s="106" t="str">
        <f t="shared" si="8"/>
        <v>#N/A</v>
      </c>
      <c r="V702" s="84" t="str">
        <f t="shared" si="9"/>
        <v/>
      </c>
      <c r="W702" s="109" t="str">
        <f t="shared" si="10"/>
        <v/>
      </c>
      <c r="X702" s="109" t="str">
        <f t="shared" si="11"/>
        <v/>
      </c>
      <c r="Y702" s="110" t="str">
        <f t="array" ref="Y702">_xlfn.XLOOKUP(A702,'Video Database'!L:L,'Video Database'!M:M,"")</f>
        <v>Product Overlay</v>
      </c>
    </row>
    <row r="703" ht="22.5" customHeight="1">
      <c r="A703" s="113">
        <f t="shared" si="12"/>
        <v>702</v>
      </c>
      <c r="B703" s="98" t="str">
        <f t="array" ref="B703">_xlfn.XLOOKUP(A703,'Video Database'!L:L,'Video Database'!D:D,"")</f>
        <v>Blakely</v>
      </c>
      <c r="C703" s="98" t="str">
        <f t="array" ref="C703">_xlfn.XLOOKUP(A703,'Video Database'!L:L,'Video Database'!E:E,"")</f>
        <v>Account 2</v>
      </c>
      <c r="D703" s="99" t="str">
        <f t="array" ref="D703">_xlfn.XLOOKUP(A703,'Video Database'!L:L,'Video Database'!G:G,"")</f>
        <v>BrainMD Peak Energy</v>
      </c>
      <c r="E703" s="100">
        <f t="array" ref="E703">_xlfn.XLOOKUP(A703,'Video Database'!L:L,'Video Database'!H:H,"")</f>
        <v>0.11</v>
      </c>
      <c r="F703" s="101">
        <v>0.0</v>
      </c>
      <c r="G703" s="87">
        <v>0.0</v>
      </c>
      <c r="H703" s="114">
        <f t="array" ref="H703">_xlfn.XLOOKUP(A703,'Video Database'!L:L,'Video Database'!A:A,"")</f>
        <v>46195</v>
      </c>
      <c r="I703" s="103">
        <v>46201.0</v>
      </c>
      <c r="J703" s="104">
        <v>0.0</v>
      </c>
      <c r="K703" s="105"/>
      <c r="L703" s="105" t="str">
        <f t="shared" si="1"/>
        <v/>
      </c>
      <c r="O703" s="106" t="str">
        <f t="shared" si="2"/>
        <v>#N/A</v>
      </c>
      <c r="P703" s="106" t="str">
        <f t="shared" si="3"/>
        <v>#N/A</v>
      </c>
      <c r="Q703" s="84" t="str">
        <f t="shared" si="4"/>
        <v>#N/A</v>
      </c>
      <c r="R703" s="84" t="str">
        <f t="shared" si="5"/>
        <v>#N/A</v>
      </c>
      <c r="S703" s="107">
        <f t="shared" si="6"/>
        <v>-0.11</v>
      </c>
      <c r="T703" s="108">
        <f t="shared" si="7"/>
        <v>-1</v>
      </c>
      <c r="U703" s="106" t="str">
        <f t="shared" si="8"/>
        <v>#N/A</v>
      </c>
      <c r="V703" s="84" t="str">
        <f t="shared" si="9"/>
        <v/>
      </c>
      <c r="W703" s="109" t="str">
        <f t="shared" si="10"/>
        <v/>
      </c>
      <c r="X703" s="109" t="str">
        <f t="shared" si="11"/>
        <v/>
      </c>
      <c r="Y703" s="110" t="str">
        <f t="array" ref="Y703">_xlfn.XLOOKUP(A703,'Video Database'!L:L,'Video Database'!M:M,"")</f>
        <v>Product Overlay</v>
      </c>
    </row>
    <row r="704" ht="22.5" customHeight="1">
      <c r="A704" s="113">
        <f t="shared" si="12"/>
        <v>703</v>
      </c>
      <c r="B704" s="98" t="str">
        <f t="array" ref="B704">_xlfn.XLOOKUP(A704,'Video Database'!L:L,'Video Database'!D:D,"")</f>
        <v>Blakely</v>
      </c>
      <c r="C704" s="98" t="str">
        <f t="array" ref="C704">_xlfn.XLOOKUP(A704,'Video Database'!L:L,'Video Database'!E:E,"")</f>
        <v>Account 2</v>
      </c>
      <c r="D704" s="99" t="str">
        <f t="array" ref="D704">_xlfn.XLOOKUP(A704,'Video Database'!L:L,'Video Database'!G:G,"")</f>
        <v>Swanson Full Spectrum Spearmint Leaf</v>
      </c>
      <c r="E704" s="100">
        <f t="array" ref="E704">_xlfn.XLOOKUP(A704,'Video Database'!L:L,'Video Database'!H:H,"")</f>
        <v>0.11</v>
      </c>
      <c r="F704" s="101">
        <v>0.0</v>
      </c>
      <c r="G704" s="87">
        <v>0.0</v>
      </c>
      <c r="H704" s="114">
        <f t="array" ref="H704">_xlfn.XLOOKUP(A704,'Video Database'!L:L,'Video Database'!A:A,"")</f>
        <v>46195</v>
      </c>
      <c r="I704" s="103">
        <v>46201.0</v>
      </c>
      <c r="J704" s="104">
        <v>0.0</v>
      </c>
      <c r="K704" s="105"/>
      <c r="L704" s="105" t="str">
        <f t="shared" si="1"/>
        <v/>
      </c>
      <c r="O704" s="106" t="str">
        <f t="shared" si="2"/>
        <v>#N/A</v>
      </c>
      <c r="P704" s="106" t="str">
        <f t="shared" si="3"/>
        <v>#N/A</v>
      </c>
      <c r="Q704" s="84" t="str">
        <f t="shared" si="4"/>
        <v>#N/A</v>
      </c>
      <c r="R704" s="84" t="str">
        <f t="shared" si="5"/>
        <v>#N/A</v>
      </c>
      <c r="S704" s="107">
        <f t="shared" si="6"/>
        <v>-0.11</v>
      </c>
      <c r="T704" s="108">
        <f t="shared" si="7"/>
        <v>-1</v>
      </c>
      <c r="U704" s="106" t="str">
        <f t="shared" si="8"/>
        <v>#N/A</v>
      </c>
      <c r="V704" s="84" t="str">
        <f t="shared" si="9"/>
        <v/>
      </c>
      <c r="W704" s="109" t="str">
        <f t="shared" si="10"/>
        <v/>
      </c>
      <c r="X704" s="109" t="str">
        <f t="shared" si="11"/>
        <v/>
      </c>
      <c r="Y704" s="110" t="str">
        <f t="array" ref="Y704">_xlfn.XLOOKUP(A704,'Video Database'!L:L,'Video Database'!M:M,"")</f>
        <v>Product Overlay</v>
      </c>
    </row>
    <row r="705" ht="22.5" customHeight="1">
      <c r="A705" s="113">
        <f t="shared" si="12"/>
        <v>704</v>
      </c>
      <c r="B705" s="98" t="str">
        <f t="array" ref="B705">_xlfn.XLOOKUP(A705,'Video Database'!L:L,'Video Database'!D:D,"")</f>
        <v>Blakely</v>
      </c>
      <c r="C705" s="98" t="str">
        <f t="array" ref="C705">_xlfn.XLOOKUP(A705,'Video Database'!L:L,'Video Database'!E:E,"")</f>
        <v>Account 2</v>
      </c>
      <c r="D705" s="99" t="str">
        <f t="array" ref="D705">_xlfn.XLOOKUP(A705,'Video Database'!L:L,'Video Database'!G:G,"")</f>
        <v>tarte smoldereyes shadow liner duo</v>
      </c>
      <c r="E705" s="100">
        <f t="array" ref="E705">_xlfn.XLOOKUP(A705,'Video Database'!L:L,'Video Database'!H:H,"")</f>
        <v>0.11</v>
      </c>
      <c r="F705" s="101">
        <v>0.0</v>
      </c>
      <c r="G705" s="87">
        <v>0.0</v>
      </c>
      <c r="H705" s="114">
        <f t="array" ref="H705">_xlfn.XLOOKUP(A705,'Video Database'!L:L,'Video Database'!A:A,"")</f>
        <v>46195</v>
      </c>
      <c r="I705" s="103">
        <v>46201.0</v>
      </c>
      <c r="J705" s="104">
        <v>0.0</v>
      </c>
      <c r="K705" s="105"/>
      <c r="L705" s="105" t="str">
        <f t="shared" si="1"/>
        <v/>
      </c>
      <c r="O705" s="106" t="str">
        <f t="shared" si="2"/>
        <v>#N/A</v>
      </c>
      <c r="P705" s="106" t="str">
        <f t="shared" si="3"/>
        <v>#N/A</v>
      </c>
      <c r="Q705" s="84" t="str">
        <f t="shared" si="4"/>
        <v>#N/A</v>
      </c>
      <c r="R705" s="84" t="str">
        <f t="shared" si="5"/>
        <v>#N/A</v>
      </c>
      <c r="S705" s="107">
        <f t="shared" si="6"/>
        <v>-0.11</v>
      </c>
      <c r="T705" s="108">
        <f t="shared" si="7"/>
        <v>-1</v>
      </c>
      <c r="U705" s="106" t="str">
        <f t="shared" si="8"/>
        <v>#N/A</v>
      </c>
      <c r="V705" s="84" t="str">
        <f t="shared" si="9"/>
        <v/>
      </c>
      <c r="W705" s="109" t="str">
        <f t="shared" si="10"/>
        <v/>
      </c>
      <c r="X705" s="109" t="str">
        <f t="shared" si="11"/>
        <v/>
      </c>
      <c r="Y705" s="110" t="str">
        <f t="array" ref="Y705">_xlfn.XLOOKUP(A705,'Video Database'!L:L,'Video Database'!M:M,"")</f>
        <v>Product Overlay</v>
      </c>
    </row>
    <row r="706" ht="22.5" customHeight="1">
      <c r="A706" s="113">
        <f t="shared" si="12"/>
        <v>705</v>
      </c>
      <c r="B706" s="98" t="str">
        <f t="array" ref="B706">_xlfn.XLOOKUP(A706,'Video Database'!L:L,'Video Database'!D:D,"")</f>
        <v>Blakely</v>
      </c>
      <c r="C706" s="98" t="str">
        <f t="array" ref="C706">_xlfn.XLOOKUP(A706,'Video Database'!L:L,'Video Database'!E:E,"")</f>
        <v>Account 2</v>
      </c>
      <c r="D706" s="99" t="str">
        <f t="array" ref="D706">_xlfn.XLOOKUP(A706,'Video Database'!L:L,'Video Database'!G:G,"")</f>
        <v>tarte dab &amp; gab hair concealer</v>
      </c>
      <c r="E706" s="100">
        <f t="array" ref="E706">_xlfn.XLOOKUP(A706,'Video Database'!L:L,'Video Database'!H:H,"")</f>
        <v>0.11</v>
      </c>
      <c r="F706" s="101">
        <v>0.0</v>
      </c>
      <c r="G706" s="87">
        <v>0.0</v>
      </c>
      <c r="H706" s="114">
        <f t="array" ref="H706">_xlfn.XLOOKUP(A706,'Video Database'!L:L,'Video Database'!A:A,"")</f>
        <v>46195</v>
      </c>
      <c r="I706" s="103">
        <v>46201.0</v>
      </c>
      <c r="J706" s="104">
        <v>0.0</v>
      </c>
      <c r="K706" s="105"/>
      <c r="L706" s="105" t="str">
        <f t="shared" si="1"/>
        <v/>
      </c>
      <c r="O706" s="106" t="str">
        <f t="shared" si="2"/>
        <v>#N/A</v>
      </c>
      <c r="P706" s="106" t="str">
        <f t="shared" si="3"/>
        <v>#N/A</v>
      </c>
      <c r="Q706" s="84" t="str">
        <f t="shared" si="4"/>
        <v>#N/A</v>
      </c>
      <c r="R706" s="84" t="str">
        <f t="shared" si="5"/>
        <v>#N/A</v>
      </c>
      <c r="S706" s="107">
        <f t="shared" si="6"/>
        <v>-0.11</v>
      </c>
      <c r="T706" s="108">
        <f t="shared" si="7"/>
        <v>-1</v>
      </c>
      <c r="U706" s="106" t="str">
        <f t="shared" si="8"/>
        <v>#N/A</v>
      </c>
      <c r="V706" s="84" t="str">
        <f t="shared" si="9"/>
        <v/>
      </c>
      <c r="W706" s="109" t="str">
        <f t="shared" si="10"/>
        <v/>
      </c>
      <c r="X706" s="109" t="str">
        <f t="shared" si="11"/>
        <v/>
      </c>
      <c r="Y706" s="110" t="str">
        <f t="array" ref="Y706">_xlfn.XLOOKUP(A706,'Video Database'!L:L,'Video Database'!M:M,"")</f>
        <v>Product Overlay</v>
      </c>
    </row>
    <row r="707" ht="22.5" customHeight="1">
      <c r="A707" s="113">
        <f t="shared" si="12"/>
        <v>706</v>
      </c>
      <c r="B707" s="98" t="str">
        <f t="array" ref="B707">_xlfn.XLOOKUP(A707,'Video Database'!L:L,'Video Database'!D:D,"")</f>
        <v>Blakely</v>
      </c>
      <c r="C707" s="98" t="str">
        <f t="array" ref="C707">_xlfn.XLOOKUP(A707,'Video Database'!L:L,'Video Database'!E:E,"")</f>
        <v>Account 2</v>
      </c>
      <c r="D707" s="99" t="str">
        <f t="array" ref="D707">_xlfn.XLOOKUP(A707,'Video Database'!L:L,'Video Database'!G:G,"")</f>
        <v>tarte dab &amp; gab hair concealer</v>
      </c>
      <c r="E707" s="100">
        <f t="array" ref="E707">_xlfn.XLOOKUP(A707,'Video Database'!L:L,'Video Database'!H:H,"")</f>
        <v>0.11</v>
      </c>
      <c r="F707" s="101">
        <v>20.97</v>
      </c>
      <c r="G707" s="87">
        <v>1.0</v>
      </c>
      <c r="H707" s="114">
        <f t="array" ref="H707">_xlfn.XLOOKUP(A707,'Video Database'!L:L,'Video Database'!A:A,"")</f>
        <v>46195</v>
      </c>
      <c r="I707" s="103">
        <v>46201.0</v>
      </c>
      <c r="J707" s="104">
        <v>3.6</v>
      </c>
      <c r="K707" s="87">
        <v>1.0</v>
      </c>
      <c r="L707" s="105">
        <f t="shared" si="1"/>
        <v>81</v>
      </c>
      <c r="M707" s="87">
        <v>81.0</v>
      </c>
      <c r="O707" s="106">
        <f t="shared" si="2"/>
        <v>0.01234567901</v>
      </c>
      <c r="P707" s="106">
        <f t="shared" si="3"/>
        <v>1</v>
      </c>
      <c r="Q707" s="84">
        <f t="shared" si="4"/>
        <v>3.6</v>
      </c>
      <c r="R707" s="84">
        <f t="shared" si="5"/>
        <v>20.97</v>
      </c>
      <c r="S707" s="107">
        <f t="shared" si="6"/>
        <v>3.49</v>
      </c>
      <c r="T707" s="108">
        <f t="shared" si="7"/>
        <v>31.72727273</v>
      </c>
      <c r="U707" s="106">
        <f t="shared" si="8"/>
        <v>0.9694444444</v>
      </c>
      <c r="V707" s="129">
        <f t="shared" si="9"/>
        <v>0.11</v>
      </c>
      <c r="W707" s="109">
        <f t="shared" si="10"/>
        <v>0.11</v>
      </c>
      <c r="X707" s="109">
        <f t="shared" si="11"/>
        <v>0.5245588937</v>
      </c>
      <c r="Y707" s="110" t="str">
        <f t="array" ref="Y707">_xlfn.XLOOKUP(A707,'Video Database'!L:L,'Video Database'!M:M,"")</f>
        <v>Product Overlay</v>
      </c>
    </row>
    <row r="708" ht="22.5" customHeight="1">
      <c r="A708" s="113">
        <f t="shared" si="12"/>
        <v>707</v>
      </c>
      <c r="B708" s="98" t="str">
        <f t="array" ref="B708">_xlfn.XLOOKUP(A708,'Video Database'!L:L,'Video Database'!D:D,"")</f>
        <v>Blakely</v>
      </c>
      <c r="C708" s="98" t="str">
        <f t="array" ref="C708">_xlfn.XLOOKUP(A708,'Video Database'!L:L,'Video Database'!E:E,"")</f>
        <v>Account 2</v>
      </c>
      <c r="D708" s="99" t="str">
        <f t="array" ref="D708">_xlfn.XLOOKUP(A708,'Video Database'!L:L,'Video Database'!G:G,"")</f>
        <v>tarte CC Color-Correct Tinted Serum</v>
      </c>
      <c r="E708" s="100">
        <f t="array" ref="E708">_xlfn.XLOOKUP(A708,'Video Database'!L:L,'Video Database'!H:H,"")</f>
        <v>0.11</v>
      </c>
      <c r="F708" s="101">
        <v>0.0</v>
      </c>
      <c r="G708" s="87">
        <v>0.0</v>
      </c>
      <c r="H708" s="114">
        <f t="array" ref="H708">_xlfn.XLOOKUP(A708,'Video Database'!L:L,'Video Database'!A:A,"")</f>
        <v>46195</v>
      </c>
      <c r="I708" s="103">
        <v>46201.0</v>
      </c>
      <c r="J708" s="104">
        <v>0.0</v>
      </c>
      <c r="K708" s="105"/>
      <c r="L708" s="105" t="str">
        <f t="shared" si="1"/>
        <v/>
      </c>
      <c r="O708" s="106" t="str">
        <f t="shared" si="2"/>
        <v>#N/A</v>
      </c>
      <c r="P708" s="106" t="str">
        <f t="shared" si="3"/>
        <v>#N/A</v>
      </c>
      <c r="Q708" s="84" t="str">
        <f t="shared" si="4"/>
        <v>#N/A</v>
      </c>
      <c r="R708" s="84" t="str">
        <f t="shared" si="5"/>
        <v>#N/A</v>
      </c>
      <c r="S708" s="107">
        <f t="shared" si="6"/>
        <v>-0.11</v>
      </c>
      <c r="T708" s="108">
        <f t="shared" si="7"/>
        <v>-1</v>
      </c>
      <c r="U708" s="106" t="str">
        <f t="shared" si="8"/>
        <v>#N/A</v>
      </c>
      <c r="V708" s="84" t="str">
        <f t="shared" si="9"/>
        <v/>
      </c>
      <c r="W708" s="109" t="str">
        <f t="shared" si="10"/>
        <v/>
      </c>
      <c r="X708" s="109" t="str">
        <f t="shared" si="11"/>
        <v/>
      </c>
      <c r="Y708" s="110" t="str">
        <f t="array" ref="Y708">_xlfn.XLOOKUP(A708,'Video Database'!L:L,'Video Database'!M:M,"")</f>
        <v>Product Overlay</v>
      </c>
    </row>
    <row r="709" ht="22.5" customHeight="1">
      <c r="A709" s="113">
        <f t="shared" si="12"/>
        <v>708</v>
      </c>
      <c r="B709" s="98" t="str">
        <f t="array" ref="B709">_xlfn.XLOOKUP(A709,'Video Database'!L:L,'Video Database'!D:D,"")</f>
        <v>Blakely</v>
      </c>
      <c r="C709" s="98" t="str">
        <f t="array" ref="C709">_xlfn.XLOOKUP(A709,'Video Database'!L:L,'Video Database'!E:E,"")</f>
        <v>Account 2</v>
      </c>
      <c r="D709" s="99" t="str">
        <f t="array" ref="D709">_xlfn.XLOOKUP(A709,'Video Database'!L:L,'Video Database'!G:G,"")</f>
        <v>Vimergy Organic Lemon Balm</v>
      </c>
      <c r="E709" s="100">
        <f t="array" ref="E709">_xlfn.XLOOKUP(A709,'Video Database'!L:L,'Video Database'!H:H,"")</f>
        <v>0.11</v>
      </c>
      <c r="F709" s="101">
        <v>0.0</v>
      </c>
      <c r="G709" s="87">
        <v>0.0</v>
      </c>
      <c r="H709" s="114">
        <f t="array" ref="H709">_xlfn.XLOOKUP(A709,'Video Database'!L:L,'Video Database'!A:A,"")</f>
        <v>46195</v>
      </c>
      <c r="I709" s="103">
        <v>46201.0</v>
      </c>
      <c r="J709" s="104">
        <v>0.0</v>
      </c>
      <c r="K709" s="105"/>
      <c r="L709" s="105" t="str">
        <f t="shared" si="1"/>
        <v/>
      </c>
      <c r="O709" s="106" t="str">
        <f t="shared" si="2"/>
        <v>#N/A</v>
      </c>
      <c r="P709" s="106" t="str">
        <f t="shared" si="3"/>
        <v>#N/A</v>
      </c>
      <c r="Q709" s="84" t="str">
        <f t="shared" si="4"/>
        <v>#N/A</v>
      </c>
      <c r="R709" s="84" t="str">
        <f t="shared" si="5"/>
        <v>#N/A</v>
      </c>
      <c r="S709" s="107">
        <f t="shared" si="6"/>
        <v>-0.11</v>
      </c>
      <c r="T709" s="108">
        <f t="shared" si="7"/>
        <v>-1</v>
      </c>
      <c r="U709" s="106" t="str">
        <f t="shared" si="8"/>
        <v>#N/A</v>
      </c>
      <c r="V709" s="84" t="str">
        <f t="shared" si="9"/>
        <v/>
      </c>
      <c r="W709" s="109" t="str">
        <f t="shared" si="10"/>
        <v/>
      </c>
      <c r="X709" s="109" t="str">
        <f t="shared" si="11"/>
        <v/>
      </c>
      <c r="Y709" s="110" t="str">
        <f t="array" ref="Y709">_xlfn.XLOOKUP(A709,'Video Database'!L:L,'Video Database'!M:M,"")</f>
        <v>Product Overlay</v>
      </c>
    </row>
    <row r="710" ht="22.5" customHeight="1">
      <c r="A710" s="113">
        <f t="shared" si="12"/>
        <v>709</v>
      </c>
      <c r="B710" s="98" t="str">
        <f t="array" ref="B710">_xlfn.XLOOKUP(A710,'Video Database'!L:L,'Video Database'!D:D,"")</f>
        <v>Blakely</v>
      </c>
      <c r="C710" s="98" t="str">
        <f t="array" ref="C710">_xlfn.XLOOKUP(A710,'Video Database'!L:L,'Video Database'!E:E,"")</f>
        <v>Account 2</v>
      </c>
      <c r="D710" s="99" t="str">
        <f t="array" ref="D710">_xlfn.XLOOKUP(A710,'Video Database'!L:L,'Video Database'!G:G,"")</f>
        <v>IRIS Hormone Health Drink Mix</v>
      </c>
      <c r="E710" s="100">
        <f t="array" ref="E710">_xlfn.XLOOKUP(A710,'Video Database'!L:L,'Video Database'!H:H,"")</f>
        <v>0.11</v>
      </c>
      <c r="F710" s="101">
        <v>0.0</v>
      </c>
      <c r="G710" s="87">
        <v>0.0</v>
      </c>
      <c r="H710" s="114">
        <f t="array" ref="H710">_xlfn.XLOOKUP(A710,'Video Database'!L:L,'Video Database'!A:A,"")</f>
        <v>46195</v>
      </c>
      <c r="I710" s="103">
        <v>46201.0</v>
      </c>
      <c r="J710" s="104">
        <v>0.0</v>
      </c>
      <c r="K710" s="105"/>
      <c r="L710" s="105" t="str">
        <f t="shared" si="1"/>
        <v/>
      </c>
      <c r="O710" s="106" t="str">
        <f t="shared" si="2"/>
        <v>#N/A</v>
      </c>
      <c r="P710" s="106" t="str">
        <f t="shared" si="3"/>
        <v>#N/A</v>
      </c>
      <c r="Q710" s="84" t="str">
        <f t="shared" si="4"/>
        <v>#N/A</v>
      </c>
      <c r="R710" s="84" t="str">
        <f t="shared" si="5"/>
        <v>#N/A</v>
      </c>
      <c r="S710" s="107">
        <f t="shared" si="6"/>
        <v>-0.11</v>
      </c>
      <c r="T710" s="108">
        <f t="shared" si="7"/>
        <v>-1</v>
      </c>
      <c r="U710" s="106" t="str">
        <f t="shared" si="8"/>
        <v>#N/A</v>
      </c>
      <c r="V710" s="84" t="str">
        <f t="shared" si="9"/>
        <v/>
      </c>
      <c r="W710" s="109" t="str">
        <f t="shared" si="10"/>
        <v/>
      </c>
      <c r="X710" s="109" t="str">
        <f t="shared" si="11"/>
        <v/>
      </c>
      <c r="Y710" s="110" t="str">
        <f t="array" ref="Y710">_xlfn.XLOOKUP(A710,'Video Database'!L:L,'Video Database'!M:M,"")</f>
        <v>Product Overlay</v>
      </c>
    </row>
    <row r="711" ht="22.5" customHeight="1">
      <c r="A711" s="113">
        <f t="shared" si="12"/>
        <v>710</v>
      </c>
      <c r="B711" s="98" t="str">
        <f t="array" ref="B711">_xlfn.XLOOKUP(A711,'Video Database'!L:L,'Video Database'!D:D,"")</f>
        <v>Blakely</v>
      </c>
      <c r="C711" s="98" t="str">
        <f t="array" ref="C711">_xlfn.XLOOKUP(A711,'Video Database'!L:L,'Video Database'!E:E,"")</f>
        <v>Account 2</v>
      </c>
      <c r="D711" s="99" t="str">
        <f t="array" ref="D711">_xlfn.XLOOKUP(A711,'Video Database'!L:L,'Video Database'!G:G,"")</f>
        <v>Nooni korean apple lip oil trio</v>
      </c>
      <c r="E711" s="100">
        <f t="array" ref="E711">_xlfn.XLOOKUP(A711,'Video Database'!L:L,'Video Database'!H:H,"")</f>
        <v>0.11</v>
      </c>
      <c r="F711" s="101">
        <v>0.0</v>
      </c>
      <c r="G711" s="87">
        <v>0.0</v>
      </c>
      <c r="H711" s="114">
        <f t="array" ref="H711">_xlfn.XLOOKUP(A711,'Video Database'!L:L,'Video Database'!A:A,"")</f>
        <v>46195</v>
      </c>
      <c r="I711" s="103">
        <v>46201.0</v>
      </c>
      <c r="J711" s="104">
        <v>0.0</v>
      </c>
      <c r="K711" s="105"/>
      <c r="L711" s="105" t="str">
        <f t="shared" si="1"/>
        <v/>
      </c>
      <c r="O711" s="106" t="str">
        <f t="shared" si="2"/>
        <v>#N/A</v>
      </c>
      <c r="P711" s="106" t="str">
        <f t="shared" si="3"/>
        <v>#N/A</v>
      </c>
      <c r="Q711" s="84" t="str">
        <f t="shared" si="4"/>
        <v>#N/A</v>
      </c>
      <c r="R711" s="84" t="str">
        <f t="shared" si="5"/>
        <v>#N/A</v>
      </c>
      <c r="S711" s="107">
        <f t="shared" si="6"/>
        <v>-0.11</v>
      </c>
      <c r="T711" s="108">
        <f t="shared" si="7"/>
        <v>-1</v>
      </c>
      <c r="U711" s="106" t="str">
        <f t="shared" si="8"/>
        <v>#N/A</v>
      </c>
      <c r="V711" s="84" t="str">
        <f t="shared" si="9"/>
        <v/>
      </c>
      <c r="W711" s="109" t="str">
        <f t="shared" si="10"/>
        <v/>
      </c>
      <c r="X711" s="109" t="str">
        <f t="shared" si="11"/>
        <v/>
      </c>
      <c r="Y711" s="110" t="str">
        <f t="array" ref="Y711">_xlfn.XLOOKUP(A711,'Video Database'!L:L,'Video Database'!M:M,"")</f>
        <v>Product Overlay</v>
      </c>
    </row>
    <row r="712" ht="22.5" customHeight="1">
      <c r="A712" s="113">
        <f t="shared" si="12"/>
        <v>711</v>
      </c>
      <c r="B712" s="98" t="str">
        <f t="array" ref="B712">_xlfn.XLOOKUP(A712,'Video Database'!L:L,'Video Database'!D:D,"")</f>
        <v>Blakely</v>
      </c>
      <c r="C712" s="98" t="str">
        <f t="array" ref="C712">_xlfn.XLOOKUP(A712,'Video Database'!L:L,'Video Database'!E:E,"")</f>
        <v>Account 2</v>
      </c>
      <c r="D712" s="99" t="str">
        <f t="array" ref="D712">_xlfn.XLOOKUP(A712,'Video Database'!L:L,'Video Database'!G:G,"")</f>
        <v>BrainMD Peak Energy</v>
      </c>
      <c r="E712" s="100">
        <f t="array" ref="E712">_xlfn.XLOOKUP(A712,'Video Database'!L:L,'Video Database'!H:H,"")</f>
        <v>0.11</v>
      </c>
      <c r="F712" s="101">
        <v>0.0</v>
      </c>
      <c r="G712" s="87">
        <v>0.0</v>
      </c>
      <c r="H712" s="114">
        <f t="array" ref="H712">_xlfn.XLOOKUP(A712,'Video Database'!L:L,'Video Database'!A:A,"")</f>
        <v>46195</v>
      </c>
      <c r="I712" s="103">
        <v>46201.0</v>
      </c>
      <c r="J712" s="104">
        <v>0.0</v>
      </c>
      <c r="K712" s="105"/>
      <c r="L712" s="105" t="str">
        <f t="shared" si="1"/>
        <v/>
      </c>
      <c r="O712" s="106" t="str">
        <f t="shared" si="2"/>
        <v>#N/A</v>
      </c>
      <c r="P712" s="106" t="str">
        <f t="shared" si="3"/>
        <v>#N/A</v>
      </c>
      <c r="Q712" s="84" t="str">
        <f t="shared" si="4"/>
        <v>#N/A</v>
      </c>
      <c r="R712" s="84" t="str">
        <f t="shared" si="5"/>
        <v>#N/A</v>
      </c>
      <c r="S712" s="107">
        <f t="shared" si="6"/>
        <v>-0.11</v>
      </c>
      <c r="T712" s="108">
        <f t="shared" si="7"/>
        <v>-1</v>
      </c>
      <c r="U712" s="106" t="str">
        <f t="shared" si="8"/>
        <v>#N/A</v>
      </c>
      <c r="V712" s="84" t="str">
        <f t="shared" si="9"/>
        <v/>
      </c>
      <c r="W712" s="109" t="str">
        <f t="shared" si="10"/>
        <v/>
      </c>
      <c r="X712" s="109" t="str">
        <f t="shared" si="11"/>
        <v/>
      </c>
      <c r="Y712" s="110" t="str">
        <f t="array" ref="Y712">_xlfn.XLOOKUP(A712,'Video Database'!L:L,'Video Database'!M:M,"")</f>
        <v>Product Overlay</v>
      </c>
    </row>
    <row r="713" ht="22.5" customHeight="1">
      <c r="A713" s="113">
        <f t="shared" si="12"/>
        <v>712</v>
      </c>
      <c r="B713" s="98" t="str">
        <f t="array" ref="B713">_xlfn.XLOOKUP(A713,'Video Database'!L:L,'Video Database'!D:D,"")</f>
        <v>Blakely</v>
      </c>
      <c r="C713" s="98" t="str">
        <f t="array" ref="C713">_xlfn.XLOOKUP(A713,'Video Database'!L:L,'Video Database'!E:E,"")</f>
        <v>Account 2</v>
      </c>
      <c r="D713" s="99" t="str">
        <f t="array" ref="D713">_xlfn.XLOOKUP(A713,'Video Database'!L:L,'Video Database'!G:G,"")</f>
        <v>BIGVITA Hair +</v>
      </c>
      <c r="E713" s="100">
        <f t="array" ref="E713">_xlfn.XLOOKUP(A713,'Video Database'!L:L,'Video Database'!H:H,"")</f>
        <v>0.11</v>
      </c>
      <c r="F713" s="101">
        <v>0.0</v>
      </c>
      <c r="G713" s="87">
        <v>0.0</v>
      </c>
      <c r="H713" s="114">
        <f t="array" ref="H713">_xlfn.XLOOKUP(A713,'Video Database'!L:L,'Video Database'!A:A,"")</f>
        <v>46195</v>
      </c>
      <c r="I713" s="103">
        <v>46201.0</v>
      </c>
      <c r="J713" s="104">
        <v>0.0</v>
      </c>
      <c r="K713" s="105"/>
      <c r="L713" s="105" t="str">
        <f t="shared" si="1"/>
        <v/>
      </c>
      <c r="O713" s="106" t="str">
        <f t="shared" si="2"/>
        <v>#N/A</v>
      </c>
      <c r="P713" s="106" t="str">
        <f t="shared" si="3"/>
        <v>#N/A</v>
      </c>
      <c r="Q713" s="84" t="str">
        <f t="shared" si="4"/>
        <v>#N/A</v>
      </c>
      <c r="R713" s="84" t="str">
        <f t="shared" si="5"/>
        <v>#N/A</v>
      </c>
      <c r="S713" s="107">
        <f t="shared" si="6"/>
        <v>-0.11</v>
      </c>
      <c r="T713" s="108">
        <f t="shared" si="7"/>
        <v>-1</v>
      </c>
      <c r="U713" s="106" t="str">
        <f t="shared" si="8"/>
        <v>#N/A</v>
      </c>
      <c r="V713" s="84" t="str">
        <f t="shared" si="9"/>
        <v/>
      </c>
      <c r="W713" s="109" t="str">
        <f t="shared" si="10"/>
        <v/>
      </c>
      <c r="X713" s="109" t="str">
        <f t="shared" si="11"/>
        <v/>
      </c>
      <c r="Y713" s="110" t="str">
        <f t="array" ref="Y713">_xlfn.XLOOKUP(A713,'Video Database'!L:L,'Video Database'!M:M,"")</f>
        <v>Product Overlay</v>
      </c>
    </row>
    <row r="714" ht="22.5" customHeight="1">
      <c r="A714" s="113">
        <f t="shared" si="12"/>
        <v>713</v>
      </c>
      <c r="B714" s="98" t="str">
        <f t="array" ref="B714">_xlfn.XLOOKUP(A714,'Video Database'!L:L,'Video Database'!D:D,"")</f>
        <v>Brittney</v>
      </c>
      <c r="C714" s="98" t="str">
        <f t="array" ref="C714">_xlfn.XLOOKUP(A714,'Video Database'!L:L,'Video Database'!E:E,"")</f>
        <v>Account 3</v>
      </c>
      <c r="D714" s="99" t="str">
        <f t="array" ref="D714">_xlfn.XLOOKUP(A714,'Video Database'!L:L,'Video Database'!G:G,"")</f>
        <v>Gruns Greens Popsicle Firecracker Gummies</v>
      </c>
      <c r="E714" s="100">
        <f t="array" ref="E714">_xlfn.XLOOKUP(A714,'Video Database'!L:L,'Video Database'!H:H,"")</f>
        <v>0.11</v>
      </c>
      <c r="F714" s="101">
        <v>0.0</v>
      </c>
      <c r="G714" s="87">
        <v>0.0</v>
      </c>
      <c r="H714" s="114">
        <f t="array" ref="H714">_xlfn.XLOOKUP(A714,'Video Database'!L:L,'Video Database'!A:A,"")</f>
        <v>46195</v>
      </c>
      <c r="I714" s="103">
        <v>46201.0</v>
      </c>
      <c r="J714" s="104">
        <v>0.0</v>
      </c>
      <c r="K714" s="105"/>
      <c r="L714" s="105" t="str">
        <f t="shared" si="1"/>
        <v/>
      </c>
      <c r="O714" s="106" t="str">
        <f t="shared" si="2"/>
        <v>#N/A</v>
      </c>
      <c r="P714" s="106" t="str">
        <f t="shared" si="3"/>
        <v>#N/A</v>
      </c>
      <c r="Q714" s="84" t="str">
        <f t="shared" si="4"/>
        <v>#N/A</v>
      </c>
      <c r="R714" s="84" t="str">
        <f t="shared" si="5"/>
        <v>#N/A</v>
      </c>
      <c r="S714" s="107">
        <f t="shared" si="6"/>
        <v>-0.11</v>
      </c>
      <c r="T714" s="108">
        <f t="shared" si="7"/>
        <v>-1</v>
      </c>
      <c r="U714" s="106" t="str">
        <f t="shared" si="8"/>
        <v>#N/A</v>
      </c>
      <c r="V714" s="84" t="str">
        <f t="shared" si="9"/>
        <v/>
      </c>
      <c r="W714" s="109" t="str">
        <f t="shared" si="10"/>
        <v/>
      </c>
      <c r="X714" s="109" t="str">
        <f t="shared" si="11"/>
        <v/>
      </c>
      <c r="Y714" s="110" t="str">
        <f t="array" ref="Y714">_xlfn.XLOOKUP(A714,'Video Database'!L:L,'Video Database'!M:M,"")</f>
        <v>Product Overlay</v>
      </c>
    </row>
    <row r="715" ht="22.5" customHeight="1">
      <c r="A715" s="113">
        <f t="shared" si="12"/>
        <v>714</v>
      </c>
      <c r="B715" s="98" t="str">
        <f t="array" ref="B715">_xlfn.XLOOKUP(A715,'Video Database'!L:L,'Video Database'!D:D,"")</f>
        <v>Brittney</v>
      </c>
      <c r="C715" s="98" t="str">
        <f t="array" ref="C715">_xlfn.XLOOKUP(A715,'Video Database'!L:L,'Video Database'!E:E,"")</f>
        <v>Account 3</v>
      </c>
      <c r="D715" s="99" t="str">
        <f t="array" ref="D715">_xlfn.XLOOKUP(A715,'Video Database'!L:L,'Video Database'!G:G,"")</f>
        <v>Gruns Greens Popsicle Firecracker Gummies</v>
      </c>
      <c r="E715" s="100">
        <f t="array" ref="E715">_xlfn.XLOOKUP(A715,'Video Database'!L:L,'Video Database'!H:H,"")</f>
        <v>0.11</v>
      </c>
      <c r="F715" s="101">
        <v>0.0</v>
      </c>
      <c r="G715" s="87">
        <v>0.0</v>
      </c>
      <c r="H715" s="114">
        <f t="array" ref="H715">_xlfn.XLOOKUP(A715,'Video Database'!L:L,'Video Database'!A:A,"")</f>
        <v>46195</v>
      </c>
      <c r="I715" s="103">
        <v>46201.0</v>
      </c>
      <c r="J715" s="104">
        <v>0.0</v>
      </c>
      <c r="K715" s="105"/>
      <c r="L715" s="105" t="str">
        <f t="shared" si="1"/>
        <v/>
      </c>
      <c r="O715" s="106" t="str">
        <f t="shared" si="2"/>
        <v>#N/A</v>
      </c>
      <c r="P715" s="106" t="str">
        <f t="shared" si="3"/>
        <v>#N/A</v>
      </c>
      <c r="Q715" s="84" t="str">
        <f t="shared" si="4"/>
        <v>#N/A</v>
      </c>
      <c r="R715" s="84" t="str">
        <f t="shared" si="5"/>
        <v>#N/A</v>
      </c>
      <c r="S715" s="107">
        <f t="shared" si="6"/>
        <v>-0.11</v>
      </c>
      <c r="T715" s="108">
        <f t="shared" si="7"/>
        <v>-1</v>
      </c>
      <c r="U715" s="106" t="str">
        <f t="shared" si="8"/>
        <v>#N/A</v>
      </c>
      <c r="V715" s="84" t="str">
        <f t="shared" si="9"/>
        <v/>
      </c>
      <c r="W715" s="109" t="str">
        <f t="shared" si="10"/>
        <v/>
      </c>
      <c r="X715" s="109" t="str">
        <f t="shared" si="11"/>
        <v/>
      </c>
      <c r="Y715" s="110" t="str">
        <f t="array" ref="Y715">_xlfn.XLOOKUP(A715,'Video Database'!L:L,'Video Database'!M:M,"")</f>
        <v>Product Overlay</v>
      </c>
    </row>
    <row r="716" ht="22.5" customHeight="1">
      <c r="A716" s="113">
        <f t="shared" si="12"/>
        <v>715</v>
      </c>
      <c r="B716" s="98" t="str">
        <f t="array" ref="B716">_xlfn.XLOOKUP(A716,'Video Database'!L:L,'Video Database'!D:D,"")</f>
        <v>Brittney</v>
      </c>
      <c r="C716" s="98" t="str">
        <f t="array" ref="C716">_xlfn.XLOOKUP(A716,'Video Database'!L:L,'Video Database'!E:E,"")</f>
        <v>Account 3</v>
      </c>
      <c r="D716" s="99" t="str">
        <f t="array" ref="D716">_xlfn.XLOOKUP(A716,'Video Database'!L:L,'Video Database'!G:G,"")</f>
        <v>Gruns Greens Popsicle Firecracker Gummies</v>
      </c>
      <c r="E716" s="100">
        <f t="array" ref="E716">_xlfn.XLOOKUP(A716,'Video Database'!L:L,'Video Database'!H:H,"")</f>
        <v>0.11</v>
      </c>
      <c r="F716" s="101">
        <v>0.0</v>
      </c>
      <c r="G716" s="87">
        <v>0.0</v>
      </c>
      <c r="H716" s="114">
        <f t="array" ref="H716">_xlfn.XLOOKUP(A716,'Video Database'!L:L,'Video Database'!A:A,"")</f>
        <v>46195</v>
      </c>
      <c r="I716" s="103">
        <v>46201.0</v>
      </c>
      <c r="J716" s="104">
        <v>0.0</v>
      </c>
      <c r="K716" s="105"/>
      <c r="L716" s="105" t="str">
        <f t="shared" si="1"/>
        <v/>
      </c>
      <c r="O716" s="106" t="str">
        <f t="shared" si="2"/>
        <v>#N/A</v>
      </c>
      <c r="P716" s="106" t="str">
        <f t="shared" si="3"/>
        <v>#N/A</v>
      </c>
      <c r="Q716" s="84" t="str">
        <f t="shared" si="4"/>
        <v>#N/A</v>
      </c>
      <c r="R716" s="84" t="str">
        <f t="shared" si="5"/>
        <v>#N/A</v>
      </c>
      <c r="S716" s="107">
        <f t="shared" si="6"/>
        <v>-0.11</v>
      </c>
      <c r="T716" s="108">
        <f t="shared" si="7"/>
        <v>-1</v>
      </c>
      <c r="U716" s="106" t="str">
        <f t="shared" si="8"/>
        <v>#N/A</v>
      </c>
      <c r="V716" s="84" t="str">
        <f t="shared" si="9"/>
        <v/>
      </c>
      <c r="W716" s="109" t="str">
        <f t="shared" si="10"/>
        <v/>
      </c>
      <c r="X716" s="109" t="str">
        <f t="shared" si="11"/>
        <v/>
      </c>
      <c r="Y716" s="110" t="str">
        <f t="array" ref="Y716">_xlfn.XLOOKUP(A716,'Video Database'!L:L,'Video Database'!M:M,"")</f>
        <v>Bottom of Funnel</v>
      </c>
    </row>
    <row r="717" ht="22.5" customHeight="1">
      <c r="A717" s="113">
        <f t="shared" si="12"/>
        <v>716</v>
      </c>
      <c r="B717" s="98" t="str">
        <f t="array" ref="B717">_xlfn.XLOOKUP(A717,'Video Database'!L:L,'Video Database'!D:D,"")</f>
        <v>Brittney</v>
      </c>
      <c r="C717" s="98" t="str">
        <f t="array" ref="C717">_xlfn.XLOOKUP(A717,'Video Database'!L:L,'Video Database'!E:E,"")</f>
        <v>Account 3</v>
      </c>
      <c r="D717" s="99" t="str">
        <f t="array" ref="D717">_xlfn.XLOOKUP(A717,'Video Database'!L:L,'Video Database'!G:G,"")</f>
        <v>Gruns Greens Popsicle Firecracker Gummies</v>
      </c>
      <c r="E717" s="100">
        <f t="array" ref="E717">_xlfn.XLOOKUP(A717,'Video Database'!L:L,'Video Database'!H:H,"")</f>
        <v>0.11</v>
      </c>
      <c r="F717" s="101">
        <v>0.0</v>
      </c>
      <c r="G717" s="87">
        <v>0.0</v>
      </c>
      <c r="H717" s="114">
        <f t="array" ref="H717">_xlfn.XLOOKUP(A717,'Video Database'!L:L,'Video Database'!A:A,"")</f>
        <v>46195</v>
      </c>
      <c r="I717" s="103">
        <v>46201.0</v>
      </c>
      <c r="J717" s="104">
        <v>0.0</v>
      </c>
      <c r="K717" s="105"/>
      <c r="L717" s="105" t="str">
        <f t="shared" si="1"/>
        <v/>
      </c>
      <c r="O717" s="106" t="str">
        <f t="shared" si="2"/>
        <v>#N/A</v>
      </c>
      <c r="P717" s="106" t="str">
        <f t="shared" si="3"/>
        <v>#N/A</v>
      </c>
      <c r="Q717" s="84" t="str">
        <f t="shared" si="4"/>
        <v>#N/A</v>
      </c>
      <c r="R717" s="84" t="str">
        <f t="shared" si="5"/>
        <v>#N/A</v>
      </c>
      <c r="S717" s="107">
        <f t="shared" si="6"/>
        <v>-0.11</v>
      </c>
      <c r="T717" s="108">
        <f t="shared" si="7"/>
        <v>-1</v>
      </c>
      <c r="U717" s="106" t="str">
        <f t="shared" si="8"/>
        <v>#N/A</v>
      </c>
      <c r="V717" s="84" t="str">
        <f t="shared" si="9"/>
        <v/>
      </c>
      <c r="W717" s="109" t="str">
        <f t="shared" si="10"/>
        <v/>
      </c>
      <c r="X717" s="109" t="str">
        <f t="shared" si="11"/>
        <v/>
      </c>
      <c r="Y717" s="110" t="str">
        <f t="array" ref="Y717">_xlfn.XLOOKUP(A717,'Video Database'!L:L,'Video Database'!M:M,"")</f>
        <v>Bottom of Funnel</v>
      </c>
    </row>
    <row r="718" ht="22.5" customHeight="1">
      <c r="A718" s="113">
        <f t="shared" si="12"/>
        <v>717</v>
      </c>
      <c r="B718" s="98" t="str">
        <f t="array" ref="B718">_xlfn.XLOOKUP(A718,'Video Database'!L:L,'Video Database'!D:D,"")</f>
        <v>Brittney</v>
      </c>
      <c r="C718" s="98" t="str">
        <f t="array" ref="C718">_xlfn.XLOOKUP(A718,'Video Database'!L:L,'Video Database'!E:E,"")</f>
        <v>Account 3</v>
      </c>
      <c r="D718" s="99" t="str">
        <f t="array" ref="D718">_xlfn.XLOOKUP(A718,'Video Database'!L:L,'Video Database'!G:G,"")</f>
        <v>Gruns Greens Popsicle Firecracker Gummies</v>
      </c>
      <c r="E718" s="100">
        <f t="array" ref="E718">_xlfn.XLOOKUP(A718,'Video Database'!L:L,'Video Database'!H:H,"")</f>
        <v>0.11</v>
      </c>
      <c r="F718" s="101">
        <v>0.0</v>
      </c>
      <c r="G718" s="87">
        <v>0.0</v>
      </c>
      <c r="H718" s="114">
        <f t="array" ref="H718">_xlfn.XLOOKUP(A718,'Video Database'!L:L,'Video Database'!A:A,"")</f>
        <v>46195</v>
      </c>
      <c r="I718" s="103">
        <v>46201.0</v>
      </c>
      <c r="J718" s="104">
        <v>0.0</v>
      </c>
      <c r="K718" s="105"/>
      <c r="L718" s="105" t="str">
        <f t="shared" si="1"/>
        <v/>
      </c>
      <c r="O718" s="106" t="str">
        <f t="shared" si="2"/>
        <v>#N/A</v>
      </c>
      <c r="P718" s="106" t="str">
        <f t="shared" si="3"/>
        <v>#N/A</v>
      </c>
      <c r="Q718" s="84" t="str">
        <f t="shared" si="4"/>
        <v>#N/A</v>
      </c>
      <c r="R718" s="84" t="str">
        <f t="shared" si="5"/>
        <v>#N/A</v>
      </c>
      <c r="S718" s="107">
        <f t="shared" si="6"/>
        <v>-0.11</v>
      </c>
      <c r="T718" s="108">
        <f t="shared" si="7"/>
        <v>-1</v>
      </c>
      <c r="U718" s="106" t="str">
        <f t="shared" si="8"/>
        <v>#N/A</v>
      </c>
      <c r="V718" s="84" t="str">
        <f t="shared" si="9"/>
        <v/>
      </c>
      <c r="W718" s="109" t="str">
        <f t="shared" si="10"/>
        <v/>
      </c>
      <c r="X718" s="109" t="str">
        <f t="shared" si="11"/>
        <v/>
      </c>
      <c r="Y718" s="110" t="str">
        <f t="array" ref="Y718">_xlfn.XLOOKUP(A718,'Video Database'!L:L,'Video Database'!M:M,"")</f>
        <v>Bottom of Funnel</v>
      </c>
    </row>
    <row r="719" ht="22.5" customHeight="1">
      <c r="A719" s="113">
        <f t="shared" si="12"/>
        <v>718</v>
      </c>
      <c r="B719" s="98" t="str">
        <f t="array" ref="B719">_xlfn.XLOOKUP(A719,'Video Database'!L:L,'Video Database'!D:D,"")</f>
        <v>Blakely</v>
      </c>
      <c r="C719" s="98" t="str">
        <f t="array" ref="C719">_xlfn.XLOOKUP(A719,'Video Database'!L:L,'Video Database'!E:E,"")</f>
        <v>Account 3</v>
      </c>
      <c r="D719" s="99" t="str">
        <f t="array" ref="D719">_xlfn.XLOOKUP(A719,'Video Database'!L:L,'Video Database'!G:G,"")</f>
        <v>Fillo's Walking Tamales Variety Pack</v>
      </c>
      <c r="E719" s="100">
        <f t="array" ref="E719">_xlfn.XLOOKUP(A719,'Video Database'!L:L,'Video Database'!H:H,"")</f>
        <v>0.11</v>
      </c>
      <c r="F719" s="101">
        <v>0.0</v>
      </c>
      <c r="G719" s="87">
        <v>0.0</v>
      </c>
      <c r="H719" s="114">
        <f t="array" ref="H719">_xlfn.XLOOKUP(A719,'Video Database'!L:L,'Video Database'!A:A,"")</f>
        <v>46195</v>
      </c>
      <c r="I719" s="103">
        <v>46201.0</v>
      </c>
      <c r="J719" s="104">
        <v>0.0</v>
      </c>
      <c r="K719" s="105"/>
      <c r="L719" s="105" t="str">
        <f t="shared" si="1"/>
        <v/>
      </c>
      <c r="O719" s="106" t="str">
        <f t="shared" si="2"/>
        <v>#N/A</v>
      </c>
      <c r="P719" s="106" t="str">
        <f t="shared" si="3"/>
        <v>#N/A</v>
      </c>
      <c r="Q719" s="84" t="str">
        <f t="shared" si="4"/>
        <v>#N/A</v>
      </c>
      <c r="R719" s="84" t="str">
        <f t="shared" si="5"/>
        <v>#N/A</v>
      </c>
      <c r="S719" s="107">
        <f t="shared" si="6"/>
        <v>-0.11</v>
      </c>
      <c r="T719" s="108">
        <f t="shared" si="7"/>
        <v>-1</v>
      </c>
      <c r="U719" s="106" t="str">
        <f t="shared" si="8"/>
        <v>#N/A</v>
      </c>
      <c r="V719" s="84" t="str">
        <f t="shared" si="9"/>
        <v/>
      </c>
      <c r="W719" s="109" t="str">
        <f t="shared" si="10"/>
        <v/>
      </c>
      <c r="X719" s="109" t="str">
        <f t="shared" si="11"/>
        <v/>
      </c>
      <c r="Y719" s="110" t="str">
        <f t="array" ref="Y719">_xlfn.XLOOKUP(A719,'Video Database'!L:L,'Video Database'!M:M,"")</f>
        <v>Product Overlay</v>
      </c>
    </row>
    <row r="720" ht="22.5" customHeight="1">
      <c r="A720" s="113">
        <f t="shared" si="12"/>
        <v>719</v>
      </c>
      <c r="B720" s="98" t="str">
        <f t="array" ref="B720">_xlfn.XLOOKUP(A720,'Video Database'!L:L,'Video Database'!D:D,"")</f>
        <v>Blakely</v>
      </c>
      <c r="C720" s="98" t="str">
        <f t="array" ref="C720">_xlfn.XLOOKUP(A720,'Video Database'!L:L,'Video Database'!E:E,"")</f>
        <v>Account 3</v>
      </c>
      <c r="D720" s="99" t="str">
        <f t="array" ref="D720">_xlfn.XLOOKUP(A720,'Video Database'!L:L,'Video Database'!G:G,"")</f>
        <v>BrainMD L-Theanine Gummies</v>
      </c>
      <c r="E720" s="100">
        <f t="array" ref="E720">_xlfn.XLOOKUP(A720,'Video Database'!L:L,'Video Database'!H:H,"")</f>
        <v>0.11</v>
      </c>
      <c r="F720" s="101">
        <v>0.0</v>
      </c>
      <c r="G720" s="87">
        <v>0.0</v>
      </c>
      <c r="H720" s="114">
        <f t="array" ref="H720">_xlfn.XLOOKUP(A720,'Video Database'!L:L,'Video Database'!A:A,"")</f>
        <v>46195</v>
      </c>
      <c r="I720" s="103">
        <v>46201.0</v>
      </c>
      <c r="J720" s="104">
        <v>0.0</v>
      </c>
      <c r="K720" s="105"/>
      <c r="L720" s="105" t="str">
        <f t="shared" si="1"/>
        <v/>
      </c>
      <c r="O720" s="106" t="str">
        <f t="shared" si="2"/>
        <v>#N/A</v>
      </c>
      <c r="P720" s="106" t="str">
        <f t="shared" si="3"/>
        <v>#N/A</v>
      </c>
      <c r="Q720" s="84" t="str">
        <f t="shared" si="4"/>
        <v>#N/A</v>
      </c>
      <c r="R720" s="84" t="str">
        <f t="shared" si="5"/>
        <v>#N/A</v>
      </c>
      <c r="S720" s="107">
        <f t="shared" si="6"/>
        <v>-0.11</v>
      </c>
      <c r="T720" s="108">
        <f t="shared" si="7"/>
        <v>-1</v>
      </c>
      <c r="U720" s="106" t="str">
        <f t="shared" si="8"/>
        <v>#N/A</v>
      </c>
      <c r="V720" s="84" t="str">
        <f t="shared" si="9"/>
        <v/>
      </c>
      <c r="W720" s="109" t="str">
        <f t="shared" si="10"/>
        <v/>
      </c>
      <c r="X720" s="109" t="str">
        <f t="shared" si="11"/>
        <v/>
      </c>
      <c r="Y720" s="110" t="str">
        <f t="array" ref="Y720">_xlfn.XLOOKUP(A720,'Video Database'!L:L,'Video Database'!M:M,"")</f>
        <v>Product Overlay</v>
      </c>
    </row>
    <row r="721" ht="22.5" customHeight="1">
      <c r="A721" s="113">
        <f t="shared" si="12"/>
        <v>720</v>
      </c>
      <c r="B721" s="98" t="str">
        <f t="array" ref="B721">_xlfn.XLOOKUP(A721,'Video Database'!L:L,'Video Database'!D:D,"")</f>
        <v>Blakely</v>
      </c>
      <c r="C721" s="98" t="str">
        <f t="array" ref="C721">_xlfn.XLOOKUP(A721,'Video Database'!L:L,'Video Database'!E:E,"")</f>
        <v>Account 3</v>
      </c>
      <c r="D721" s="99" t="str">
        <f t="array" ref="D721">_xlfn.XLOOKUP(A721,'Video Database'!L:L,'Video Database'!G:G,"")</f>
        <v>JOYMODE Ignite Libido Support</v>
      </c>
      <c r="E721" s="100">
        <f t="array" ref="E721">_xlfn.XLOOKUP(A721,'Video Database'!L:L,'Video Database'!H:H,"")</f>
        <v>0.11</v>
      </c>
      <c r="F721" s="101">
        <v>0.0</v>
      </c>
      <c r="G721" s="87">
        <v>0.0</v>
      </c>
      <c r="H721" s="114">
        <f t="array" ref="H721">_xlfn.XLOOKUP(A721,'Video Database'!L:L,'Video Database'!A:A,"")</f>
        <v>46195</v>
      </c>
      <c r="I721" s="103">
        <v>46201.0</v>
      </c>
      <c r="J721" s="104">
        <v>0.0</v>
      </c>
      <c r="K721" s="105"/>
      <c r="L721" s="105" t="str">
        <f t="shared" si="1"/>
        <v/>
      </c>
      <c r="O721" s="106" t="str">
        <f t="shared" si="2"/>
        <v>#N/A</v>
      </c>
      <c r="P721" s="106" t="str">
        <f t="shared" si="3"/>
        <v>#N/A</v>
      </c>
      <c r="Q721" s="84" t="str">
        <f t="shared" si="4"/>
        <v>#N/A</v>
      </c>
      <c r="R721" s="84" t="str">
        <f t="shared" si="5"/>
        <v>#N/A</v>
      </c>
      <c r="S721" s="107">
        <f t="shared" si="6"/>
        <v>-0.11</v>
      </c>
      <c r="T721" s="108">
        <f t="shared" si="7"/>
        <v>-1</v>
      </c>
      <c r="U721" s="106" t="str">
        <f t="shared" si="8"/>
        <v>#N/A</v>
      </c>
      <c r="V721" s="84" t="str">
        <f t="shared" si="9"/>
        <v/>
      </c>
      <c r="W721" s="109" t="str">
        <f t="shared" si="10"/>
        <v/>
      </c>
      <c r="X721" s="109" t="str">
        <f t="shared" si="11"/>
        <v/>
      </c>
      <c r="Y721" s="110" t="str">
        <f t="array" ref="Y721">_xlfn.XLOOKUP(A721,'Video Database'!L:L,'Video Database'!M:M,"")</f>
        <v>Product Overlay</v>
      </c>
    </row>
    <row r="722" ht="22.5" customHeight="1">
      <c r="A722" s="113">
        <f t="shared" si="12"/>
        <v>721</v>
      </c>
      <c r="B722" s="98" t="str">
        <f t="array" ref="B722">_xlfn.XLOOKUP(A722,'Video Database'!L:L,'Video Database'!D:D,"")</f>
        <v>Blakely</v>
      </c>
      <c r="C722" s="98" t="str">
        <f t="array" ref="C722">_xlfn.XLOOKUP(A722,'Video Database'!L:L,'Video Database'!E:E,"")</f>
        <v>Account 3</v>
      </c>
      <c r="D722" s="99" t="str">
        <f t="array" ref="D722">_xlfn.XLOOKUP(A722,'Video Database'!L:L,'Video Database'!G:G,"")</f>
        <v>BIGVITA Hair +</v>
      </c>
      <c r="E722" s="100">
        <f t="array" ref="E722">_xlfn.XLOOKUP(A722,'Video Database'!L:L,'Video Database'!H:H,"")</f>
        <v>0.11</v>
      </c>
      <c r="F722" s="101">
        <v>0.0</v>
      </c>
      <c r="G722" s="87">
        <v>0.0</v>
      </c>
      <c r="H722" s="114">
        <f t="array" ref="H722">_xlfn.XLOOKUP(A722,'Video Database'!L:L,'Video Database'!A:A,"")</f>
        <v>46195</v>
      </c>
      <c r="I722" s="103">
        <v>46201.0</v>
      </c>
      <c r="J722" s="104">
        <v>0.0</v>
      </c>
      <c r="K722" s="105"/>
      <c r="L722" s="105" t="str">
        <f t="shared" si="1"/>
        <v/>
      </c>
      <c r="O722" s="106" t="str">
        <f t="shared" si="2"/>
        <v>#N/A</v>
      </c>
      <c r="P722" s="106" t="str">
        <f t="shared" si="3"/>
        <v>#N/A</v>
      </c>
      <c r="Q722" s="84" t="str">
        <f t="shared" si="4"/>
        <v>#N/A</v>
      </c>
      <c r="R722" s="84" t="str">
        <f t="shared" si="5"/>
        <v>#N/A</v>
      </c>
      <c r="S722" s="107">
        <f t="shared" si="6"/>
        <v>-0.11</v>
      </c>
      <c r="T722" s="108">
        <f t="shared" si="7"/>
        <v>-1</v>
      </c>
      <c r="U722" s="106" t="str">
        <f t="shared" si="8"/>
        <v>#N/A</v>
      </c>
      <c r="V722" s="84" t="str">
        <f t="shared" si="9"/>
        <v/>
      </c>
      <c r="W722" s="109" t="str">
        <f t="shared" si="10"/>
        <v/>
      </c>
      <c r="X722" s="109" t="str">
        <f t="shared" si="11"/>
        <v/>
      </c>
      <c r="Y722" s="110" t="str">
        <f t="array" ref="Y722">_xlfn.XLOOKUP(A722,'Video Database'!L:L,'Video Database'!M:M,"")</f>
        <v>Product Overlay</v>
      </c>
    </row>
    <row r="723" ht="22.5" customHeight="1">
      <c r="A723" s="113">
        <f t="shared" si="12"/>
        <v>722</v>
      </c>
      <c r="B723" s="98" t="str">
        <f t="array" ref="B723">_xlfn.XLOOKUP(A723,'Video Database'!L:L,'Video Database'!D:D,"")</f>
        <v>Blakely</v>
      </c>
      <c r="C723" s="98" t="str">
        <f t="array" ref="C723">_xlfn.XLOOKUP(A723,'Video Database'!L:L,'Video Database'!E:E,"")</f>
        <v>Account 3</v>
      </c>
      <c r="D723" s="99" t="str">
        <f t="array" ref="D723">_xlfn.XLOOKUP(A723,'Video Database'!L:L,'Video Database'!G:G,"")</f>
        <v>tarte smoldereyes shadow liner duo</v>
      </c>
      <c r="E723" s="100">
        <f t="array" ref="E723">_xlfn.XLOOKUP(A723,'Video Database'!L:L,'Video Database'!H:H,"")</f>
        <v>0.11</v>
      </c>
      <c r="F723" s="101">
        <v>0.0</v>
      </c>
      <c r="G723" s="87">
        <v>0.0</v>
      </c>
      <c r="H723" s="114">
        <f t="array" ref="H723">_xlfn.XLOOKUP(A723,'Video Database'!L:L,'Video Database'!A:A,"")</f>
        <v>46195</v>
      </c>
      <c r="I723" s="103">
        <v>46201.0</v>
      </c>
      <c r="J723" s="104">
        <v>0.0</v>
      </c>
      <c r="K723" s="105"/>
      <c r="L723" s="105" t="str">
        <f t="shared" si="1"/>
        <v/>
      </c>
      <c r="O723" s="106" t="str">
        <f t="shared" si="2"/>
        <v>#N/A</v>
      </c>
      <c r="P723" s="106" t="str">
        <f t="shared" si="3"/>
        <v>#N/A</v>
      </c>
      <c r="Q723" s="84" t="str">
        <f t="shared" si="4"/>
        <v>#N/A</v>
      </c>
      <c r="R723" s="84" t="str">
        <f t="shared" si="5"/>
        <v>#N/A</v>
      </c>
      <c r="S723" s="107">
        <f t="shared" si="6"/>
        <v>-0.11</v>
      </c>
      <c r="T723" s="108">
        <f t="shared" si="7"/>
        <v>-1</v>
      </c>
      <c r="U723" s="106" t="str">
        <f t="shared" si="8"/>
        <v>#N/A</v>
      </c>
      <c r="V723" s="84" t="str">
        <f t="shared" si="9"/>
        <v/>
      </c>
      <c r="W723" s="109" t="str">
        <f t="shared" si="10"/>
        <v/>
      </c>
      <c r="X723" s="109" t="str">
        <f t="shared" si="11"/>
        <v/>
      </c>
      <c r="Y723" s="110" t="str">
        <f t="array" ref="Y723">_xlfn.XLOOKUP(A723,'Video Database'!L:L,'Video Database'!M:M,"")</f>
        <v>Product Overlay</v>
      </c>
    </row>
    <row r="724" ht="22.5" customHeight="1">
      <c r="A724" s="113">
        <f t="shared" si="12"/>
        <v>723</v>
      </c>
      <c r="B724" s="98" t="str">
        <f t="array" ref="B724">_xlfn.XLOOKUP(A724,'Video Database'!L:L,'Video Database'!D:D,"")</f>
        <v>Blakely</v>
      </c>
      <c r="C724" s="98" t="str">
        <f t="array" ref="C724">_xlfn.XLOOKUP(A724,'Video Database'!L:L,'Video Database'!E:E,"")</f>
        <v>Account 3</v>
      </c>
      <c r="D724" s="99" t="str">
        <f t="array" ref="D724">_xlfn.XLOOKUP(A724,'Video Database'!L:L,'Video Database'!G:G,"")</f>
        <v>tarte CC Color-Correct Tinted Serum</v>
      </c>
      <c r="E724" s="100">
        <f t="array" ref="E724">_xlfn.XLOOKUP(A724,'Video Database'!L:L,'Video Database'!H:H,"")</f>
        <v>0.11</v>
      </c>
      <c r="F724" s="101">
        <v>0.0</v>
      </c>
      <c r="G724" s="87">
        <v>0.0</v>
      </c>
      <c r="H724" s="114">
        <f t="array" ref="H724">_xlfn.XLOOKUP(A724,'Video Database'!L:L,'Video Database'!A:A,"")</f>
        <v>46195</v>
      </c>
      <c r="I724" s="103">
        <v>46201.0</v>
      </c>
      <c r="J724" s="104">
        <v>0.0</v>
      </c>
      <c r="K724" s="105"/>
      <c r="L724" s="105" t="str">
        <f t="shared" si="1"/>
        <v/>
      </c>
      <c r="O724" s="106" t="str">
        <f t="shared" si="2"/>
        <v>#N/A</v>
      </c>
      <c r="P724" s="106" t="str">
        <f t="shared" si="3"/>
        <v>#N/A</v>
      </c>
      <c r="Q724" s="84" t="str">
        <f t="shared" si="4"/>
        <v>#N/A</v>
      </c>
      <c r="R724" s="84" t="str">
        <f t="shared" si="5"/>
        <v>#N/A</v>
      </c>
      <c r="S724" s="107">
        <f t="shared" si="6"/>
        <v>-0.11</v>
      </c>
      <c r="T724" s="108">
        <f t="shared" si="7"/>
        <v>-1</v>
      </c>
      <c r="U724" s="106" t="str">
        <f t="shared" si="8"/>
        <v>#N/A</v>
      </c>
      <c r="V724" s="84" t="str">
        <f t="shared" si="9"/>
        <v/>
      </c>
      <c r="W724" s="109" t="str">
        <f t="shared" si="10"/>
        <v/>
      </c>
      <c r="X724" s="109" t="str">
        <f t="shared" si="11"/>
        <v/>
      </c>
      <c r="Y724" s="110" t="str">
        <f t="array" ref="Y724">_xlfn.XLOOKUP(A724,'Video Database'!L:L,'Video Database'!M:M,"")</f>
        <v>Product Overlay</v>
      </c>
    </row>
    <row r="725" ht="22.5" customHeight="1">
      <c r="A725" s="113">
        <f t="shared" si="12"/>
        <v>724</v>
      </c>
      <c r="B725" s="98" t="str">
        <f t="array" ref="B725">_xlfn.XLOOKUP(A725,'Video Database'!L:L,'Video Database'!D:D,"")</f>
        <v>Blakely</v>
      </c>
      <c r="C725" s="98" t="str">
        <f t="array" ref="C725">_xlfn.XLOOKUP(A725,'Video Database'!L:L,'Video Database'!E:E,"")</f>
        <v>Account 3</v>
      </c>
      <c r="D725" s="99" t="str">
        <f t="array" ref="D725">_xlfn.XLOOKUP(A725,'Video Database'!L:L,'Video Database'!G:G,"")</f>
        <v>IRIS Hormone Health Drink Mix</v>
      </c>
      <c r="E725" s="100">
        <f t="array" ref="E725">_xlfn.XLOOKUP(A725,'Video Database'!L:L,'Video Database'!H:H,"")</f>
        <v>0.11</v>
      </c>
      <c r="F725" s="101">
        <v>0.0</v>
      </c>
      <c r="G725" s="87">
        <v>0.0</v>
      </c>
      <c r="H725" s="114">
        <f t="array" ref="H725">_xlfn.XLOOKUP(A725,'Video Database'!L:L,'Video Database'!A:A,"")</f>
        <v>46195</v>
      </c>
      <c r="I725" s="103">
        <v>46201.0</v>
      </c>
      <c r="J725" s="104">
        <v>0.0</v>
      </c>
      <c r="K725" s="105"/>
      <c r="L725" s="105" t="str">
        <f t="shared" si="1"/>
        <v/>
      </c>
      <c r="O725" s="106" t="str">
        <f t="shared" si="2"/>
        <v>#N/A</v>
      </c>
      <c r="P725" s="106" t="str">
        <f t="shared" si="3"/>
        <v>#N/A</v>
      </c>
      <c r="Q725" s="84" t="str">
        <f t="shared" si="4"/>
        <v>#N/A</v>
      </c>
      <c r="R725" s="84" t="str">
        <f t="shared" si="5"/>
        <v>#N/A</v>
      </c>
      <c r="S725" s="107">
        <f t="shared" si="6"/>
        <v>-0.11</v>
      </c>
      <c r="T725" s="108">
        <f t="shared" si="7"/>
        <v>-1</v>
      </c>
      <c r="U725" s="106" t="str">
        <f t="shared" si="8"/>
        <v>#N/A</v>
      </c>
      <c r="V725" s="84" t="str">
        <f t="shared" si="9"/>
        <v/>
      </c>
      <c r="W725" s="109" t="str">
        <f t="shared" si="10"/>
        <v/>
      </c>
      <c r="X725" s="109" t="str">
        <f t="shared" si="11"/>
        <v/>
      </c>
      <c r="Y725" s="110" t="str">
        <f t="array" ref="Y725">_xlfn.XLOOKUP(A725,'Video Database'!L:L,'Video Database'!M:M,"")</f>
        <v>Product Overlay</v>
      </c>
    </row>
    <row r="726" ht="22.5" customHeight="1">
      <c r="A726" s="113">
        <f t="shared" si="12"/>
        <v>725</v>
      </c>
      <c r="B726" s="98" t="str">
        <f t="array" ref="B726">_xlfn.XLOOKUP(A726,'Video Database'!L:L,'Video Database'!D:D,"")</f>
        <v>Blakely</v>
      </c>
      <c r="C726" s="98" t="str">
        <f t="array" ref="C726">_xlfn.XLOOKUP(A726,'Video Database'!L:L,'Video Database'!E:E,"")</f>
        <v>Account 3</v>
      </c>
      <c r="D726" s="98" t="str">
        <f t="array" ref="D726">_xlfn.XLOOKUP(A726,'Video Database'!L:L,'Video Database'!G:G,"")</f>
        <v>Swanson Full Spectrum Spearmint Leaf</v>
      </c>
      <c r="E726" s="100">
        <f t="array" ref="E726">_xlfn.XLOOKUP(A726,'Video Database'!L:L,'Video Database'!H:H,"")</f>
        <v>0.11</v>
      </c>
      <c r="F726" s="101">
        <v>22.32</v>
      </c>
      <c r="G726" s="87">
        <v>1.0</v>
      </c>
      <c r="H726" s="114">
        <f t="array" ref="H726">_xlfn.XLOOKUP(A726,'Video Database'!L:L,'Video Database'!A:A,"")</f>
        <v>46195</v>
      </c>
      <c r="I726" s="103">
        <v>46201.0</v>
      </c>
      <c r="J726" s="104">
        <v>7.12</v>
      </c>
      <c r="K726" s="87"/>
      <c r="L726" s="105" t="str">
        <f t="shared" si="1"/>
        <v/>
      </c>
      <c r="O726" s="106" t="str">
        <f t="shared" si="2"/>
        <v>#N/A</v>
      </c>
      <c r="P726" s="106" t="str">
        <f t="shared" si="3"/>
        <v>#N/A</v>
      </c>
      <c r="Q726" s="84">
        <f t="shared" si="4"/>
        <v>7.12</v>
      </c>
      <c r="R726" s="84">
        <f t="shared" si="5"/>
        <v>22.32</v>
      </c>
      <c r="S726" s="107">
        <f t="shared" si="6"/>
        <v>7.01</v>
      </c>
      <c r="T726" s="108">
        <f t="shared" si="7"/>
        <v>63.72727273</v>
      </c>
      <c r="U726" s="106">
        <f t="shared" si="8"/>
        <v>0.9845505618</v>
      </c>
      <c r="V726" s="129">
        <f t="shared" si="9"/>
        <v>0.11</v>
      </c>
      <c r="W726" s="109" t="str">
        <f t="shared" si="10"/>
        <v/>
      </c>
      <c r="X726" s="109">
        <f t="shared" si="11"/>
        <v>0.4928315412</v>
      </c>
      <c r="Y726" s="110" t="str">
        <f t="array" ref="Y726">_xlfn.XLOOKUP(A726,'Video Database'!L:L,'Video Database'!M:M,"")</f>
        <v>Product Overlay</v>
      </c>
    </row>
    <row r="727" ht="22.5" customHeight="1">
      <c r="A727" s="113">
        <f t="shared" si="12"/>
        <v>726</v>
      </c>
      <c r="B727" s="98" t="str">
        <f t="array" ref="B727">_xlfn.XLOOKUP(A727,'Video Database'!L:L,'Video Database'!D:D,"")</f>
        <v>Blakely</v>
      </c>
      <c r="C727" s="98" t="str">
        <f t="array" ref="C727">_xlfn.XLOOKUP(A727,'Video Database'!L:L,'Video Database'!E:E,"")</f>
        <v>Account 3</v>
      </c>
      <c r="D727" s="99" t="str">
        <f t="array" ref="D727">_xlfn.XLOOKUP(A727,'Video Database'!L:L,'Video Database'!G:G,"")</f>
        <v>Nooni korean apple lip oil trio</v>
      </c>
      <c r="E727" s="100">
        <f t="array" ref="E727">_xlfn.XLOOKUP(A727,'Video Database'!L:L,'Video Database'!H:H,"")</f>
        <v>0.11</v>
      </c>
      <c r="F727" s="101">
        <v>0.0</v>
      </c>
      <c r="G727" s="87">
        <v>0.0</v>
      </c>
      <c r="H727" s="114">
        <f t="array" ref="H727">_xlfn.XLOOKUP(A727,'Video Database'!L:L,'Video Database'!A:A,"")</f>
        <v>46195</v>
      </c>
      <c r="I727" s="103">
        <v>46201.0</v>
      </c>
      <c r="J727" s="104">
        <v>0.0</v>
      </c>
      <c r="K727" s="105"/>
      <c r="L727" s="105" t="str">
        <f t="shared" si="1"/>
        <v/>
      </c>
      <c r="O727" s="106" t="str">
        <f t="shared" si="2"/>
        <v>#N/A</v>
      </c>
      <c r="P727" s="106" t="str">
        <f t="shared" si="3"/>
        <v>#N/A</v>
      </c>
      <c r="Q727" s="84" t="str">
        <f t="shared" si="4"/>
        <v>#N/A</v>
      </c>
      <c r="R727" s="84" t="str">
        <f t="shared" si="5"/>
        <v>#N/A</v>
      </c>
      <c r="S727" s="107">
        <f t="shared" si="6"/>
        <v>-0.11</v>
      </c>
      <c r="T727" s="108">
        <f t="shared" si="7"/>
        <v>-1</v>
      </c>
      <c r="U727" s="106" t="str">
        <f t="shared" si="8"/>
        <v>#N/A</v>
      </c>
      <c r="V727" s="84" t="str">
        <f t="shared" si="9"/>
        <v/>
      </c>
      <c r="W727" s="109" t="str">
        <f t="shared" si="10"/>
        <v/>
      </c>
      <c r="X727" s="109" t="str">
        <f t="shared" si="11"/>
        <v/>
      </c>
      <c r="Y727" s="110" t="str">
        <f t="array" ref="Y727">_xlfn.XLOOKUP(A727,'Video Database'!L:L,'Video Database'!M:M,"")</f>
        <v>Product Overlay</v>
      </c>
    </row>
    <row r="728" ht="22.5" customHeight="1">
      <c r="A728" s="113">
        <f t="shared" si="12"/>
        <v>727</v>
      </c>
      <c r="B728" s="98" t="str">
        <f t="array" ref="B728">_xlfn.XLOOKUP(A728,'Video Database'!L:L,'Video Database'!D:D,"")</f>
        <v>Blakely</v>
      </c>
      <c r="C728" s="98" t="str">
        <f t="array" ref="C728">_xlfn.XLOOKUP(A728,'Video Database'!L:L,'Video Database'!E:E,"")</f>
        <v>Account 3</v>
      </c>
      <c r="D728" s="99" t="str">
        <f t="array" ref="D728">_xlfn.XLOOKUP(A728,'Video Database'!L:L,'Video Database'!G:G,"")</f>
        <v>JOYMODE Ignite Libido Support</v>
      </c>
      <c r="E728" s="100">
        <f t="array" ref="E728">_xlfn.XLOOKUP(A728,'Video Database'!L:L,'Video Database'!H:H,"")</f>
        <v>0.11</v>
      </c>
      <c r="F728" s="101">
        <v>0.0</v>
      </c>
      <c r="G728" s="87">
        <v>0.0</v>
      </c>
      <c r="H728" s="114">
        <f t="array" ref="H728">_xlfn.XLOOKUP(A728,'Video Database'!L:L,'Video Database'!A:A,"")</f>
        <v>46195</v>
      </c>
      <c r="I728" s="103">
        <v>46201.0</v>
      </c>
      <c r="J728" s="104">
        <v>0.0</v>
      </c>
      <c r="K728" s="105"/>
      <c r="L728" s="105" t="str">
        <f t="shared" si="1"/>
        <v/>
      </c>
      <c r="O728" s="106" t="str">
        <f t="shared" si="2"/>
        <v>#N/A</v>
      </c>
      <c r="P728" s="106" t="str">
        <f t="shared" si="3"/>
        <v>#N/A</v>
      </c>
      <c r="Q728" s="84" t="str">
        <f t="shared" si="4"/>
        <v>#N/A</v>
      </c>
      <c r="R728" s="84" t="str">
        <f t="shared" si="5"/>
        <v>#N/A</v>
      </c>
      <c r="S728" s="107">
        <f t="shared" si="6"/>
        <v>-0.11</v>
      </c>
      <c r="T728" s="108">
        <f t="shared" si="7"/>
        <v>-1</v>
      </c>
      <c r="U728" s="106" t="str">
        <f t="shared" si="8"/>
        <v>#N/A</v>
      </c>
      <c r="V728" s="84" t="str">
        <f t="shared" si="9"/>
        <v/>
      </c>
      <c r="W728" s="109" t="str">
        <f t="shared" si="10"/>
        <v/>
      </c>
      <c r="X728" s="109" t="str">
        <f t="shared" si="11"/>
        <v/>
      </c>
      <c r="Y728" s="110" t="str">
        <f t="array" ref="Y728">_xlfn.XLOOKUP(A728,'Video Database'!L:L,'Video Database'!M:M,"")</f>
        <v>Product Overlay</v>
      </c>
    </row>
    <row r="729" ht="22.5" customHeight="1">
      <c r="A729" s="113">
        <f t="shared" si="12"/>
        <v>728</v>
      </c>
      <c r="B729" s="98" t="str">
        <f t="array" ref="B729">_xlfn.XLOOKUP(A729,'Video Database'!L:L,'Video Database'!D:D,"")</f>
        <v>Blakely</v>
      </c>
      <c r="C729" s="98" t="str">
        <f t="array" ref="C729">_xlfn.XLOOKUP(A729,'Video Database'!L:L,'Video Database'!E:E,"")</f>
        <v>Account 3</v>
      </c>
      <c r="D729" s="99" t="str">
        <f t="array" ref="D729">_xlfn.XLOOKUP(A729,'Video Database'!L:L,'Video Database'!G:G,"")</f>
        <v>BrainMD Peak Energy</v>
      </c>
      <c r="E729" s="100">
        <f t="array" ref="E729">_xlfn.XLOOKUP(A729,'Video Database'!L:L,'Video Database'!H:H,"")</f>
        <v>0.11</v>
      </c>
      <c r="F729" s="101">
        <v>0.0</v>
      </c>
      <c r="G729" s="87">
        <v>0.0</v>
      </c>
      <c r="H729" s="114">
        <f t="array" ref="H729">_xlfn.XLOOKUP(A729,'Video Database'!L:L,'Video Database'!A:A,"")</f>
        <v>46195</v>
      </c>
      <c r="I729" s="103">
        <v>46201.0</v>
      </c>
      <c r="J729" s="104">
        <v>0.0</v>
      </c>
      <c r="K729" s="105"/>
      <c r="L729" s="105" t="str">
        <f t="shared" si="1"/>
        <v/>
      </c>
      <c r="O729" s="106" t="str">
        <f t="shared" si="2"/>
        <v>#N/A</v>
      </c>
      <c r="P729" s="106" t="str">
        <f t="shared" si="3"/>
        <v>#N/A</v>
      </c>
      <c r="Q729" s="84" t="str">
        <f t="shared" si="4"/>
        <v>#N/A</v>
      </c>
      <c r="R729" s="84" t="str">
        <f t="shared" si="5"/>
        <v>#N/A</v>
      </c>
      <c r="S729" s="107">
        <f t="shared" si="6"/>
        <v>-0.11</v>
      </c>
      <c r="T729" s="108">
        <f t="shared" si="7"/>
        <v>-1</v>
      </c>
      <c r="U729" s="106" t="str">
        <f t="shared" si="8"/>
        <v>#N/A</v>
      </c>
      <c r="V729" s="84" t="str">
        <f t="shared" si="9"/>
        <v/>
      </c>
      <c r="W729" s="109" t="str">
        <f t="shared" si="10"/>
        <v/>
      </c>
      <c r="X729" s="109" t="str">
        <f t="shared" si="11"/>
        <v/>
      </c>
      <c r="Y729" s="110" t="str">
        <f t="array" ref="Y729">_xlfn.XLOOKUP(A729,'Video Database'!L:L,'Video Database'!M:M,"")</f>
        <v>Product Overlay</v>
      </c>
    </row>
    <row r="730" ht="22.5" customHeight="1">
      <c r="A730" s="113">
        <f t="shared" si="12"/>
        <v>729</v>
      </c>
      <c r="B730" s="98" t="str">
        <f t="array" ref="B730">_xlfn.XLOOKUP(A730,'Video Database'!L:L,'Video Database'!D:D,"")</f>
        <v>Blakely</v>
      </c>
      <c r="C730" s="98" t="str">
        <f t="array" ref="C730">_xlfn.XLOOKUP(A730,'Video Database'!L:L,'Video Database'!E:E,"")</f>
        <v>Account 3</v>
      </c>
      <c r="D730" s="99" t="str">
        <f t="array" ref="D730">_xlfn.XLOOKUP(A730,'Video Database'!L:L,'Video Database'!G:G,"")</f>
        <v>BrainMD Peak Energy</v>
      </c>
      <c r="E730" s="100">
        <f t="array" ref="E730">_xlfn.XLOOKUP(A730,'Video Database'!L:L,'Video Database'!H:H,"")</f>
        <v>0.11</v>
      </c>
      <c r="F730" s="101">
        <v>0.0</v>
      </c>
      <c r="G730" s="87">
        <v>0.0</v>
      </c>
      <c r="H730" s="114">
        <f t="array" ref="H730">_xlfn.XLOOKUP(A730,'Video Database'!L:L,'Video Database'!A:A,"")</f>
        <v>46195</v>
      </c>
      <c r="I730" s="103">
        <v>46201.0</v>
      </c>
      <c r="J730" s="104">
        <v>0.0</v>
      </c>
      <c r="K730" s="105"/>
      <c r="L730" s="105" t="str">
        <f t="shared" si="1"/>
        <v/>
      </c>
      <c r="O730" s="106" t="str">
        <f t="shared" si="2"/>
        <v>#N/A</v>
      </c>
      <c r="P730" s="106" t="str">
        <f t="shared" si="3"/>
        <v>#N/A</v>
      </c>
      <c r="Q730" s="84" t="str">
        <f t="shared" si="4"/>
        <v>#N/A</v>
      </c>
      <c r="R730" s="84" t="str">
        <f t="shared" si="5"/>
        <v>#N/A</v>
      </c>
      <c r="S730" s="107">
        <f t="shared" si="6"/>
        <v>-0.11</v>
      </c>
      <c r="T730" s="108">
        <f t="shared" si="7"/>
        <v>-1</v>
      </c>
      <c r="U730" s="106" t="str">
        <f t="shared" si="8"/>
        <v>#N/A</v>
      </c>
      <c r="V730" s="84" t="str">
        <f t="shared" si="9"/>
        <v/>
      </c>
      <c r="W730" s="109" t="str">
        <f t="shared" si="10"/>
        <v/>
      </c>
      <c r="X730" s="109" t="str">
        <f t="shared" si="11"/>
        <v/>
      </c>
      <c r="Y730" s="110" t="str">
        <f t="array" ref="Y730">_xlfn.XLOOKUP(A730,'Video Database'!L:L,'Video Database'!M:M,"")</f>
        <v>Product Overlay</v>
      </c>
    </row>
    <row r="731" ht="22.5" customHeight="1">
      <c r="A731" s="113">
        <f t="shared" si="12"/>
        <v>730</v>
      </c>
      <c r="B731" s="98" t="str">
        <f t="array" ref="B731">_xlfn.XLOOKUP(A731,'Video Database'!L:L,'Video Database'!D:D,"")</f>
        <v>Blakely</v>
      </c>
      <c r="C731" s="98" t="str">
        <f t="array" ref="C731">_xlfn.XLOOKUP(A731,'Video Database'!L:L,'Video Database'!E:E,"")</f>
        <v>Account 3</v>
      </c>
      <c r="D731" s="99" t="str">
        <f t="array" ref="D731">_xlfn.XLOOKUP(A731,'Video Database'!L:L,'Video Database'!G:G,"")</f>
        <v>Vimergy Organic Lemon Balm</v>
      </c>
      <c r="E731" s="100">
        <f t="array" ref="E731">_xlfn.XLOOKUP(A731,'Video Database'!L:L,'Video Database'!H:H,"")</f>
        <v>0.11</v>
      </c>
      <c r="F731" s="101">
        <v>0.0</v>
      </c>
      <c r="G731" s="87">
        <v>0.0</v>
      </c>
      <c r="H731" s="114">
        <f t="array" ref="H731">_xlfn.XLOOKUP(A731,'Video Database'!L:L,'Video Database'!A:A,"")</f>
        <v>46195</v>
      </c>
      <c r="I731" s="103">
        <v>46201.0</v>
      </c>
      <c r="J731" s="104">
        <v>0.0</v>
      </c>
      <c r="K731" s="105"/>
      <c r="L731" s="105" t="str">
        <f t="shared" si="1"/>
        <v/>
      </c>
      <c r="O731" s="106" t="str">
        <f t="shared" si="2"/>
        <v>#N/A</v>
      </c>
      <c r="P731" s="106" t="str">
        <f t="shared" si="3"/>
        <v>#N/A</v>
      </c>
      <c r="Q731" s="84" t="str">
        <f t="shared" si="4"/>
        <v>#N/A</v>
      </c>
      <c r="R731" s="84" t="str">
        <f t="shared" si="5"/>
        <v>#N/A</v>
      </c>
      <c r="S731" s="107">
        <f t="shared" si="6"/>
        <v>-0.11</v>
      </c>
      <c r="T731" s="108">
        <f t="shared" si="7"/>
        <v>-1</v>
      </c>
      <c r="U731" s="106" t="str">
        <f t="shared" si="8"/>
        <v>#N/A</v>
      </c>
      <c r="V731" s="84" t="str">
        <f t="shared" si="9"/>
        <v/>
      </c>
      <c r="W731" s="109" t="str">
        <f t="shared" si="10"/>
        <v/>
      </c>
      <c r="X731" s="109" t="str">
        <f t="shared" si="11"/>
        <v/>
      </c>
      <c r="Y731" s="110" t="str">
        <f t="array" ref="Y731">_xlfn.XLOOKUP(A731,'Video Database'!L:L,'Video Database'!M:M,"")</f>
        <v>Product Overlay</v>
      </c>
    </row>
    <row r="732" ht="22.5" customHeight="1">
      <c r="A732" s="113">
        <f t="shared" si="12"/>
        <v>731</v>
      </c>
      <c r="B732" s="98" t="str">
        <f t="array" ref="B732">_xlfn.XLOOKUP(A732,'Video Database'!L:L,'Video Database'!D:D,"")</f>
        <v>Brittney</v>
      </c>
      <c r="C732" s="98" t="str">
        <f t="array" ref="C732">_xlfn.XLOOKUP(A732,'Video Database'!L:L,'Video Database'!E:E,"")</f>
        <v>Account 3</v>
      </c>
      <c r="D732" s="99" t="str">
        <f t="array" ref="D732">_xlfn.XLOOKUP(A732,'Video Database'!L:L,'Video Database'!G:G,"")</f>
        <v>Gruns Greens Popsicle Firecracker Gummies</v>
      </c>
      <c r="E732" s="100">
        <f t="array" ref="E732">_xlfn.XLOOKUP(A732,'Video Database'!L:L,'Video Database'!H:H,"")</f>
        <v>0.11</v>
      </c>
      <c r="F732" s="101">
        <v>0.0</v>
      </c>
      <c r="G732" s="87">
        <v>0.0</v>
      </c>
      <c r="H732" s="114">
        <f t="array" ref="H732">_xlfn.XLOOKUP(A732,'Video Database'!L:L,'Video Database'!A:A,"")</f>
        <v>46195</v>
      </c>
      <c r="I732" s="103">
        <v>46201.0</v>
      </c>
      <c r="J732" s="104">
        <v>0.0</v>
      </c>
      <c r="K732" s="105"/>
      <c r="L732" s="105" t="str">
        <f t="shared" si="1"/>
        <v/>
      </c>
      <c r="O732" s="106" t="str">
        <f t="shared" si="2"/>
        <v>#N/A</v>
      </c>
      <c r="P732" s="106" t="str">
        <f t="shared" si="3"/>
        <v>#N/A</v>
      </c>
      <c r="Q732" s="84" t="str">
        <f t="shared" si="4"/>
        <v>#N/A</v>
      </c>
      <c r="R732" s="84" t="str">
        <f t="shared" si="5"/>
        <v>#N/A</v>
      </c>
      <c r="S732" s="107">
        <f t="shared" si="6"/>
        <v>-0.11</v>
      </c>
      <c r="T732" s="108">
        <f t="shared" si="7"/>
        <v>-1</v>
      </c>
      <c r="U732" s="106" t="str">
        <f t="shared" si="8"/>
        <v>#N/A</v>
      </c>
      <c r="V732" s="84" t="str">
        <f t="shared" si="9"/>
        <v/>
      </c>
      <c r="W732" s="109" t="str">
        <f t="shared" si="10"/>
        <v/>
      </c>
      <c r="X732" s="109" t="str">
        <f t="shared" si="11"/>
        <v/>
      </c>
      <c r="Y732" s="110" t="str">
        <f t="array" ref="Y732">_xlfn.XLOOKUP(A732,'Video Database'!L:L,'Video Database'!M:M,"")</f>
        <v>Product Overlay</v>
      </c>
    </row>
    <row r="733" ht="22.5" customHeight="1">
      <c r="A733" s="113">
        <f t="shared" si="12"/>
        <v>732</v>
      </c>
      <c r="B733" s="98" t="str">
        <f t="array" ref="B733">_xlfn.XLOOKUP(A733,'Video Database'!L:L,'Video Database'!D:D,"")</f>
        <v>Brittney</v>
      </c>
      <c r="C733" s="98" t="str">
        <f t="array" ref="C733">_xlfn.XLOOKUP(A733,'Video Database'!L:L,'Video Database'!E:E,"")</f>
        <v>Account 4</v>
      </c>
      <c r="D733" s="99" t="str">
        <f t="array" ref="D733">_xlfn.XLOOKUP(A733,'Video Database'!L:L,'Video Database'!G:G,"")</f>
        <v>Gruns Greens Popsicle Firecracker Gummies</v>
      </c>
      <c r="E733" s="100">
        <f t="array" ref="E733">_xlfn.XLOOKUP(A733,'Video Database'!L:L,'Video Database'!H:H,"")</f>
        <v>0.11</v>
      </c>
      <c r="F733" s="101">
        <v>0.0</v>
      </c>
      <c r="G733" s="87">
        <v>0.0</v>
      </c>
      <c r="H733" s="114">
        <f t="array" ref="H733">_xlfn.XLOOKUP(A733,'Video Database'!L:L,'Video Database'!A:A,"")</f>
        <v>46195</v>
      </c>
      <c r="I733" s="103">
        <v>46201.0</v>
      </c>
      <c r="J733" s="104">
        <v>0.0</v>
      </c>
      <c r="K733" s="105"/>
      <c r="L733" s="105" t="str">
        <f t="shared" si="1"/>
        <v/>
      </c>
      <c r="O733" s="106" t="str">
        <f t="shared" si="2"/>
        <v>#N/A</v>
      </c>
      <c r="P733" s="106" t="str">
        <f t="shared" si="3"/>
        <v>#N/A</v>
      </c>
      <c r="Q733" s="84" t="str">
        <f t="shared" si="4"/>
        <v>#N/A</v>
      </c>
      <c r="R733" s="84" t="str">
        <f t="shared" si="5"/>
        <v>#N/A</v>
      </c>
      <c r="S733" s="107">
        <f t="shared" si="6"/>
        <v>-0.11</v>
      </c>
      <c r="T733" s="108">
        <f t="shared" si="7"/>
        <v>-1</v>
      </c>
      <c r="U733" s="106" t="str">
        <f t="shared" si="8"/>
        <v>#N/A</v>
      </c>
      <c r="V733" s="84" t="str">
        <f t="shared" si="9"/>
        <v/>
      </c>
      <c r="W733" s="109" t="str">
        <f t="shared" si="10"/>
        <v/>
      </c>
      <c r="X733" s="109" t="str">
        <f t="shared" si="11"/>
        <v/>
      </c>
      <c r="Y733" s="110" t="str">
        <f t="array" ref="Y733">_xlfn.XLOOKUP(A733,'Video Database'!L:L,'Video Database'!M:M,"")</f>
        <v>Bottom of Funnel</v>
      </c>
    </row>
    <row r="734" ht="22.5" customHeight="1">
      <c r="A734" s="113">
        <f t="shared" si="12"/>
        <v>733</v>
      </c>
      <c r="B734" s="98" t="str">
        <f t="array" ref="B734">_xlfn.XLOOKUP(A734,'Video Database'!L:L,'Video Database'!D:D,"")</f>
        <v>Brittney</v>
      </c>
      <c r="C734" s="98" t="str">
        <f t="array" ref="C734">_xlfn.XLOOKUP(A734,'Video Database'!L:L,'Video Database'!E:E,"")</f>
        <v>Account 4</v>
      </c>
      <c r="D734" s="99" t="str">
        <f t="array" ref="D734">_xlfn.XLOOKUP(A734,'Video Database'!L:L,'Video Database'!G:G,"")</f>
        <v>Gruns Greens Popsicle Firecracker Gummies</v>
      </c>
      <c r="E734" s="100">
        <f t="array" ref="E734">_xlfn.XLOOKUP(A734,'Video Database'!L:L,'Video Database'!H:H,"")</f>
        <v>0.11</v>
      </c>
      <c r="F734" s="101">
        <v>0.0</v>
      </c>
      <c r="G734" s="87">
        <v>0.0</v>
      </c>
      <c r="H734" s="114">
        <f t="array" ref="H734">_xlfn.XLOOKUP(A734,'Video Database'!L:L,'Video Database'!A:A,"")</f>
        <v>46195</v>
      </c>
      <c r="I734" s="103">
        <v>46201.0</v>
      </c>
      <c r="J734" s="104">
        <v>0.0</v>
      </c>
      <c r="K734" s="105"/>
      <c r="L734" s="105" t="str">
        <f t="shared" si="1"/>
        <v/>
      </c>
      <c r="O734" s="106" t="str">
        <f t="shared" si="2"/>
        <v>#N/A</v>
      </c>
      <c r="P734" s="106" t="str">
        <f t="shared" si="3"/>
        <v>#N/A</v>
      </c>
      <c r="Q734" s="84" t="str">
        <f t="shared" si="4"/>
        <v>#N/A</v>
      </c>
      <c r="R734" s="84" t="str">
        <f t="shared" si="5"/>
        <v>#N/A</v>
      </c>
      <c r="S734" s="107">
        <f t="shared" si="6"/>
        <v>-0.11</v>
      </c>
      <c r="T734" s="108">
        <f t="shared" si="7"/>
        <v>-1</v>
      </c>
      <c r="U734" s="106" t="str">
        <f t="shared" si="8"/>
        <v>#N/A</v>
      </c>
      <c r="V734" s="84" t="str">
        <f t="shared" si="9"/>
        <v/>
      </c>
      <c r="W734" s="109" t="str">
        <f t="shared" si="10"/>
        <v/>
      </c>
      <c r="X734" s="109" t="str">
        <f t="shared" si="11"/>
        <v/>
      </c>
      <c r="Y734" s="110" t="str">
        <f t="array" ref="Y734">_xlfn.XLOOKUP(A734,'Video Database'!L:L,'Video Database'!M:M,"")</f>
        <v>Bottom of Funnel</v>
      </c>
    </row>
    <row r="735" ht="22.5" customHeight="1">
      <c r="A735" s="113">
        <f t="shared" si="12"/>
        <v>734</v>
      </c>
      <c r="B735" s="98" t="str">
        <f t="array" ref="B735">_xlfn.XLOOKUP(A735,'Video Database'!L:L,'Video Database'!D:D,"")</f>
        <v>Brittney</v>
      </c>
      <c r="C735" s="98" t="str">
        <f t="array" ref="C735">_xlfn.XLOOKUP(A735,'Video Database'!L:L,'Video Database'!E:E,"")</f>
        <v>Account 4</v>
      </c>
      <c r="D735" s="99" t="str">
        <f t="array" ref="D735">_xlfn.XLOOKUP(A735,'Video Database'!L:L,'Video Database'!G:G,"")</f>
        <v>Gruns Greens Popsicle Firecracker Gummies</v>
      </c>
      <c r="E735" s="100">
        <f t="array" ref="E735">_xlfn.XLOOKUP(A735,'Video Database'!L:L,'Video Database'!H:H,"")</f>
        <v>0.11</v>
      </c>
      <c r="F735" s="101">
        <v>157.61</v>
      </c>
      <c r="G735" s="87">
        <v>4.0</v>
      </c>
      <c r="H735" s="114">
        <f t="array" ref="H735">_xlfn.XLOOKUP(A735,'Video Database'!L:L,'Video Database'!A:A,"")</f>
        <v>46195</v>
      </c>
      <c r="I735" s="103">
        <v>46201.0</v>
      </c>
      <c r="J735" s="104">
        <v>8.59</v>
      </c>
      <c r="K735" s="87">
        <v>135.0</v>
      </c>
      <c r="L735" s="105">
        <f t="shared" si="1"/>
        <v>4700</v>
      </c>
      <c r="M735" s="87">
        <v>4700.0</v>
      </c>
      <c r="O735" s="106">
        <f t="shared" si="2"/>
        <v>0.02872340426</v>
      </c>
      <c r="P735" s="106">
        <f t="shared" si="3"/>
        <v>0.02962962963</v>
      </c>
      <c r="Q735" s="84">
        <f t="shared" si="4"/>
        <v>2.1475</v>
      </c>
      <c r="R735" s="84">
        <f t="shared" si="5"/>
        <v>39.4025</v>
      </c>
      <c r="S735" s="107">
        <f t="shared" si="6"/>
        <v>8.48</v>
      </c>
      <c r="T735" s="108">
        <f t="shared" si="7"/>
        <v>77.09090909</v>
      </c>
      <c r="U735" s="106">
        <f t="shared" si="8"/>
        <v>0.9871944121</v>
      </c>
      <c r="V735" s="129">
        <f t="shared" si="9"/>
        <v>0.0275</v>
      </c>
      <c r="W735" s="109">
        <f t="shared" si="10"/>
        <v>0.0008148148148</v>
      </c>
      <c r="X735" s="109">
        <f t="shared" si="11"/>
        <v>0.06979252585</v>
      </c>
      <c r="Y735" s="110" t="str">
        <f t="array" ref="Y735">_xlfn.XLOOKUP(A735,'Video Database'!L:L,'Video Database'!M:M,"")</f>
        <v>Product Overlay</v>
      </c>
    </row>
    <row r="736" ht="22.5" customHeight="1">
      <c r="A736" s="113">
        <f t="shared" si="12"/>
        <v>735</v>
      </c>
      <c r="B736" s="98" t="str">
        <f t="array" ref="B736">_xlfn.XLOOKUP(A736,'Video Database'!L:L,'Video Database'!D:D,"")</f>
        <v>Brittney</v>
      </c>
      <c r="C736" s="98" t="str">
        <f t="array" ref="C736">_xlfn.XLOOKUP(A736,'Video Database'!L:L,'Video Database'!E:E,"")</f>
        <v>Account 4</v>
      </c>
      <c r="D736" s="99" t="str">
        <f t="array" ref="D736">_xlfn.XLOOKUP(A736,'Video Database'!L:L,'Video Database'!G:G,"")</f>
        <v>Gruns Greens Popsicle Firecracker Gummies</v>
      </c>
      <c r="E736" s="100">
        <f t="array" ref="E736">_xlfn.XLOOKUP(A736,'Video Database'!L:L,'Video Database'!H:H,"")</f>
        <v>0.11</v>
      </c>
      <c r="F736" s="101">
        <v>0.0</v>
      </c>
      <c r="G736" s="87">
        <v>0.0</v>
      </c>
      <c r="H736" s="114">
        <f t="array" ref="H736">_xlfn.XLOOKUP(A736,'Video Database'!L:L,'Video Database'!A:A,"")</f>
        <v>46195</v>
      </c>
      <c r="I736" s="103">
        <v>46201.0</v>
      </c>
      <c r="J736" s="104">
        <v>0.0</v>
      </c>
      <c r="K736" s="105"/>
      <c r="L736" s="105" t="str">
        <f t="shared" si="1"/>
        <v/>
      </c>
      <c r="O736" s="106" t="str">
        <f t="shared" si="2"/>
        <v>#N/A</v>
      </c>
      <c r="P736" s="106" t="str">
        <f t="shared" si="3"/>
        <v>#N/A</v>
      </c>
      <c r="Q736" s="84" t="str">
        <f t="shared" si="4"/>
        <v>#N/A</v>
      </c>
      <c r="R736" s="84" t="str">
        <f t="shared" si="5"/>
        <v>#N/A</v>
      </c>
      <c r="S736" s="107">
        <f t="shared" si="6"/>
        <v>-0.11</v>
      </c>
      <c r="T736" s="108">
        <f t="shared" si="7"/>
        <v>-1</v>
      </c>
      <c r="U736" s="106" t="str">
        <f t="shared" si="8"/>
        <v>#N/A</v>
      </c>
      <c r="V736" s="84" t="str">
        <f t="shared" si="9"/>
        <v/>
      </c>
      <c r="W736" s="109" t="str">
        <f t="shared" si="10"/>
        <v/>
      </c>
      <c r="X736" s="109" t="str">
        <f t="shared" si="11"/>
        <v/>
      </c>
      <c r="Y736" s="110" t="str">
        <f t="array" ref="Y736">_xlfn.XLOOKUP(A736,'Video Database'!L:L,'Video Database'!M:M,"")</f>
        <v>Bottom of Funnel</v>
      </c>
    </row>
    <row r="737" ht="22.5" customHeight="1">
      <c r="A737" s="113">
        <f t="shared" si="12"/>
        <v>736</v>
      </c>
      <c r="B737" s="98" t="str">
        <f t="array" ref="B737">_xlfn.XLOOKUP(A737,'Video Database'!L:L,'Video Database'!D:D,"")</f>
        <v>Brittney</v>
      </c>
      <c r="C737" s="98" t="str">
        <f t="array" ref="C737">_xlfn.XLOOKUP(A737,'Video Database'!L:L,'Video Database'!E:E,"")</f>
        <v>Account 4</v>
      </c>
      <c r="D737" s="99" t="str">
        <f t="array" ref="D737">_xlfn.XLOOKUP(A737,'Video Database'!L:L,'Video Database'!G:G,"")</f>
        <v>Gruns Greens Popsicle Firecracker Gummies</v>
      </c>
      <c r="E737" s="100">
        <f t="array" ref="E737">_xlfn.XLOOKUP(A737,'Video Database'!L:L,'Video Database'!H:H,"")</f>
        <v>0.11</v>
      </c>
      <c r="F737" s="101">
        <v>0.0</v>
      </c>
      <c r="G737" s="87">
        <v>0.0</v>
      </c>
      <c r="H737" s="114">
        <f t="array" ref="H737">_xlfn.XLOOKUP(A737,'Video Database'!L:L,'Video Database'!A:A,"")</f>
        <v>46195</v>
      </c>
      <c r="I737" s="103">
        <v>46201.0</v>
      </c>
      <c r="J737" s="104">
        <v>0.0</v>
      </c>
      <c r="K737" s="105"/>
      <c r="L737" s="105" t="str">
        <f t="shared" si="1"/>
        <v/>
      </c>
      <c r="O737" s="106" t="str">
        <f t="shared" si="2"/>
        <v>#N/A</v>
      </c>
      <c r="P737" s="106" t="str">
        <f t="shared" si="3"/>
        <v>#N/A</v>
      </c>
      <c r="Q737" s="84" t="str">
        <f t="shared" si="4"/>
        <v>#N/A</v>
      </c>
      <c r="R737" s="84" t="str">
        <f t="shared" si="5"/>
        <v>#N/A</v>
      </c>
      <c r="S737" s="107">
        <f t="shared" si="6"/>
        <v>-0.11</v>
      </c>
      <c r="T737" s="108">
        <f t="shared" si="7"/>
        <v>-1</v>
      </c>
      <c r="U737" s="106" t="str">
        <f t="shared" si="8"/>
        <v>#N/A</v>
      </c>
      <c r="V737" s="84" t="str">
        <f t="shared" si="9"/>
        <v/>
      </c>
      <c r="W737" s="109" t="str">
        <f t="shared" si="10"/>
        <v/>
      </c>
      <c r="X737" s="109" t="str">
        <f t="shared" si="11"/>
        <v/>
      </c>
      <c r="Y737" s="110" t="str">
        <f t="array" ref="Y737">_xlfn.XLOOKUP(A737,'Video Database'!L:L,'Video Database'!M:M,"")</f>
        <v>Bottom of Funnel</v>
      </c>
    </row>
    <row r="738" ht="22.5" customHeight="1">
      <c r="A738" s="113">
        <f t="shared" si="12"/>
        <v>737</v>
      </c>
      <c r="B738" s="98" t="str">
        <f t="array" ref="B738">_xlfn.XLOOKUP(A738,'Video Database'!L:L,'Video Database'!D:D,"")</f>
        <v>Blakely</v>
      </c>
      <c r="C738" s="98" t="str">
        <f t="array" ref="C738">_xlfn.XLOOKUP(A738,'Video Database'!L:L,'Video Database'!E:E,"")</f>
        <v>Account 4</v>
      </c>
      <c r="D738" s="99" t="str">
        <f t="array" ref="D738">_xlfn.XLOOKUP(A738,'Video Database'!L:L,'Video Database'!G:G,"")</f>
        <v>Fillo's Walking Tamales Variety Pack</v>
      </c>
      <c r="E738" s="100">
        <f t="array" ref="E738">_xlfn.XLOOKUP(A738,'Video Database'!L:L,'Video Database'!H:H,"")</f>
        <v>0.11</v>
      </c>
      <c r="F738" s="101">
        <v>0.0</v>
      </c>
      <c r="G738" s="87">
        <v>0.0</v>
      </c>
      <c r="H738" s="114">
        <f t="array" ref="H738">_xlfn.XLOOKUP(A738,'Video Database'!L:L,'Video Database'!A:A,"")</f>
        <v>46195</v>
      </c>
      <c r="I738" s="103">
        <v>46201.0</v>
      </c>
      <c r="J738" s="104">
        <v>0.0</v>
      </c>
      <c r="K738" s="105"/>
      <c r="L738" s="105" t="str">
        <f t="shared" si="1"/>
        <v/>
      </c>
      <c r="O738" s="106" t="str">
        <f t="shared" si="2"/>
        <v>#N/A</v>
      </c>
      <c r="P738" s="106" t="str">
        <f t="shared" si="3"/>
        <v>#N/A</v>
      </c>
      <c r="Q738" s="84" t="str">
        <f t="shared" si="4"/>
        <v>#N/A</v>
      </c>
      <c r="R738" s="84" t="str">
        <f t="shared" si="5"/>
        <v>#N/A</v>
      </c>
      <c r="S738" s="107">
        <f t="shared" si="6"/>
        <v>-0.11</v>
      </c>
      <c r="T738" s="108">
        <f t="shared" si="7"/>
        <v>-1</v>
      </c>
      <c r="U738" s="106" t="str">
        <f t="shared" si="8"/>
        <v>#N/A</v>
      </c>
      <c r="V738" s="84" t="str">
        <f t="shared" si="9"/>
        <v/>
      </c>
      <c r="W738" s="109" t="str">
        <f t="shared" si="10"/>
        <v/>
      </c>
      <c r="X738" s="109" t="str">
        <f t="shared" si="11"/>
        <v/>
      </c>
      <c r="Y738" s="110" t="str">
        <f t="array" ref="Y738">_xlfn.XLOOKUP(A738,'Video Database'!L:L,'Video Database'!M:M,"")</f>
        <v>Product Overlay</v>
      </c>
    </row>
    <row r="739" ht="22.5" customHeight="1">
      <c r="A739" s="113">
        <f t="shared" si="12"/>
        <v>738</v>
      </c>
      <c r="B739" s="98" t="str">
        <f t="array" ref="B739">_xlfn.XLOOKUP(A739,'Video Database'!L:L,'Video Database'!D:D,"")</f>
        <v>Blakely</v>
      </c>
      <c r="C739" s="98" t="str">
        <f t="array" ref="C739">_xlfn.XLOOKUP(A739,'Video Database'!L:L,'Video Database'!E:E,"")</f>
        <v>Account 4</v>
      </c>
      <c r="D739" s="99" t="str">
        <f t="array" ref="D739">_xlfn.XLOOKUP(A739,'Video Database'!L:L,'Video Database'!G:G,"")</f>
        <v>BrainMD L-Theanine Gummies</v>
      </c>
      <c r="E739" s="100">
        <f t="array" ref="E739">_xlfn.XLOOKUP(A739,'Video Database'!L:L,'Video Database'!H:H,"")</f>
        <v>0.11</v>
      </c>
      <c r="F739" s="101">
        <v>0.0</v>
      </c>
      <c r="G739" s="87">
        <v>0.0</v>
      </c>
      <c r="H739" s="114">
        <f t="array" ref="H739">_xlfn.XLOOKUP(A739,'Video Database'!L:L,'Video Database'!A:A,"")</f>
        <v>46195</v>
      </c>
      <c r="I739" s="103">
        <v>46201.0</v>
      </c>
      <c r="J739" s="104">
        <v>0.0</v>
      </c>
      <c r="K739" s="105"/>
      <c r="L739" s="105" t="str">
        <f t="shared" si="1"/>
        <v/>
      </c>
      <c r="O739" s="106" t="str">
        <f t="shared" si="2"/>
        <v>#N/A</v>
      </c>
      <c r="P739" s="106" t="str">
        <f t="shared" si="3"/>
        <v>#N/A</v>
      </c>
      <c r="Q739" s="84" t="str">
        <f t="shared" si="4"/>
        <v>#N/A</v>
      </c>
      <c r="R739" s="84" t="str">
        <f t="shared" si="5"/>
        <v>#N/A</v>
      </c>
      <c r="S739" s="107">
        <f t="shared" si="6"/>
        <v>-0.11</v>
      </c>
      <c r="T739" s="108">
        <f t="shared" si="7"/>
        <v>-1</v>
      </c>
      <c r="U739" s="106" t="str">
        <f t="shared" si="8"/>
        <v>#N/A</v>
      </c>
      <c r="V739" s="84" t="str">
        <f t="shared" si="9"/>
        <v/>
      </c>
      <c r="W739" s="109" t="str">
        <f t="shared" si="10"/>
        <v/>
      </c>
      <c r="X739" s="109" t="str">
        <f t="shared" si="11"/>
        <v/>
      </c>
      <c r="Y739" s="110" t="str">
        <f t="array" ref="Y739">_xlfn.XLOOKUP(A739,'Video Database'!L:L,'Video Database'!M:M,"")</f>
        <v>Product Overlay</v>
      </c>
    </row>
    <row r="740" ht="22.5" customHeight="1">
      <c r="A740" s="113">
        <f t="shared" si="12"/>
        <v>739</v>
      </c>
      <c r="B740" s="98" t="str">
        <f t="array" ref="B740">_xlfn.XLOOKUP(A740,'Video Database'!L:L,'Video Database'!D:D,"")</f>
        <v>Blakely</v>
      </c>
      <c r="C740" s="98" t="str">
        <f t="array" ref="C740">_xlfn.XLOOKUP(A740,'Video Database'!L:L,'Video Database'!E:E,"")</f>
        <v>Account 4</v>
      </c>
      <c r="D740" s="99" t="str">
        <f t="array" ref="D740">_xlfn.XLOOKUP(A740,'Video Database'!L:L,'Video Database'!G:G,"")</f>
        <v>BIGVITA Hair +</v>
      </c>
      <c r="E740" s="100">
        <f t="array" ref="E740">_xlfn.XLOOKUP(A740,'Video Database'!L:L,'Video Database'!H:H,"")</f>
        <v>0.11</v>
      </c>
      <c r="F740" s="101">
        <v>0.0</v>
      </c>
      <c r="G740" s="87">
        <v>0.0</v>
      </c>
      <c r="H740" s="114">
        <f t="array" ref="H740">_xlfn.XLOOKUP(A740,'Video Database'!L:L,'Video Database'!A:A,"")</f>
        <v>46195</v>
      </c>
      <c r="I740" s="103">
        <v>46201.0</v>
      </c>
      <c r="J740" s="104">
        <v>0.0</v>
      </c>
      <c r="K740" s="105"/>
      <c r="L740" s="105" t="str">
        <f t="shared" si="1"/>
        <v/>
      </c>
      <c r="O740" s="106" t="str">
        <f t="shared" si="2"/>
        <v>#N/A</v>
      </c>
      <c r="P740" s="106" t="str">
        <f t="shared" si="3"/>
        <v>#N/A</v>
      </c>
      <c r="Q740" s="84" t="str">
        <f t="shared" si="4"/>
        <v>#N/A</v>
      </c>
      <c r="R740" s="84" t="str">
        <f t="shared" si="5"/>
        <v>#N/A</v>
      </c>
      <c r="S740" s="107">
        <f t="shared" si="6"/>
        <v>-0.11</v>
      </c>
      <c r="T740" s="108">
        <f t="shared" si="7"/>
        <v>-1</v>
      </c>
      <c r="U740" s="106" t="str">
        <f t="shared" si="8"/>
        <v>#N/A</v>
      </c>
      <c r="V740" s="84" t="str">
        <f t="shared" si="9"/>
        <v/>
      </c>
      <c r="W740" s="109" t="str">
        <f t="shared" si="10"/>
        <v/>
      </c>
      <c r="X740" s="109" t="str">
        <f t="shared" si="11"/>
        <v/>
      </c>
      <c r="Y740" s="110" t="str">
        <f t="array" ref="Y740">_xlfn.XLOOKUP(A740,'Video Database'!L:L,'Video Database'!M:M,"")</f>
        <v>Product Overlay</v>
      </c>
    </row>
    <row r="741" ht="22.5" customHeight="1">
      <c r="A741" s="113">
        <f t="shared" si="12"/>
        <v>740</v>
      </c>
      <c r="B741" s="98" t="str">
        <f t="array" ref="B741">_xlfn.XLOOKUP(A741,'Video Database'!L:L,'Video Database'!D:D,"")</f>
        <v>Blakely</v>
      </c>
      <c r="C741" s="98" t="str">
        <f t="array" ref="C741">_xlfn.XLOOKUP(A741,'Video Database'!L:L,'Video Database'!E:E,"")</f>
        <v>Account 4</v>
      </c>
      <c r="D741" s="99" t="str">
        <f t="array" ref="D741">_xlfn.XLOOKUP(A741,'Video Database'!L:L,'Video Database'!G:G,"")</f>
        <v>JOYMODE Ignite Libido Support</v>
      </c>
      <c r="E741" s="100">
        <f t="array" ref="E741">_xlfn.XLOOKUP(A741,'Video Database'!L:L,'Video Database'!H:H,"")</f>
        <v>0.11</v>
      </c>
      <c r="F741" s="101">
        <v>35.52</v>
      </c>
      <c r="G741" s="87">
        <v>1.0</v>
      </c>
      <c r="H741" s="114">
        <f t="array" ref="H741">_xlfn.XLOOKUP(A741,'Video Database'!L:L,'Video Database'!A:A,"")</f>
        <v>46195</v>
      </c>
      <c r="I741" s="103">
        <v>46201.0</v>
      </c>
      <c r="J741" s="104">
        <v>1.89</v>
      </c>
      <c r="K741" s="87">
        <v>9.0</v>
      </c>
      <c r="L741" s="105">
        <f t="shared" si="1"/>
        <v>916</v>
      </c>
      <c r="M741" s="87">
        <v>916.0</v>
      </c>
      <c r="O741" s="106">
        <f t="shared" si="2"/>
        <v>0.009825327511</v>
      </c>
      <c r="P741" s="106">
        <f t="shared" si="3"/>
        <v>0.1111111111</v>
      </c>
      <c r="Q741" s="84">
        <f t="shared" si="4"/>
        <v>1.89</v>
      </c>
      <c r="R741" s="84">
        <f t="shared" si="5"/>
        <v>35.52</v>
      </c>
      <c r="S741" s="107">
        <f t="shared" si="6"/>
        <v>1.78</v>
      </c>
      <c r="T741" s="108">
        <f t="shared" si="7"/>
        <v>16.18181818</v>
      </c>
      <c r="U741" s="106">
        <f t="shared" si="8"/>
        <v>0.9417989418</v>
      </c>
      <c r="V741" s="129">
        <f t="shared" si="9"/>
        <v>0.11</v>
      </c>
      <c r="W741" s="109">
        <f t="shared" si="10"/>
        <v>0.01222222222</v>
      </c>
      <c r="X741" s="109">
        <f t="shared" si="11"/>
        <v>0.3096846847</v>
      </c>
      <c r="Y741" s="110" t="str">
        <f t="array" ref="Y741">_xlfn.XLOOKUP(A741,'Video Database'!L:L,'Video Database'!M:M,"")</f>
        <v>Product Overlay</v>
      </c>
    </row>
    <row r="742" ht="22.5" customHeight="1">
      <c r="A742" s="113">
        <f t="shared" si="12"/>
        <v>741</v>
      </c>
      <c r="B742" s="98" t="str">
        <f t="array" ref="B742">_xlfn.XLOOKUP(A742,'Video Database'!L:L,'Video Database'!D:D,"")</f>
        <v>Blakely</v>
      </c>
      <c r="C742" s="98" t="str">
        <f t="array" ref="C742">_xlfn.XLOOKUP(A742,'Video Database'!L:L,'Video Database'!E:E,"")</f>
        <v>Account 4</v>
      </c>
      <c r="D742" s="99" t="str">
        <f t="array" ref="D742">_xlfn.XLOOKUP(A742,'Video Database'!L:L,'Video Database'!G:G,"")</f>
        <v>Swanson Full Spectrum Spearmint Leaf</v>
      </c>
      <c r="E742" s="100">
        <f t="array" ref="E742">_xlfn.XLOOKUP(A742,'Video Database'!L:L,'Video Database'!H:H,"")</f>
        <v>0.11</v>
      </c>
      <c r="F742" s="101">
        <v>0.0</v>
      </c>
      <c r="G742" s="87">
        <v>0.0</v>
      </c>
      <c r="H742" s="114">
        <f t="array" ref="H742">_xlfn.XLOOKUP(A742,'Video Database'!L:L,'Video Database'!A:A,"")</f>
        <v>46195</v>
      </c>
      <c r="I742" s="103">
        <v>46201.0</v>
      </c>
      <c r="J742" s="104">
        <v>0.0</v>
      </c>
      <c r="K742" s="105"/>
      <c r="L742" s="105" t="str">
        <f t="shared" si="1"/>
        <v/>
      </c>
      <c r="O742" s="106" t="str">
        <f t="shared" si="2"/>
        <v>#N/A</v>
      </c>
      <c r="P742" s="106" t="str">
        <f t="shared" si="3"/>
        <v>#N/A</v>
      </c>
      <c r="Q742" s="84" t="str">
        <f t="shared" si="4"/>
        <v>#N/A</v>
      </c>
      <c r="R742" s="84" t="str">
        <f t="shared" si="5"/>
        <v>#N/A</v>
      </c>
      <c r="S742" s="107">
        <f t="shared" si="6"/>
        <v>-0.11</v>
      </c>
      <c r="T742" s="108">
        <f t="shared" si="7"/>
        <v>-1</v>
      </c>
      <c r="U742" s="106" t="str">
        <f t="shared" si="8"/>
        <v>#N/A</v>
      </c>
      <c r="V742" s="84" t="str">
        <f t="shared" si="9"/>
        <v/>
      </c>
      <c r="W742" s="109" t="str">
        <f t="shared" si="10"/>
        <v/>
      </c>
      <c r="X742" s="109" t="str">
        <f t="shared" si="11"/>
        <v/>
      </c>
      <c r="Y742" s="110" t="str">
        <f t="array" ref="Y742">_xlfn.XLOOKUP(A742,'Video Database'!L:L,'Video Database'!M:M,"")</f>
        <v>Product Overlay</v>
      </c>
    </row>
    <row r="743" ht="22.5" customHeight="1">
      <c r="A743" s="113">
        <f t="shared" si="12"/>
        <v>742</v>
      </c>
      <c r="B743" s="98" t="str">
        <f t="array" ref="B743">_xlfn.XLOOKUP(A743,'Video Database'!L:L,'Video Database'!D:D,"")</f>
        <v>Blakely</v>
      </c>
      <c r="C743" s="98" t="str">
        <f t="array" ref="C743">_xlfn.XLOOKUP(A743,'Video Database'!L:L,'Video Database'!E:E,"")</f>
        <v>Account 4</v>
      </c>
      <c r="D743" s="99" t="str">
        <f t="array" ref="D743">_xlfn.XLOOKUP(A743,'Video Database'!L:L,'Video Database'!G:G,"")</f>
        <v>BrainMD Peak Energy</v>
      </c>
      <c r="E743" s="100">
        <f t="array" ref="E743">_xlfn.XLOOKUP(A743,'Video Database'!L:L,'Video Database'!H:H,"")</f>
        <v>0.11</v>
      </c>
      <c r="F743" s="101">
        <v>0.0</v>
      </c>
      <c r="G743" s="87">
        <v>0.0</v>
      </c>
      <c r="H743" s="114">
        <f t="array" ref="H743">_xlfn.XLOOKUP(A743,'Video Database'!L:L,'Video Database'!A:A,"")</f>
        <v>46195</v>
      </c>
      <c r="I743" s="103">
        <v>46201.0</v>
      </c>
      <c r="J743" s="104">
        <v>0.0</v>
      </c>
      <c r="K743" s="105"/>
      <c r="L743" s="105" t="str">
        <f t="shared" si="1"/>
        <v/>
      </c>
      <c r="O743" s="106" t="str">
        <f t="shared" si="2"/>
        <v>#N/A</v>
      </c>
      <c r="P743" s="106" t="str">
        <f t="shared" si="3"/>
        <v>#N/A</v>
      </c>
      <c r="Q743" s="84" t="str">
        <f t="shared" si="4"/>
        <v>#N/A</v>
      </c>
      <c r="R743" s="84" t="str">
        <f t="shared" si="5"/>
        <v>#N/A</v>
      </c>
      <c r="S743" s="107">
        <f t="shared" si="6"/>
        <v>-0.11</v>
      </c>
      <c r="T743" s="108">
        <f t="shared" si="7"/>
        <v>-1</v>
      </c>
      <c r="U743" s="106" t="str">
        <f t="shared" si="8"/>
        <v>#N/A</v>
      </c>
      <c r="V743" s="84" t="str">
        <f t="shared" si="9"/>
        <v/>
      </c>
      <c r="W743" s="109" t="str">
        <f t="shared" si="10"/>
        <v/>
      </c>
      <c r="X743" s="109" t="str">
        <f t="shared" si="11"/>
        <v/>
      </c>
      <c r="Y743" s="110" t="str">
        <f t="array" ref="Y743">_xlfn.XLOOKUP(A743,'Video Database'!L:L,'Video Database'!M:M,"")</f>
        <v>Product Overlay</v>
      </c>
    </row>
    <row r="744" ht="22.5" customHeight="1">
      <c r="A744" s="113">
        <f t="shared" si="12"/>
        <v>743</v>
      </c>
      <c r="B744" s="98" t="str">
        <f t="array" ref="B744">_xlfn.XLOOKUP(A744,'Video Database'!L:L,'Video Database'!D:D,"")</f>
        <v>Blakely</v>
      </c>
      <c r="C744" s="98" t="str">
        <f t="array" ref="C744">_xlfn.XLOOKUP(A744,'Video Database'!L:L,'Video Database'!E:E,"")</f>
        <v>Account 4</v>
      </c>
      <c r="D744" s="99" t="str">
        <f t="array" ref="D744">_xlfn.XLOOKUP(A744,'Video Database'!L:L,'Video Database'!G:G,"")</f>
        <v>tarte smoldereyes shadow liner duo</v>
      </c>
      <c r="E744" s="100">
        <f t="array" ref="E744">_xlfn.XLOOKUP(A744,'Video Database'!L:L,'Video Database'!H:H,"")</f>
        <v>0.11</v>
      </c>
      <c r="F744" s="101">
        <v>0.0</v>
      </c>
      <c r="G744" s="87">
        <v>0.0</v>
      </c>
      <c r="H744" s="114">
        <f t="array" ref="H744">_xlfn.XLOOKUP(A744,'Video Database'!L:L,'Video Database'!A:A,"")</f>
        <v>46195</v>
      </c>
      <c r="I744" s="103">
        <v>46201.0</v>
      </c>
      <c r="J744" s="104">
        <v>0.0</v>
      </c>
      <c r="K744" s="105"/>
      <c r="L744" s="105" t="str">
        <f t="shared" si="1"/>
        <v/>
      </c>
      <c r="O744" s="106" t="str">
        <f t="shared" si="2"/>
        <v>#N/A</v>
      </c>
      <c r="P744" s="106" t="str">
        <f t="shared" si="3"/>
        <v>#N/A</v>
      </c>
      <c r="Q744" s="84" t="str">
        <f t="shared" si="4"/>
        <v>#N/A</v>
      </c>
      <c r="R744" s="84" t="str">
        <f t="shared" si="5"/>
        <v>#N/A</v>
      </c>
      <c r="S744" s="107">
        <f t="shared" si="6"/>
        <v>-0.11</v>
      </c>
      <c r="T744" s="108">
        <f t="shared" si="7"/>
        <v>-1</v>
      </c>
      <c r="U744" s="106" t="str">
        <f t="shared" si="8"/>
        <v>#N/A</v>
      </c>
      <c r="V744" s="84" t="str">
        <f t="shared" si="9"/>
        <v/>
      </c>
      <c r="W744" s="109" t="str">
        <f t="shared" si="10"/>
        <v/>
      </c>
      <c r="X744" s="109" t="str">
        <f t="shared" si="11"/>
        <v/>
      </c>
      <c r="Y744" s="110" t="str">
        <f t="array" ref="Y744">_xlfn.XLOOKUP(A744,'Video Database'!L:L,'Video Database'!M:M,"")</f>
        <v>Product Overlay</v>
      </c>
    </row>
    <row r="745" ht="22.5" customHeight="1">
      <c r="A745" s="113">
        <f t="shared" si="12"/>
        <v>744</v>
      </c>
      <c r="B745" s="98" t="str">
        <f t="array" ref="B745">_xlfn.XLOOKUP(A745,'Video Database'!L:L,'Video Database'!D:D,"")</f>
        <v>Blakely</v>
      </c>
      <c r="C745" s="98" t="str">
        <f t="array" ref="C745">_xlfn.XLOOKUP(A745,'Video Database'!L:L,'Video Database'!E:E,"")</f>
        <v>Account 4</v>
      </c>
      <c r="D745" s="99" t="str">
        <f t="array" ref="D745">_xlfn.XLOOKUP(A745,'Video Database'!L:L,'Video Database'!G:G,"")</f>
        <v>tarte CC Color-Correct Tinted Serum</v>
      </c>
      <c r="E745" s="100">
        <f t="array" ref="E745">_xlfn.XLOOKUP(A745,'Video Database'!L:L,'Video Database'!H:H,"")</f>
        <v>0.11</v>
      </c>
      <c r="F745" s="101">
        <v>0.0</v>
      </c>
      <c r="G745" s="87">
        <v>0.0</v>
      </c>
      <c r="H745" s="114">
        <f t="array" ref="H745">_xlfn.XLOOKUP(A745,'Video Database'!L:L,'Video Database'!A:A,"")</f>
        <v>46195</v>
      </c>
      <c r="I745" s="103">
        <v>46201.0</v>
      </c>
      <c r="J745" s="104">
        <v>0.0</v>
      </c>
      <c r="K745" s="105"/>
      <c r="L745" s="105" t="str">
        <f t="shared" si="1"/>
        <v/>
      </c>
      <c r="O745" s="106" t="str">
        <f t="shared" si="2"/>
        <v>#N/A</v>
      </c>
      <c r="P745" s="106" t="str">
        <f t="shared" si="3"/>
        <v>#N/A</v>
      </c>
      <c r="Q745" s="84" t="str">
        <f t="shared" si="4"/>
        <v>#N/A</v>
      </c>
      <c r="R745" s="84" t="str">
        <f t="shared" si="5"/>
        <v>#N/A</v>
      </c>
      <c r="S745" s="107">
        <f t="shared" si="6"/>
        <v>-0.11</v>
      </c>
      <c r="T745" s="108">
        <f t="shared" si="7"/>
        <v>-1</v>
      </c>
      <c r="U745" s="106" t="str">
        <f t="shared" si="8"/>
        <v>#N/A</v>
      </c>
      <c r="V745" s="84" t="str">
        <f t="shared" si="9"/>
        <v/>
      </c>
      <c r="W745" s="109" t="str">
        <f t="shared" si="10"/>
        <v/>
      </c>
      <c r="X745" s="109" t="str">
        <f t="shared" si="11"/>
        <v/>
      </c>
      <c r="Y745" s="110" t="str">
        <f t="array" ref="Y745">_xlfn.XLOOKUP(A745,'Video Database'!L:L,'Video Database'!M:M,"")</f>
        <v>Product Overlay</v>
      </c>
    </row>
    <row r="746" ht="22.5" customHeight="1">
      <c r="A746" s="113">
        <f t="shared" si="12"/>
        <v>745</v>
      </c>
      <c r="B746" s="98" t="str">
        <f t="array" ref="B746">_xlfn.XLOOKUP(A746,'Video Database'!L:L,'Video Database'!D:D,"")</f>
        <v>Blakely</v>
      </c>
      <c r="C746" s="98" t="str">
        <f t="array" ref="C746">_xlfn.XLOOKUP(A746,'Video Database'!L:L,'Video Database'!E:E,"")</f>
        <v>Account 4</v>
      </c>
      <c r="D746" s="99" t="str">
        <f t="array" ref="D746">_xlfn.XLOOKUP(A746,'Video Database'!L:L,'Video Database'!G:G,"")</f>
        <v>Vimergy Organic Lemon Balm</v>
      </c>
      <c r="E746" s="100">
        <f t="array" ref="E746">_xlfn.XLOOKUP(A746,'Video Database'!L:L,'Video Database'!H:H,"")</f>
        <v>0.11</v>
      </c>
      <c r="F746" s="101">
        <v>0.0</v>
      </c>
      <c r="G746" s="87">
        <v>0.0</v>
      </c>
      <c r="H746" s="114">
        <f t="array" ref="H746">_xlfn.XLOOKUP(A746,'Video Database'!L:L,'Video Database'!A:A,"")</f>
        <v>46195</v>
      </c>
      <c r="I746" s="103">
        <v>46201.0</v>
      </c>
      <c r="J746" s="104">
        <v>0.0</v>
      </c>
      <c r="K746" s="105"/>
      <c r="L746" s="105" t="str">
        <f t="shared" si="1"/>
        <v/>
      </c>
      <c r="O746" s="106" t="str">
        <f t="shared" si="2"/>
        <v>#N/A</v>
      </c>
      <c r="P746" s="106" t="str">
        <f t="shared" si="3"/>
        <v>#N/A</v>
      </c>
      <c r="Q746" s="84" t="str">
        <f t="shared" si="4"/>
        <v>#N/A</v>
      </c>
      <c r="R746" s="84" t="str">
        <f t="shared" si="5"/>
        <v>#N/A</v>
      </c>
      <c r="S746" s="107">
        <f t="shared" si="6"/>
        <v>-0.11</v>
      </c>
      <c r="T746" s="108">
        <f t="shared" si="7"/>
        <v>-1</v>
      </c>
      <c r="U746" s="106" t="str">
        <f t="shared" si="8"/>
        <v>#N/A</v>
      </c>
      <c r="V746" s="84" t="str">
        <f t="shared" si="9"/>
        <v/>
      </c>
      <c r="W746" s="109" t="str">
        <f t="shared" si="10"/>
        <v/>
      </c>
      <c r="X746" s="109" t="str">
        <f t="shared" si="11"/>
        <v/>
      </c>
      <c r="Y746" s="110" t="str">
        <f t="array" ref="Y746">_xlfn.XLOOKUP(A746,'Video Database'!L:L,'Video Database'!M:M,"")</f>
        <v>Product Overlay</v>
      </c>
    </row>
    <row r="747" ht="22.5" customHeight="1">
      <c r="A747" s="113">
        <f t="shared" si="12"/>
        <v>746</v>
      </c>
      <c r="B747" s="98" t="str">
        <f t="array" ref="B747">_xlfn.XLOOKUP(A747,'Video Database'!L:L,'Video Database'!D:D,"")</f>
        <v>Blakely</v>
      </c>
      <c r="C747" s="98" t="str">
        <f t="array" ref="C747">_xlfn.XLOOKUP(A747,'Video Database'!L:L,'Video Database'!E:E,"")</f>
        <v>Account 4</v>
      </c>
      <c r="D747" s="99" t="str">
        <f t="array" ref="D747">_xlfn.XLOOKUP(A747,'Video Database'!L:L,'Video Database'!G:G,"")</f>
        <v>BrainMD Peak Energy</v>
      </c>
      <c r="E747" s="100">
        <f t="array" ref="E747">_xlfn.XLOOKUP(A747,'Video Database'!L:L,'Video Database'!H:H,"")</f>
        <v>0.11</v>
      </c>
      <c r="F747" s="101">
        <v>0.0</v>
      </c>
      <c r="G747" s="87">
        <v>0.0</v>
      </c>
      <c r="H747" s="114">
        <f t="array" ref="H747">_xlfn.XLOOKUP(A747,'Video Database'!L:L,'Video Database'!A:A,"")</f>
        <v>46195</v>
      </c>
      <c r="I747" s="103">
        <v>46201.0</v>
      </c>
      <c r="J747" s="104">
        <v>0.0</v>
      </c>
      <c r="K747" s="105"/>
      <c r="L747" s="105" t="str">
        <f t="shared" si="1"/>
        <v/>
      </c>
      <c r="O747" s="106" t="str">
        <f t="shared" si="2"/>
        <v>#N/A</v>
      </c>
      <c r="P747" s="106" t="str">
        <f t="shared" si="3"/>
        <v>#N/A</v>
      </c>
      <c r="Q747" s="84" t="str">
        <f t="shared" si="4"/>
        <v>#N/A</v>
      </c>
      <c r="R747" s="84" t="str">
        <f t="shared" si="5"/>
        <v>#N/A</v>
      </c>
      <c r="S747" s="107">
        <f t="shared" si="6"/>
        <v>-0.11</v>
      </c>
      <c r="T747" s="108">
        <f t="shared" si="7"/>
        <v>-1</v>
      </c>
      <c r="U747" s="106" t="str">
        <f t="shared" si="8"/>
        <v>#N/A</v>
      </c>
      <c r="V747" s="84" t="str">
        <f t="shared" si="9"/>
        <v/>
      </c>
      <c r="W747" s="109" t="str">
        <f t="shared" si="10"/>
        <v/>
      </c>
      <c r="X747" s="109" t="str">
        <f t="shared" si="11"/>
        <v/>
      </c>
      <c r="Y747" s="110" t="str">
        <f t="array" ref="Y747">_xlfn.XLOOKUP(A747,'Video Database'!L:L,'Video Database'!M:M,"")</f>
        <v>Product Overlay</v>
      </c>
    </row>
    <row r="748" ht="22.5" customHeight="1">
      <c r="A748" s="113">
        <f t="shared" si="12"/>
        <v>747</v>
      </c>
      <c r="B748" s="98" t="str">
        <f t="array" ref="B748">_xlfn.XLOOKUP(A748,'Video Database'!L:L,'Video Database'!D:D,"")</f>
        <v>Blakely</v>
      </c>
      <c r="C748" s="98" t="str">
        <f t="array" ref="C748">_xlfn.XLOOKUP(A748,'Video Database'!L:L,'Video Database'!E:E,"")</f>
        <v>Account 4</v>
      </c>
      <c r="D748" s="99" t="str">
        <f t="array" ref="D748">_xlfn.XLOOKUP(A748,'Video Database'!L:L,'Video Database'!G:G,"")</f>
        <v>Nooni korean apple lip oil trio</v>
      </c>
      <c r="E748" s="100">
        <f t="array" ref="E748">_xlfn.XLOOKUP(A748,'Video Database'!L:L,'Video Database'!H:H,"")</f>
        <v>0.11</v>
      </c>
      <c r="F748" s="101">
        <v>0.0</v>
      </c>
      <c r="G748" s="87">
        <v>0.0</v>
      </c>
      <c r="H748" s="114">
        <f t="array" ref="H748">_xlfn.XLOOKUP(A748,'Video Database'!L:L,'Video Database'!A:A,"")</f>
        <v>46195</v>
      </c>
      <c r="I748" s="103">
        <v>46201.0</v>
      </c>
      <c r="J748" s="104">
        <v>0.0</v>
      </c>
      <c r="K748" s="105"/>
      <c r="L748" s="105" t="str">
        <f t="shared" si="1"/>
        <v/>
      </c>
      <c r="O748" s="106" t="str">
        <f t="shared" si="2"/>
        <v>#N/A</v>
      </c>
      <c r="P748" s="106" t="str">
        <f t="shared" si="3"/>
        <v>#N/A</v>
      </c>
      <c r="Q748" s="84" t="str">
        <f t="shared" si="4"/>
        <v>#N/A</v>
      </c>
      <c r="R748" s="84" t="str">
        <f t="shared" si="5"/>
        <v>#N/A</v>
      </c>
      <c r="S748" s="107">
        <f t="shared" si="6"/>
        <v>-0.11</v>
      </c>
      <c r="T748" s="108">
        <f t="shared" si="7"/>
        <v>-1</v>
      </c>
      <c r="U748" s="106" t="str">
        <f t="shared" si="8"/>
        <v>#N/A</v>
      </c>
      <c r="V748" s="84" t="str">
        <f t="shared" si="9"/>
        <v/>
      </c>
      <c r="W748" s="109" t="str">
        <f t="shared" si="10"/>
        <v/>
      </c>
      <c r="X748" s="109" t="str">
        <f t="shared" si="11"/>
        <v/>
      </c>
      <c r="Y748" s="110" t="str">
        <f t="array" ref="Y748">_xlfn.XLOOKUP(A748,'Video Database'!L:L,'Video Database'!M:M,"")</f>
        <v>Product Overlay</v>
      </c>
    </row>
    <row r="749" ht="22.5" customHeight="1">
      <c r="A749" s="113">
        <f t="shared" si="12"/>
        <v>748</v>
      </c>
      <c r="B749" s="98" t="str">
        <f t="array" ref="B749">_xlfn.XLOOKUP(A749,'Video Database'!L:L,'Video Database'!D:D,"")</f>
        <v>Blakely</v>
      </c>
      <c r="C749" s="98" t="str">
        <f t="array" ref="C749">_xlfn.XLOOKUP(A749,'Video Database'!L:L,'Video Database'!E:E,"")</f>
        <v>Account 4</v>
      </c>
      <c r="D749" s="99" t="str">
        <f t="array" ref="D749">_xlfn.XLOOKUP(A749,'Video Database'!L:L,'Video Database'!G:G,"")</f>
        <v>IRIS Hormone Health Drink Mix</v>
      </c>
      <c r="E749" s="100">
        <f t="array" ref="E749">_xlfn.XLOOKUP(A749,'Video Database'!L:L,'Video Database'!H:H,"")</f>
        <v>0.11</v>
      </c>
      <c r="F749" s="101">
        <v>26.39</v>
      </c>
      <c r="G749" s="87">
        <v>1.0</v>
      </c>
      <c r="H749" s="114">
        <f t="array" ref="H749">_xlfn.XLOOKUP(A749,'Video Database'!L:L,'Video Database'!A:A,"")</f>
        <v>46195</v>
      </c>
      <c r="I749" s="103">
        <v>46201.0</v>
      </c>
      <c r="J749" s="104">
        <v>3.96</v>
      </c>
      <c r="K749" s="105"/>
      <c r="L749" s="105">
        <f t="shared" si="1"/>
        <v>0</v>
      </c>
      <c r="M749" s="87">
        <v>0.0</v>
      </c>
      <c r="O749" s="106" t="str">
        <f t="shared" si="2"/>
        <v>#N/A</v>
      </c>
      <c r="P749" s="106" t="str">
        <f t="shared" si="3"/>
        <v>#N/A</v>
      </c>
      <c r="Q749" s="84">
        <f t="shared" si="4"/>
        <v>3.96</v>
      </c>
      <c r="R749" s="84">
        <f t="shared" si="5"/>
        <v>26.39</v>
      </c>
      <c r="S749" s="107">
        <f t="shared" si="6"/>
        <v>3.85</v>
      </c>
      <c r="T749" s="108">
        <f t="shared" si="7"/>
        <v>35</v>
      </c>
      <c r="U749" s="106">
        <f t="shared" si="8"/>
        <v>0.9722222222</v>
      </c>
      <c r="V749" s="129">
        <f t="shared" si="9"/>
        <v>0.11</v>
      </c>
      <c r="W749" s="109" t="str">
        <f t="shared" si="10"/>
        <v/>
      </c>
      <c r="X749" s="109">
        <f t="shared" si="11"/>
        <v>0.4168245548</v>
      </c>
      <c r="Y749" s="110" t="str">
        <f t="array" ref="Y749">_xlfn.XLOOKUP(A749,'Video Database'!L:L,'Video Database'!M:M,"")</f>
        <v>Product Overlay</v>
      </c>
    </row>
    <row r="750" ht="22.5" customHeight="1">
      <c r="A750" s="113">
        <f t="shared" si="12"/>
        <v>749</v>
      </c>
      <c r="B750" s="98" t="str">
        <f t="array" ref="B750">_xlfn.XLOOKUP(A750,'Video Database'!L:L,'Video Database'!D:D,"")</f>
        <v>Blakely</v>
      </c>
      <c r="C750" s="98" t="str">
        <f t="array" ref="C750">_xlfn.XLOOKUP(A750,'Video Database'!L:L,'Video Database'!E:E,"")</f>
        <v>Account 4</v>
      </c>
      <c r="D750" s="99" t="str">
        <f t="array" ref="D750">_xlfn.XLOOKUP(A750,'Video Database'!L:L,'Video Database'!G:G,"")</f>
        <v>BrainMD Peak Energy</v>
      </c>
      <c r="E750" s="100">
        <f t="array" ref="E750">_xlfn.XLOOKUP(A750,'Video Database'!L:L,'Video Database'!H:H,"")</f>
        <v>0.11</v>
      </c>
      <c r="F750" s="101">
        <v>0.0</v>
      </c>
      <c r="G750" s="87">
        <v>0.0</v>
      </c>
      <c r="H750" s="114">
        <f t="array" ref="H750">_xlfn.XLOOKUP(A750,'Video Database'!L:L,'Video Database'!A:A,"")</f>
        <v>46195</v>
      </c>
      <c r="I750" s="103">
        <v>46201.0</v>
      </c>
      <c r="J750" s="104">
        <v>0.0</v>
      </c>
      <c r="K750" s="105"/>
      <c r="L750" s="105" t="str">
        <f t="shared" si="1"/>
        <v/>
      </c>
      <c r="O750" s="106" t="str">
        <f t="shared" si="2"/>
        <v>#N/A</v>
      </c>
      <c r="P750" s="106" t="str">
        <f t="shared" si="3"/>
        <v>#N/A</v>
      </c>
      <c r="Q750" s="84" t="str">
        <f t="shared" si="4"/>
        <v>#N/A</v>
      </c>
      <c r="R750" s="84" t="str">
        <f t="shared" si="5"/>
        <v>#N/A</v>
      </c>
      <c r="S750" s="107">
        <f t="shared" si="6"/>
        <v>-0.11</v>
      </c>
      <c r="T750" s="108">
        <f t="shared" si="7"/>
        <v>-1</v>
      </c>
      <c r="U750" s="106" t="str">
        <f t="shared" si="8"/>
        <v>#N/A</v>
      </c>
      <c r="V750" s="84" t="str">
        <f t="shared" si="9"/>
        <v/>
      </c>
      <c r="W750" s="109" t="str">
        <f t="shared" si="10"/>
        <v/>
      </c>
      <c r="X750" s="109" t="str">
        <f t="shared" si="11"/>
        <v/>
      </c>
      <c r="Y750" s="110" t="str">
        <f t="array" ref="Y750">_xlfn.XLOOKUP(A750,'Video Database'!L:L,'Video Database'!M:M,"")</f>
        <v>Product Overlay</v>
      </c>
    </row>
    <row r="751" ht="22.5" customHeight="1">
      <c r="A751" s="113">
        <f t="shared" si="12"/>
        <v>750</v>
      </c>
      <c r="B751" s="98" t="str">
        <f t="array" ref="B751">_xlfn.XLOOKUP(A751,'Video Database'!L:L,'Video Database'!D:D,"")</f>
        <v>Blakely</v>
      </c>
      <c r="C751" s="98" t="str">
        <f t="array" ref="C751">_xlfn.XLOOKUP(A751,'Video Database'!L:L,'Video Database'!E:E,"")</f>
        <v>Account 4</v>
      </c>
      <c r="D751" s="99" t="str">
        <f t="array" ref="D751">_xlfn.XLOOKUP(A751,'Video Database'!L:L,'Video Database'!G:G,"")</f>
        <v>BrainMD Peak Energy</v>
      </c>
      <c r="E751" s="100">
        <f t="array" ref="E751">_xlfn.XLOOKUP(A751,'Video Database'!L:L,'Video Database'!H:H,"")</f>
        <v>0.11</v>
      </c>
      <c r="F751" s="101">
        <v>0.0</v>
      </c>
      <c r="G751" s="87">
        <v>0.0</v>
      </c>
      <c r="H751" s="114">
        <f t="array" ref="H751">_xlfn.XLOOKUP(A751,'Video Database'!L:L,'Video Database'!A:A,"")</f>
        <v>46195</v>
      </c>
      <c r="I751" s="103">
        <v>46201.0</v>
      </c>
      <c r="J751" s="104">
        <v>0.0</v>
      </c>
      <c r="K751" s="105"/>
      <c r="L751" s="105" t="str">
        <f t="shared" si="1"/>
        <v/>
      </c>
      <c r="O751" s="106" t="str">
        <f t="shared" si="2"/>
        <v>#N/A</v>
      </c>
      <c r="P751" s="106" t="str">
        <f t="shared" si="3"/>
        <v>#N/A</v>
      </c>
      <c r="Q751" s="84" t="str">
        <f t="shared" si="4"/>
        <v>#N/A</v>
      </c>
      <c r="R751" s="84" t="str">
        <f t="shared" si="5"/>
        <v>#N/A</v>
      </c>
      <c r="S751" s="107">
        <f t="shared" si="6"/>
        <v>-0.11</v>
      </c>
      <c r="T751" s="108">
        <f t="shared" si="7"/>
        <v>-1</v>
      </c>
      <c r="U751" s="106" t="str">
        <f t="shared" si="8"/>
        <v>#N/A</v>
      </c>
      <c r="V751" s="84" t="str">
        <f t="shared" si="9"/>
        <v/>
      </c>
      <c r="W751" s="109" t="str">
        <f t="shared" si="10"/>
        <v/>
      </c>
      <c r="X751" s="109" t="str">
        <f t="shared" si="11"/>
        <v/>
      </c>
      <c r="Y751" s="110" t="str">
        <f t="array" ref="Y751">_xlfn.XLOOKUP(A751,'Video Database'!L:L,'Video Database'!M:M,"")</f>
        <v>Product Overlay</v>
      </c>
    </row>
    <row r="752" ht="22.5" customHeight="1">
      <c r="A752" s="113">
        <f t="shared" si="12"/>
        <v>751</v>
      </c>
      <c r="B752" s="98" t="str">
        <f t="array" ref="B752">_xlfn.XLOOKUP(A752,'Video Database'!L:L,'Video Database'!D:D,"")</f>
        <v>Brittney</v>
      </c>
      <c r="C752" s="98" t="str">
        <f t="array" ref="C752">_xlfn.XLOOKUP(A752,'Video Database'!L:L,'Video Database'!E:E,"")</f>
        <v>Account 4</v>
      </c>
      <c r="D752" s="99" t="str">
        <f t="array" ref="D752">_xlfn.XLOOKUP(A752,'Video Database'!L:L,'Video Database'!G:G,"")</f>
        <v>Gruns Greens Popsicle Firecracker Gummies</v>
      </c>
      <c r="E752" s="100">
        <f t="array" ref="E752">_xlfn.XLOOKUP(A752,'Video Database'!L:L,'Video Database'!H:H,"")</f>
        <v>0.11</v>
      </c>
      <c r="F752" s="101">
        <v>0.0</v>
      </c>
      <c r="G752" s="87">
        <v>0.0</v>
      </c>
      <c r="H752" s="114">
        <f t="array" ref="H752">_xlfn.XLOOKUP(A752,'Video Database'!L:L,'Video Database'!A:A,"")</f>
        <v>46195</v>
      </c>
      <c r="I752" s="103">
        <v>46201.0</v>
      </c>
      <c r="J752" s="104">
        <v>0.0</v>
      </c>
      <c r="K752" s="105"/>
      <c r="L752" s="105" t="str">
        <f t="shared" si="1"/>
        <v/>
      </c>
      <c r="O752" s="106" t="str">
        <f t="shared" si="2"/>
        <v>#N/A</v>
      </c>
      <c r="P752" s="106" t="str">
        <f t="shared" si="3"/>
        <v>#N/A</v>
      </c>
      <c r="Q752" s="84" t="str">
        <f t="shared" si="4"/>
        <v>#N/A</v>
      </c>
      <c r="R752" s="84" t="str">
        <f t="shared" si="5"/>
        <v>#N/A</v>
      </c>
      <c r="S752" s="107">
        <f t="shared" si="6"/>
        <v>-0.11</v>
      </c>
      <c r="T752" s="108">
        <f t="shared" si="7"/>
        <v>-1</v>
      </c>
      <c r="U752" s="106" t="str">
        <f t="shared" si="8"/>
        <v>#N/A</v>
      </c>
      <c r="V752" s="84" t="str">
        <f t="shared" si="9"/>
        <v/>
      </c>
      <c r="W752" s="109" t="str">
        <f t="shared" si="10"/>
        <v/>
      </c>
      <c r="X752" s="109" t="str">
        <f t="shared" si="11"/>
        <v/>
      </c>
      <c r="Y752" s="110" t="str">
        <f t="array" ref="Y752">_xlfn.XLOOKUP(A752,'Video Database'!L:L,'Video Database'!M:M,"")</f>
        <v>Product Overlay</v>
      </c>
    </row>
    <row r="753" ht="22.5" customHeight="1">
      <c r="A753" s="113">
        <f t="shared" si="12"/>
        <v>752</v>
      </c>
      <c r="B753" s="98" t="str">
        <f t="array" ref="B753">_xlfn.XLOOKUP(A753,'Video Database'!L:L,'Video Database'!D:D,"")</f>
        <v>Brittney</v>
      </c>
      <c r="C753" s="98" t="str">
        <f t="array" ref="C753">_xlfn.XLOOKUP(A753,'Video Database'!L:L,'Video Database'!E:E,"")</f>
        <v>Account 4</v>
      </c>
      <c r="D753" s="99" t="str">
        <f t="array" ref="D753">_xlfn.XLOOKUP(A753,'Video Database'!L:L,'Video Database'!G:G,"")</f>
        <v>Gruns Greens Popsicle Firecracker Gummies</v>
      </c>
      <c r="E753" s="100">
        <f t="array" ref="E753">_xlfn.XLOOKUP(A753,'Video Database'!L:L,'Video Database'!H:H,"")</f>
        <v>0.11</v>
      </c>
      <c r="F753" s="101">
        <v>0.0</v>
      </c>
      <c r="G753" s="87">
        <v>0.0</v>
      </c>
      <c r="H753" s="114">
        <f t="array" ref="H753">_xlfn.XLOOKUP(A753,'Video Database'!L:L,'Video Database'!A:A,"")</f>
        <v>46195</v>
      </c>
      <c r="I753" s="103">
        <v>46201.0</v>
      </c>
      <c r="J753" s="104">
        <v>0.0</v>
      </c>
      <c r="K753" s="105"/>
      <c r="L753" s="105" t="str">
        <f t="shared" si="1"/>
        <v/>
      </c>
      <c r="O753" s="106" t="str">
        <f t="shared" si="2"/>
        <v>#N/A</v>
      </c>
      <c r="P753" s="106" t="str">
        <f t="shared" si="3"/>
        <v>#N/A</v>
      </c>
      <c r="Q753" s="84" t="str">
        <f t="shared" si="4"/>
        <v>#N/A</v>
      </c>
      <c r="R753" s="84" t="str">
        <f t="shared" si="5"/>
        <v>#N/A</v>
      </c>
      <c r="S753" s="107">
        <f t="shared" si="6"/>
        <v>-0.11</v>
      </c>
      <c r="T753" s="108">
        <f t="shared" si="7"/>
        <v>-1</v>
      </c>
      <c r="U753" s="106" t="str">
        <f t="shared" si="8"/>
        <v>#N/A</v>
      </c>
      <c r="V753" s="84" t="str">
        <f t="shared" si="9"/>
        <v/>
      </c>
      <c r="W753" s="109" t="str">
        <f t="shared" si="10"/>
        <v/>
      </c>
      <c r="X753" s="109" t="str">
        <f t="shared" si="11"/>
        <v/>
      </c>
      <c r="Y753" s="110" t="str">
        <f t="array" ref="Y753">_xlfn.XLOOKUP(A753,'Video Database'!L:L,'Video Database'!M:M,"")</f>
        <v>Product Overlay</v>
      </c>
    </row>
    <row r="754" ht="22.5" customHeight="1">
      <c r="A754" s="113">
        <f t="shared" si="12"/>
        <v>753</v>
      </c>
      <c r="B754" s="98" t="str">
        <f t="array" ref="B754">_xlfn.XLOOKUP(A754,'Video Database'!L:L,'Video Database'!D:D,"")</f>
        <v>Blakely</v>
      </c>
      <c r="C754" s="98" t="str">
        <f t="array" ref="C754">_xlfn.XLOOKUP(A754,'Video Database'!L:L,'Video Database'!E:E,"")</f>
        <v>Account 1</v>
      </c>
      <c r="D754" s="99" t="str">
        <f t="array" ref="D754">_xlfn.XLOOKUP(A754,'Video Database'!L:L,'Video Database'!G:G,"")</f>
        <v>Nutricost Creatine Monohydrate</v>
      </c>
      <c r="E754" s="100">
        <f t="array" ref="E754">_xlfn.XLOOKUP(A754,'Video Database'!L:L,'Video Database'!H:H,"")</f>
        <v>0.11</v>
      </c>
      <c r="F754" s="101">
        <v>0.0</v>
      </c>
      <c r="G754" s="87">
        <v>0.0</v>
      </c>
      <c r="H754" s="114">
        <f t="array" ref="H754">_xlfn.XLOOKUP(A754,'Video Database'!L:L,'Video Database'!A:A,"")</f>
        <v>46196</v>
      </c>
      <c r="I754" s="103">
        <v>46201.0</v>
      </c>
      <c r="J754" s="104">
        <v>0.0</v>
      </c>
      <c r="K754" s="105"/>
      <c r="L754" s="105" t="str">
        <f t="shared" si="1"/>
        <v/>
      </c>
      <c r="O754" s="106" t="str">
        <f t="shared" si="2"/>
        <v>#N/A</v>
      </c>
      <c r="P754" s="106" t="str">
        <f t="shared" si="3"/>
        <v>#N/A</v>
      </c>
      <c r="Q754" s="84" t="str">
        <f t="shared" si="4"/>
        <v>#N/A</v>
      </c>
      <c r="R754" s="84" t="str">
        <f t="shared" si="5"/>
        <v>#N/A</v>
      </c>
      <c r="S754" s="107">
        <f t="shared" si="6"/>
        <v>-0.11</v>
      </c>
      <c r="T754" s="108">
        <f t="shared" si="7"/>
        <v>-1</v>
      </c>
      <c r="U754" s="106" t="str">
        <f t="shared" si="8"/>
        <v>#N/A</v>
      </c>
      <c r="V754" s="84" t="str">
        <f t="shared" si="9"/>
        <v/>
      </c>
      <c r="W754" s="109" t="str">
        <f t="shared" si="10"/>
        <v/>
      </c>
      <c r="X754" s="109" t="str">
        <f t="shared" si="11"/>
        <v/>
      </c>
      <c r="Y754" s="110" t="str">
        <f t="array" ref="Y754">_xlfn.XLOOKUP(A754,'Video Database'!L:L,'Video Database'!M:M,"")</f>
        <v>Bottom of Funnel</v>
      </c>
    </row>
    <row r="755" ht="22.5" customHeight="1">
      <c r="A755" s="113">
        <f t="shared" si="12"/>
        <v>754</v>
      </c>
      <c r="B755" s="98" t="str">
        <f t="array" ref="B755">_xlfn.XLOOKUP(A755,'Video Database'!L:L,'Video Database'!D:D,"")</f>
        <v>Blakely</v>
      </c>
      <c r="C755" s="98" t="str">
        <f t="array" ref="C755">_xlfn.XLOOKUP(A755,'Video Database'!L:L,'Video Database'!E:E,"")</f>
        <v>Account 1</v>
      </c>
      <c r="D755" s="99" t="str">
        <f t="array" ref="D755">_xlfn.XLOOKUP(A755,'Video Database'!L:L,'Video Database'!G:G,"")</f>
        <v>Nutricost Creatine Monohydrate</v>
      </c>
      <c r="E755" s="100">
        <f t="array" ref="E755">_xlfn.XLOOKUP(A755,'Video Database'!L:L,'Video Database'!H:H,"")</f>
        <v>0.11</v>
      </c>
      <c r="F755" s="101">
        <v>0.0</v>
      </c>
      <c r="G755" s="87">
        <v>0.0</v>
      </c>
      <c r="H755" s="114">
        <f t="array" ref="H755">_xlfn.XLOOKUP(A755,'Video Database'!L:L,'Video Database'!A:A,"")</f>
        <v>46196</v>
      </c>
      <c r="I755" s="103">
        <v>46201.0</v>
      </c>
      <c r="J755" s="104">
        <v>0.0</v>
      </c>
      <c r="K755" s="105"/>
      <c r="L755" s="105" t="str">
        <f t="shared" si="1"/>
        <v/>
      </c>
      <c r="O755" s="106" t="str">
        <f t="shared" si="2"/>
        <v>#N/A</v>
      </c>
      <c r="P755" s="106" t="str">
        <f t="shared" si="3"/>
        <v>#N/A</v>
      </c>
      <c r="Q755" s="84" t="str">
        <f t="shared" si="4"/>
        <v>#N/A</v>
      </c>
      <c r="R755" s="84" t="str">
        <f t="shared" si="5"/>
        <v>#N/A</v>
      </c>
      <c r="S755" s="107">
        <f t="shared" si="6"/>
        <v>-0.11</v>
      </c>
      <c r="T755" s="108">
        <f t="shared" si="7"/>
        <v>-1</v>
      </c>
      <c r="U755" s="106" t="str">
        <f t="shared" si="8"/>
        <v>#N/A</v>
      </c>
      <c r="V755" s="84" t="str">
        <f t="shared" si="9"/>
        <v/>
      </c>
      <c r="W755" s="109" t="str">
        <f t="shared" si="10"/>
        <v/>
      </c>
      <c r="X755" s="109" t="str">
        <f t="shared" si="11"/>
        <v/>
      </c>
      <c r="Y755" s="110" t="str">
        <f t="array" ref="Y755">_xlfn.XLOOKUP(A755,'Video Database'!L:L,'Video Database'!M:M,"")</f>
        <v>Product Overlay</v>
      </c>
    </row>
    <row r="756" ht="22.5" customHeight="1">
      <c r="A756" s="113">
        <f t="shared" si="12"/>
        <v>755</v>
      </c>
      <c r="B756" s="98" t="str">
        <f t="array" ref="B756">_xlfn.XLOOKUP(A756,'Video Database'!L:L,'Video Database'!D:D,"")</f>
        <v>Blakely</v>
      </c>
      <c r="C756" s="98" t="str">
        <f t="array" ref="C756">_xlfn.XLOOKUP(A756,'Video Database'!L:L,'Video Database'!E:E,"")</f>
        <v>Account 1</v>
      </c>
      <c r="D756" s="99" t="str">
        <f t="array" ref="D756">_xlfn.XLOOKUP(A756,'Video Database'!L:L,'Video Database'!G:G,"")</f>
        <v>MEDITHERAPY Retinal Skin Booster Serum</v>
      </c>
      <c r="E756" s="100">
        <f t="array" ref="E756">_xlfn.XLOOKUP(A756,'Video Database'!L:L,'Video Database'!H:H,"")</f>
        <v>0.11</v>
      </c>
      <c r="F756" s="101">
        <v>0.0</v>
      </c>
      <c r="G756" s="87">
        <v>0.0</v>
      </c>
      <c r="H756" s="114">
        <f t="array" ref="H756">_xlfn.XLOOKUP(A756,'Video Database'!L:L,'Video Database'!A:A,"")</f>
        <v>46196</v>
      </c>
      <c r="I756" s="103">
        <v>46201.0</v>
      </c>
      <c r="J756" s="104">
        <v>0.0</v>
      </c>
      <c r="K756" s="105"/>
      <c r="L756" s="105" t="str">
        <f t="shared" si="1"/>
        <v/>
      </c>
      <c r="O756" s="106" t="str">
        <f t="shared" si="2"/>
        <v>#N/A</v>
      </c>
      <c r="P756" s="106" t="str">
        <f t="shared" si="3"/>
        <v>#N/A</v>
      </c>
      <c r="Q756" s="84" t="str">
        <f t="shared" si="4"/>
        <v>#N/A</v>
      </c>
      <c r="R756" s="84" t="str">
        <f t="shared" si="5"/>
        <v>#N/A</v>
      </c>
      <c r="S756" s="107">
        <f t="shared" si="6"/>
        <v>-0.11</v>
      </c>
      <c r="T756" s="108">
        <f t="shared" si="7"/>
        <v>-1</v>
      </c>
      <c r="U756" s="106" t="str">
        <f t="shared" si="8"/>
        <v>#N/A</v>
      </c>
      <c r="V756" s="84" t="str">
        <f t="shared" si="9"/>
        <v/>
      </c>
      <c r="W756" s="109" t="str">
        <f t="shared" si="10"/>
        <v/>
      </c>
      <c r="X756" s="109" t="str">
        <f t="shared" si="11"/>
        <v/>
      </c>
      <c r="Y756" s="110" t="str">
        <f t="array" ref="Y756">_xlfn.XLOOKUP(A756,'Video Database'!L:L,'Video Database'!M:M,"")</f>
        <v>Product Overlay</v>
      </c>
    </row>
    <row r="757" ht="22.5" customHeight="1">
      <c r="A757" s="113">
        <f t="shared" si="12"/>
        <v>756</v>
      </c>
      <c r="B757" s="98" t="str">
        <f t="array" ref="B757">_xlfn.XLOOKUP(A757,'Video Database'!L:L,'Video Database'!D:D,"")</f>
        <v>Blakely</v>
      </c>
      <c r="C757" s="98" t="str">
        <f t="array" ref="C757">_xlfn.XLOOKUP(A757,'Video Database'!L:L,'Video Database'!E:E,"")</f>
        <v>Account 1</v>
      </c>
      <c r="D757" s="99" t="str">
        <f t="array" ref="D757">_xlfn.XLOOKUP(A757,'Video Database'!L:L,'Video Database'!G:G,"")</f>
        <v>MEDITHERAPY Retinal Skin Booster Serum</v>
      </c>
      <c r="E757" s="100">
        <f t="array" ref="E757">_xlfn.XLOOKUP(A757,'Video Database'!L:L,'Video Database'!H:H,"")</f>
        <v>0.11</v>
      </c>
      <c r="F757" s="101">
        <v>0.0</v>
      </c>
      <c r="G757" s="87">
        <v>0.0</v>
      </c>
      <c r="H757" s="114">
        <f t="array" ref="H757">_xlfn.XLOOKUP(A757,'Video Database'!L:L,'Video Database'!A:A,"")</f>
        <v>46196</v>
      </c>
      <c r="I757" s="103">
        <v>46201.0</v>
      </c>
      <c r="J757" s="104">
        <v>0.0</v>
      </c>
      <c r="K757" s="105"/>
      <c r="L757" s="105" t="str">
        <f t="shared" si="1"/>
        <v/>
      </c>
      <c r="O757" s="106" t="str">
        <f t="shared" si="2"/>
        <v>#N/A</v>
      </c>
      <c r="P757" s="106" t="str">
        <f t="shared" si="3"/>
        <v>#N/A</v>
      </c>
      <c r="Q757" s="84" t="str">
        <f t="shared" si="4"/>
        <v>#N/A</v>
      </c>
      <c r="R757" s="84" t="str">
        <f t="shared" si="5"/>
        <v>#N/A</v>
      </c>
      <c r="S757" s="107">
        <f t="shared" si="6"/>
        <v>-0.11</v>
      </c>
      <c r="T757" s="108">
        <f t="shared" si="7"/>
        <v>-1</v>
      </c>
      <c r="U757" s="106" t="str">
        <f t="shared" si="8"/>
        <v>#N/A</v>
      </c>
      <c r="V757" s="84" t="str">
        <f t="shared" si="9"/>
        <v/>
      </c>
      <c r="W757" s="109" t="str">
        <f t="shared" si="10"/>
        <v/>
      </c>
      <c r="X757" s="109" t="str">
        <f t="shared" si="11"/>
        <v/>
      </c>
      <c r="Y757" s="110" t="str">
        <f t="array" ref="Y757">_xlfn.XLOOKUP(A757,'Video Database'!L:L,'Video Database'!M:M,"")</f>
        <v>Product Overlay</v>
      </c>
    </row>
    <row r="758" ht="22.5" customHeight="1">
      <c r="A758" s="113">
        <f t="shared" si="12"/>
        <v>757</v>
      </c>
      <c r="B758" s="98" t="str">
        <f t="array" ref="B758">_xlfn.XLOOKUP(A758,'Video Database'!L:L,'Video Database'!D:D,"")</f>
        <v>Blakely</v>
      </c>
      <c r="C758" s="98" t="str">
        <f t="array" ref="C758">_xlfn.XLOOKUP(A758,'Video Database'!L:L,'Video Database'!E:E,"")</f>
        <v>Account 1</v>
      </c>
      <c r="D758" s="99" t="str">
        <f t="array" ref="D758">_xlfn.XLOOKUP(A758,'Video Database'!L:L,'Video Database'!G:G,"")</f>
        <v>BetterAlt Shilajit Honey Sticks</v>
      </c>
      <c r="E758" s="100">
        <f t="array" ref="E758">_xlfn.XLOOKUP(A758,'Video Database'!L:L,'Video Database'!H:H,"")</f>
        <v>0.11</v>
      </c>
      <c r="F758" s="101">
        <v>0.0</v>
      </c>
      <c r="G758" s="87">
        <v>0.0</v>
      </c>
      <c r="H758" s="114">
        <f t="array" ref="H758">_xlfn.XLOOKUP(A758,'Video Database'!L:L,'Video Database'!A:A,"")</f>
        <v>46196</v>
      </c>
      <c r="I758" s="103">
        <v>46201.0</v>
      </c>
      <c r="J758" s="104">
        <v>0.0</v>
      </c>
      <c r="K758" s="105"/>
      <c r="L758" s="105" t="str">
        <f t="shared" si="1"/>
        <v/>
      </c>
      <c r="O758" s="106" t="str">
        <f t="shared" si="2"/>
        <v>#N/A</v>
      </c>
      <c r="P758" s="106" t="str">
        <f t="shared" si="3"/>
        <v>#N/A</v>
      </c>
      <c r="Q758" s="84" t="str">
        <f t="shared" si="4"/>
        <v>#N/A</v>
      </c>
      <c r="R758" s="84" t="str">
        <f t="shared" si="5"/>
        <v>#N/A</v>
      </c>
      <c r="S758" s="107">
        <f t="shared" si="6"/>
        <v>-0.11</v>
      </c>
      <c r="T758" s="108">
        <f t="shared" si="7"/>
        <v>-1</v>
      </c>
      <c r="U758" s="106" t="str">
        <f t="shared" si="8"/>
        <v>#N/A</v>
      </c>
      <c r="V758" s="84" t="str">
        <f t="shared" si="9"/>
        <v/>
      </c>
      <c r="W758" s="109" t="str">
        <f t="shared" si="10"/>
        <v/>
      </c>
      <c r="X758" s="109" t="str">
        <f t="shared" si="11"/>
        <v/>
      </c>
      <c r="Y758" s="110" t="str">
        <f t="array" ref="Y758">_xlfn.XLOOKUP(A758,'Video Database'!L:L,'Video Database'!M:M,"")</f>
        <v>Bottom of Funnel</v>
      </c>
    </row>
    <row r="759" ht="22.5" customHeight="1">
      <c r="A759" s="113">
        <f t="shared" si="12"/>
        <v>758</v>
      </c>
      <c r="B759" s="98" t="str">
        <f t="array" ref="B759">_xlfn.XLOOKUP(A759,'Video Database'!L:L,'Video Database'!D:D,"")</f>
        <v>Brittney</v>
      </c>
      <c r="C759" s="98" t="str">
        <f t="array" ref="C759">_xlfn.XLOOKUP(A759,'Video Database'!L:L,'Video Database'!E:E,"")</f>
        <v>Account 1</v>
      </c>
      <c r="D759" s="99" t="str">
        <f t="array" ref="D759">_xlfn.XLOOKUP(A759,'Video Database'!L:L,'Video Database'!G:G,"")</f>
        <v>Gruns Greens Popsicle Firecracker Gummies</v>
      </c>
      <c r="E759" s="100">
        <f t="array" ref="E759">_xlfn.XLOOKUP(A759,'Video Database'!L:L,'Video Database'!H:H,"")</f>
        <v>0.11</v>
      </c>
      <c r="F759" s="101">
        <v>0.0</v>
      </c>
      <c r="G759" s="87">
        <v>0.0</v>
      </c>
      <c r="H759" s="114">
        <f t="array" ref="H759">_xlfn.XLOOKUP(A759,'Video Database'!L:L,'Video Database'!A:A,"")</f>
        <v>46196</v>
      </c>
      <c r="I759" s="103">
        <v>46201.0</v>
      </c>
      <c r="J759" s="104">
        <v>0.0</v>
      </c>
      <c r="K759" s="105"/>
      <c r="L759" s="105" t="str">
        <f t="shared" si="1"/>
        <v/>
      </c>
      <c r="O759" s="106" t="str">
        <f t="shared" si="2"/>
        <v>#N/A</v>
      </c>
      <c r="P759" s="106" t="str">
        <f t="shared" si="3"/>
        <v>#N/A</v>
      </c>
      <c r="Q759" s="84" t="str">
        <f t="shared" si="4"/>
        <v>#N/A</v>
      </c>
      <c r="R759" s="84" t="str">
        <f t="shared" si="5"/>
        <v>#N/A</v>
      </c>
      <c r="S759" s="107">
        <f t="shared" si="6"/>
        <v>-0.11</v>
      </c>
      <c r="T759" s="108">
        <f t="shared" si="7"/>
        <v>-1</v>
      </c>
      <c r="U759" s="106" t="str">
        <f t="shared" si="8"/>
        <v>#N/A</v>
      </c>
      <c r="V759" s="84" t="str">
        <f t="shared" si="9"/>
        <v/>
      </c>
      <c r="W759" s="109" t="str">
        <f t="shared" si="10"/>
        <v/>
      </c>
      <c r="X759" s="109" t="str">
        <f t="shared" si="11"/>
        <v/>
      </c>
      <c r="Y759" s="110" t="str">
        <f t="array" ref="Y759">_xlfn.XLOOKUP(A759,'Video Database'!L:L,'Video Database'!M:M,"")</f>
        <v>Bottom of Funnel</v>
      </c>
    </row>
    <row r="760" ht="22.5" customHeight="1">
      <c r="A760" s="113">
        <f t="shared" si="12"/>
        <v>759</v>
      </c>
      <c r="B760" s="98" t="str">
        <f t="array" ref="B760">_xlfn.XLOOKUP(A760,'Video Database'!L:L,'Video Database'!D:D,"")</f>
        <v>Blakely</v>
      </c>
      <c r="C760" s="98" t="str">
        <f t="array" ref="C760">_xlfn.XLOOKUP(A760,'Video Database'!L:L,'Video Database'!E:E,"")</f>
        <v>Account 1</v>
      </c>
      <c r="D760" s="99" t="str">
        <f t="array" ref="D760">_xlfn.XLOOKUP(A760,'Video Database'!L:L,'Video Database'!G:G,"")</f>
        <v>Beast Bites Creatine Gummies</v>
      </c>
      <c r="E760" s="100">
        <f t="array" ref="E760">_xlfn.XLOOKUP(A760,'Video Database'!L:L,'Video Database'!H:H,"")</f>
        <v>0.11</v>
      </c>
      <c r="F760" s="101">
        <v>0.0</v>
      </c>
      <c r="G760" s="87">
        <v>0.0</v>
      </c>
      <c r="H760" s="114">
        <f t="array" ref="H760">_xlfn.XLOOKUP(A760,'Video Database'!L:L,'Video Database'!A:A,"")</f>
        <v>46196</v>
      </c>
      <c r="I760" s="103">
        <v>46201.0</v>
      </c>
      <c r="J760" s="104">
        <v>0.0</v>
      </c>
      <c r="K760" s="105"/>
      <c r="L760" s="105" t="str">
        <f t="shared" si="1"/>
        <v/>
      </c>
      <c r="O760" s="106" t="str">
        <f t="shared" si="2"/>
        <v>#N/A</v>
      </c>
      <c r="P760" s="106" t="str">
        <f t="shared" si="3"/>
        <v>#N/A</v>
      </c>
      <c r="Q760" s="84" t="str">
        <f t="shared" si="4"/>
        <v>#N/A</v>
      </c>
      <c r="R760" s="84" t="str">
        <f t="shared" si="5"/>
        <v>#N/A</v>
      </c>
      <c r="S760" s="107">
        <f t="shared" si="6"/>
        <v>-0.11</v>
      </c>
      <c r="T760" s="108">
        <f t="shared" si="7"/>
        <v>-1</v>
      </c>
      <c r="U760" s="106" t="str">
        <f t="shared" si="8"/>
        <v>#N/A</v>
      </c>
      <c r="V760" s="84" t="str">
        <f t="shared" si="9"/>
        <v/>
      </c>
      <c r="W760" s="109" t="str">
        <f t="shared" si="10"/>
        <v/>
      </c>
      <c r="X760" s="109" t="str">
        <f t="shared" si="11"/>
        <v/>
      </c>
      <c r="Y760" s="110" t="str">
        <f t="array" ref="Y760">_xlfn.XLOOKUP(A760,'Video Database'!L:L,'Video Database'!M:M,"")</f>
        <v>Product Overlay</v>
      </c>
    </row>
    <row r="761" ht="22.5" customHeight="1">
      <c r="A761" s="113">
        <f t="shared" si="12"/>
        <v>760</v>
      </c>
      <c r="B761" s="98" t="str">
        <f t="array" ref="B761">_xlfn.XLOOKUP(A761,'Video Database'!L:L,'Video Database'!D:D,"")</f>
        <v>Blakely</v>
      </c>
      <c r="C761" s="98" t="str">
        <f t="array" ref="C761">_xlfn.XLOOKUP(A761,'Video Database'!L:L,'Video Database'!E:E,"")</f>
        <v>Account 1</v>
      </c>
      <c r="D761" s="99" t="str">
        <f t="array" ref="D761">_xlfn.XLOOKUP(A761,'Video Database'!L:L,'Video Database'!G:G,"")</f>
        <v>Neurogum Watermelon</v>
      </c>
      <c r="E761" s="100">
        <f t="array" ref="E761">_xlfn.XLOOKUP(A761,'Video Database'!L:L,'Video Database'!H:H,"")</f>
        <v>0.11</v>
      </c>
      <c r="F761" s="101">
        <v>0.0</v>
      </c>
      <c r="G761" s="87">
        <v>0.0</v>
      </c>
      <c r="H761" s="114">
        <f t="array" ref="H761">_xlfn.XLOOKUP(A761,'Video Database'!L:L,'Video Database'!A:A,"")</f>
        <v>46196</v>
      </c>
      <c r="I761" s="103">
        <v>46201.0</v>
      </c>
      <c r="J761" s="104">
        <v>0.0</v>
      </c>
      <c r="K761" s="105"/>
      <c r="L761" s="105" t="str">
        <f t="shared" si="1"/>
        <v/>
      </c>
      <c r="O761" s="106" t="str">
        <f t="shared" si="2"/>
        <v>#N/A</v>
      </c>
      <c r="P761" s="106" t="str">
        <f t="shared" si="3"/>
        <v>#N/A</v>
      </c>
      <c r="Q761" s="84" t="str">
        <f t="shared" si="4"/>
        <v>#N/A</v>
      </c>
      <c r="R761" s="84" t="str">
        <f t="shared" si="5"/>
        <v>#N/A</v>
      </c>
      <c r="S761" s="107">
        <f t="shared" si="6"/>
        <v>-0.11</v>
      </c>
      <c r="T761" s="108">
        <f t="shared" si="7"/>
        <v>-1</v>
      </c>
      <c r="U761" s="106" t="str">
        <f t="shared" si="8"/>
        <v>#N/A</v>
      </c>
      <c r="V761" s="84" t="str">
        <f t="shared" si="9"/>
        <v/>
      </c>
      <c r="W761" s="109" t="str">
        <f t="shared" si="10"/>
        <v/>
      </c>
      <c r="X761" s="109" t="str">
        <f t="shared" si="11"/>
        <v/>
      </c>
      <c r="Y761" s="110" t="str">
        <f t="array" ref="Y761">_xlfn.XLOOKUP(A761,'Video Database'!L:L,'Video Database'!M:M,"")</f>
        <v>Product Overlay</v>
      </c>
    </row>
    <row r="762" ht="22.5" customHeight="1">
      <c r="A762" s="113">
        <f t="shared" si="12"/>
        <v>761</v>
      </c>
      <c r="B762" s="98" t="str">
        <f t="array" ref="B762">_xlfn.XLOOKUP(A762,'Video Database'!L:L,'Video Database'!D:D,"")</f>
        <v>Erin</v>
      </c>
      <c r="C762" s="98" t="str">
        <f t="array" ref="C762">_xlfn.XLOOKUP(A762,'Video Database'!L:L,'Video Database'!E:E,"")</f>
        <v>Account 1</v>
      </c>
      <c r="D762" s="99" t="str">
        <f t="array" ref="D762">_xlfn.XLOOKUP(A762,'Video Database'!L:L,'Video Database'!G:G,"")</f>
        <v>Color Wow Quick Refresh and Styling Bundle</v>
      </c>
      <c r="E762" s="100">
        <f t="array" ref="E762">_xlfn.XLOOKUP(A762,'Video Database'!L:L,'Video Database'!H:H,"")</f>
        <v>0.7337</v>
      </c>
      <c r="F762" s="101">
        <v>0.0</v>
      </c>
      <c r="G762" s="87">
        <v>0.0</v>
      </c>
      <c r="H762" s="114">
        <f t="array" ref="H762">_xlfn.XLOOKUP(A762,'Video Database'!L:L,'Video Database'!A:A,"")</f>
        <v>46196</v>
      </c>
      <c r="I762" s="103">
        <v>46201.0</v>
      </c>
      <c r="J762" s="104">
        <v>0.0</v>
      </c>
      <c r="K762" s="105"/>
      <c r="L762" s="105" t="str">
        <f t="shared" si="1"/>
        <v/>
      </c>
      <c r="O762" s="106" t="str">
        <f t="shared" si="2"/>
        <v>#N/A</v>
      </c>
      <c r="P762" s="106" t="str">
        <f t="shared" si="3"/>
        <v>#N/A</v>
      </c>
      <c r="Q762" s="84" t="str">
        <f t="shared" si="4"/>
        <v>#N/A</v>
      </c>
      <c r="R762" s="84" t="str">
        <f t="shared" si="5"/>
        <v>#N/A</v>
      </c>
      <c r="S762" s="107">
        <f t="shared" si="6"/>
        <v>-0.7337</v>
      </c>
      <c r="T762" s="108">
        <f t="shared" si="7"/>
        <v>-1</v>
      </c>
      <c r="U762" s="106" t="str">
        <f t="shared" si="8"/>
        <v>#N/A</v>
      </c>
      <c r="V762" s="84" t="str">
        <f t="shared" si="9"/>
        <v/>
      </c>
      <c r="W762" s="109" t="str">
        <f t="shared" si="10"/>
        <v/>
      </c>
      <c r="X762" s="109" t="str">
        <f t="shared" si="11"/>
        <v/>
      </c>
      <c r="Y762" s="110" t="str">
        <f t="array" ref="Y762">_xlfn.XLOOKUP(A762,'Video Database'!L:L,'Video Database'!M:M,"")</f>
        <v>Bottom of Funnel</v>
      </c>
    </row>
    <row r="763" ht="22.5" customHeight="1">
      <c r="A763" s="113">
        <f t="shared" si="12"/>
        <v>762</v>
      </c>
      <c r="B763" s="98" t="str">
        <f t="array" ref="B763">_xlfn.XLOOKUP(A763,'Video Database'!L:L,'Video Database'!D:D,"")</f>
        <v>Blakely</v>
      </c>
      <c r="C763" s="98" t="str">
        <f t="array" ref="C763">_xlfn.XLOOKUP(A763,'Video Database'!L:L,'Video Database'!E:E,"")</f>
        <v>Account 1</v>
      </c>
      <c r="D763" s="99" t="str">
        <f t="array" ref="D763">_xlfn.XLOOKUP(A763,'Video Database'!L:L,'Video Database'!G:G,"")</f>
        <v>Goli Women's Complete Multi Gummy</v>
      </c>
      <c r="E763" s="100">
        <f t="array" ref="E763">_xlfn.XLOOKUP(A763,'Video Database'!L:L,'Video Database'!H:H,"")</f>
        <v>0.11</v>
      </c>
      <c r="F763" s="101">
        <v>0.0</v>
      </c>
      <c r="G763" s="87">
        <v>0.0</v>
      </c>
      <c r="H763" s="114">
        <f t="array" ref="H763">_xlfn.XLOOKUP(A763,'Video Database'!L:L,'Video Database'!A:A,"")</f>
        <v>46196</v>
      </c>
      <c r="I763" s="103">
        <v>46201.0</v>
      </c>
      <c r="J763" s="104">
        <v>0.0</v>
      </c>
      <c r="K763" s="105"/>
      <c r="L763" s="105" t="str">
        <f t="shared" si="1"/>
        <v/>
      </c>
      <c r="O763" s="106" t="str">
        <f t="shared" si="2"/>
        <v>#N/A</v>
      </c>
      <c r="P763" s="106" t="str">
        <f t="shared" si="3"/>
        <v>#N/A</v>
      </c>
      <c r="Q763" s="84" t="str">
        <f t="shared" si="4"/>
        <v>#N/A</v>
      </c>
      <c r="R763" s="84" t="str">
        <f t="shared" si="5"/>
        <v>#N/A</v>
      </c>
      <c r="S763" s="107">
        <f t="shared" si="6"/>
        <v>-0.11</v>
      </c>
      <c r="T763" s="108">
        <f t="shared" si="7"/>
        <v>-1</v>
      </c>
      <c r="U763" s="106" t="str">
        <f t="shared" si="8"/>
        <v>#N/A</v>
      </c>
      <c r="V763" s="84" t="str">
        <f t="shared" si="9"/>
        <v/>
      </c>
      <c r="W763" s="109" t="str">
        <f t="shared" si="10"/>
        <v/>
      </c>
      <c r="X763" s="109" t="str">
        <f t="shared" si="11"/>
        <v/>
      </c>
      <c r="Y763" s="110" t="str">
        <f t="array" ref="Y763">_xlfn.XLOOKUP(A763,'Video Database'!L:L,'Video Database'!M:M,"")</f>
        <v>Product Overlay</v>
      </c>
    </row>
    <row r="764" ht="22.5" customHeight="1">
      <c r="A764" s="113">
        <f t="shared" si="12"/>
        <v>763</v>
      </c>
      <c r="B764" s="98" t="str">
        <f t="array" ref="B764">_xlfn.XLOOKUP(A764,'Video Database'!L:L,'Video Database'!D:D,"")</f>
        <v>Erin</v>
      </c>
      <c r="C764" s="98" t="str">
        <f t="array" ref="C764">_xlfn.XLOOKUP(A764,'Video Database'!L:L,'Video Database'!E:E,"")</f>
        <v>Account 1</v>
      </c>
      <c r="D764" s="99" t="str">
        <f t="array" ref="D764">_xlfn.XLOOKUP(A764,'Video Database'!L:L,'Video Database'!G:G,"")</f>
        <v>Medicube Kojic Accid Tumeric Power Duo</v>
      </c>
      <c r="E764" s="100">
        <f t="array" ref="E764">_xlfn.XLOOKUP(A764,'Video Database'!L:L,'Video Database'!H:H,"")</f>
        <v>0.7337</v>
      </c>
      <c r="F764" s="101">
        <v>15.55</v>
      </c>
      <c r="G764" s="87">
        <v>1.0</v>
      </c>
      <c r="H764" s="114">
        <f t="array" ref="H764">_xlfn.XLOOKUP(A764,'Video Database'!L:L,'Video Database'!A:A,"")</f>
        <v>46196</v>
      </c>
      <c r="I764" s="103">
        <v>46201.0</v>
      </c>
      <c r="J764" s="104">
        <v>4.35</v>
      </c>
      <c r="K764" s="87">
        <v>1.0</v>
      </c>
      <c r="L764" s="105">
        <f t="shared" si="1"/>
        <v>84</v>
      </c>
      <c r="M764" s="87">
        <v>84.0</v>
      </c>
      <c r="O764" s="106">
        <f t="shared" si="2"/>
        <v>0.0119047619</v>
      </c>
      <c r="P764" s="106">
        <f t="shared" si="3"/>
        <v>1</v>
      </c>
      <c r="Q764" s="84">
        <f t="shared" si="4"/>
        <v>4.35</v>
      </c>
      <c r="R764" s="84">
        <f t="shared" si="5"/>
        <v>15.55</v>
      </c>
      <c r="S764" s="107">
        <f t="shared" si="6"/>
        <v>3.6163</v>
      </c>
      <c r="T764" s="108">
        <f t="shared" si="7"/>
        <v>4.928853755</v>
      </c>
      <c r="U764" s="106">
        <f t="shared" si="8"/>
        <v>0.8313333333</v>
      </c>
      <c r="V764" s="129">
        <f t="shared" si="9"/>
        <v>0.7337</v>
      </c>
      <c r="W764" s="109">
        <f t="shared" si="10"/>
        <v>0.7337</v>
      </c>
      <c r="X764" s="109">
        <f t="shared" si="11"/>
        <v>4.718327974</v>
      </c>
      <c r="Y764" s="110" t="str">
        <f t="array" ref="Y764">_xlfn.XLOOKUP(A764,'Video Database'!L:L,'Video Database'!M:M,"")</f>
        <v>Bottom of Funnel</v>
      </c>
    </row>
    <row r="765" ht="22.5" customHeight="1">
      <c r="A765" s="113">
        <f t="shared" si="12"/>
        <v>764</v>
      </c>
      <c r="B765" s="98" t="str">
        <f t="array" ref="B765">_xlfn.XLOOKUP(A765,'Video Database'!L:L,'Video Database'!D:D,"")</f>
        <v>Brittney</v>
      </c>
      <c r="C765" s="98" t="str">
        <f t="array" ref="C765">_xlfn.XLOOKUP(A765,'Video Database'!L:L,'Video Database'!E:E,"")</f>
        <v>Account 1</v>
      </c>
      <c r="D765" s="99" t="str">
        <f t="array" ref="D765">_xlfn.XLOOKUP(A765,'Video Database'!L:L,'Video Database'!G:G,"")</f>
        <v>Gruns Greens Popsicle Firecracker Gummies</v>
      </c>
      <c r="E765" s="100">
        <f t="array" ref="E765">_xlfn.XLOOKUP(A765,'Video Database'!L:L,'Video Database'!H:H,"")</f>
        <v>0.11</v>
      </c>
      <c r="F765" s="101">
        <v>0.0</v>
      </c>
      <c r="G765" s="87">
        <v>0.0</v>
      </c>
      <c r="H765" s="114">
        <f t="array" ref="H765">_xlfn.XLOOKUP(A765,'Video Database'!L:L,'Video Database'!A:A,"")</f>
        <v>46196</v>
      </c>
      <c r="I765" s="103">
        <v>46201.0</v>
      </c>
      <c r="J765" s="104">
        <v>0.0</v>
      </c>
      <c r="K765" s="105"/>
      <c r="L765" s="105" t="str">
        <f t="shared" si="1"/>
        <v/>
      </c>
      <c r="O765" s="106" t="str">
        <f t="shared" si="2"/>
        <v>#N/A</v>
      </c>
      <c r="P765" s="106" t="str">
        <f t="shared" si="3"/>
        <v>#N/A</v>
      </c>
      <c r="Q765" s="84" t="str">
        <f t="shared" si="4"/>
        <v>#N/A</v>
      </c>
      <c r="R765" s="84" t="str">
        <f t="shared" si="5"/>
        <v>#N/A</v>
      </c>
      <c r="S765" s="107">
        <f t="shared" si="6"/>
        <v>-0.11</v>
      </c>
      <c r="T765" s="108">
        <f t="shared" si="7"/>
        <v>-1</v>
      </c>
      <c r="U765" s="106" t="str">
        <f t="shared" si="8"/>
        <v>#N/A</v>
      </c>
      <c r="V765" s="84" t="str">
        <f t="shared" si="9"/>
        <v/>
      </c>
      <c r="W765" s="109" t="str">
        <f t="shared" si="10"/>
        <v/>
      </c>
      <c r="X765" s="109" t="str">
        <f t="shared" si="11"/>
        <v/>
      </c>
      <c r="Y765" s="110" t="str">
        <f t="array" ref="Y765">_xlfn.XLOOKUP(A765,'Video Database'!L:L,'Video Database'!M:M,"")</f>
        <v>Product Overlay</v>
      </c>
    </row>
    <row r="766" ht="22.5" customHeight="1">
      <c r="A766" s="113">
        <f t="shared" si="12"/>
        <v>765</v>
      </c>
      <c r="B766" s="98" t="str">
        <f t="array" ref="B766">_xlfn.XLOOKUP(A766,'Video Database'!L:L,'Video Database'!D:D,"")</f>
        <v>Erin</v>
      </c>
      <c r="C766" s="98" t="str">
        <f t="array" ref="C766">_xlfn.XLOOKUP(A766,'Video Database'!L:L,'Video Database'!E:E,"")</f>
        <v>Account 1</v>
      </c>
      <c r="D766" s="99" t="str">
        <f t="array" ref="D766">_xlfn.XLOOKUP(A766,'Video Database'!L:L,'Video Database'!G:G,"")</f>
        <v>Medicube Kojic Accid Tumeric Power Duo</v>
      </c>
      <c r="E766" s="100">
        <f t="array" ref="E766">_xlfn.XLOOKUP(A766,'Video Database'!L:L,'Video Database'!H:H,"")</f>
        <v>0.7337</v>
      </c>
      <c r="F766" s="101">
        <v>0.0</v>
      </c>
      <c r="G766" s="87">
        <v>0.0</v>
      </c>
      <c r="H766" s="114">
        <f t="array" ref="H766">_xlfn.XLOOKUP(A766,'Video Database'!L:L,'Video Database'!A:A,"")</f>
        <v>46196</v>
      </c>
      <c r="I766" s="103">
        <v>46201.0</v>
      </c>
      <c r="J766" s="104">
        <v>0.0</v>
      </c>
      <c r="K766" s="105"/>
      <c r="L766" s="105" t="str">
        <f t="shared" si="1"/>
        <v/>
      </c>
      <c r="O766" s="106" t="str">
        <f t="shared" si="2"/>
        <v>#N/A</v>
      </c>
      <c r="P766" s="106" t="str">
        <f t="shared" si="3"/>
        <v>#N/A</v>
      </c>
      <c r="Q766" s="84" t="str">
        <f t="shared" si="4"/>
        <v>#N/A</v>
      </c>
      <c r="R766" s="84" t="str">
        <f t="shared" si="5"/>
        <v>#N/A</v>
      </c>
      <c r="S766" s="107">
        <f t="shared" si="6"/>
        <v>-0.7337</v>
      </c>
      <c r="T766" s="108">
        <f t="shared" si="7"/>
        <v>-1</v>
      </c>
      <c r="U766" s="106" t="str">
        <f t="shared" si="8"/>
        <v>#N/A</v>
      </c>
      <c r="V766" s="84" t="str">
        <f t="shared" si="9"/>
        <v/>
      </c>
      <c r="W766" s="109" t="str">
        <f t="shared" si="10"/>
        <v/>
      </c>
      <c r="X766" s="109" t="str">
        <f t="shared" si="11"/>
        <v/>
      </c>
      <c r="Y766" s="110" t="str">
        <f t="array" ref="Y766">_xlfn.XLOOKUP(A766,'Video Database'!L:L,'Video Database'!M:M,"")</f>
        <v>Bottom of Funnel</v>
      </c>
    </row>
    <row r="767" ht="22.5" customHeight="1">
      <c r="A767" s="113">
        <f t="shared" si="12"/>
        <v>766</v>
      </c>
      <c r="B767" s="98" t="str">
        <f t="array" ref="B767">_xlfn.XLOOKUP(A767,'Video Database'!L:L,'Video Database'!D:D,"")</f>
        <v>Erin</v>
      </c>
      <c r="C767" s="98" t="str">
        <f t="array" ref="C767">_xlfn.XLOOKUP(A767,'Video Database'!L:L,'Video Database'!E:E,"")</f>
        <v>Account 1</v>
      </c>
      <c r="D767" s="99" t="str">
        <f t="array" ref="D767">_xlfn.XLOOKUP(A767,'Video Database'!L:L,'Video Database'!G:G,"")</f>
        <v>Color Wow Quick Refresh and Styling Bundle</v>
      </c>
      <c r="E767" s="100">
        <f t="array" ref="E767">_xlfn.XLOOKUP(A767,'Video Database'!L:L,'Video Database'!H:H,"")</f>
        <v>0.7337</v>
      </c>
      <c r="F767" s="101">
        <v>0.0</v>
      </c>
      <c r="G767" s="87">
        <v>0.0</v>
      </c>
      <c r="H767" s="114">
        <f t="array" ref="H767">_xlfn.XLOOKUP(A767,'Video Database'!L:L,'Video Database'!A:A,"")</f>
        <v>46196</v>
      </c>
      <c r="I767" s="103">
        <v>46201.0</v>
      </c>
      <c r="J767" s="104">
        <v>0.0</v>
      </c>
      <c r="K767" s="105"/>
      <c r="L767" s="105" t="str">
        <f t="shared" si="1"/>
        <v/>
      </c>
      <c r="O767" s="106" t="str">
        <f t="shared" si="2"/>
        <v>#N/A</v>
      </c>
      <c r="P767" s="106" t="str">
        <f t="shared" si="3"/>
        <v>#N/A</v>
      </c>
      <c r="Q767" s="84" t="str">
        <f t="shared" si="4"/>
        <v>#N/A</v>
      </c>
      <c r="R767" s="84" t="str">
        <f t="shared" si="5"/>
        <v>#N/A</v>
      </c>
      <c r="S767" s="107">
        <f t="shared" si="6"/>
        <v>-0.7337</v>
      </c>
      <c r="T767" s="108">
        <f t="shared" si="7"/>
        <v>-1</v>
      </c>
      <c r="U767" s="106" t="str">
        <f t="shared" si="8"/>
        <v>#N/A</v>
      </c>
      <c r="V767" s="84" t="str">
        <f t="shared" si="9"/>
        <v/>
      </c>
      <c r="W767" s="109" t="str">
        <f t="shared" si="10"/>
        <v/>
      </c>
      <c r="X767" s="109" t="str">
        <f t="shared" si="11"/>
        <v/>
      </c>
      <c r="Y767" s="110" t="str">
        <f t="array" ref="Y767">_xlfn.XLOOKUP(A767,'Video Database'!L:L,'Video Database'!M:M,"")</f>
        <v>Bottom of Funnel</v>
      </c>
    </row>
    <row r="768" ht="22.5" customHeight="1">
      <c r="A768" s="113">
        <f t="shared" si="12"/>
        <v>767</v>
      </c>
      <c r="B768" s="98" t="str">
        <f t="array" ref="B768">_xlfn.XLOOKUP(A768,'Video Database'!L:L,'Video Database'!D:D,"")</f>
        <v>Erin</v>
      </c>
      <c r="C768" s="98" t="str">
        <f t="array" ref="C768">_xlfn.XLOOKUP(A768,'Video Database'!L:L,'Video Database'!E:E,"")</f>
        <v>Account 1</v>
      </c>
      <c r="D768" s="99" t="str">
        <f t="array" ref="D768">_xlfn.XLOOKUP(A768,'Video Database'!L:L,'Video Database'!G:G,"")</f>
        <v>Medicube Kojic Accid Tumeric Power Duo</v>
      </c>
      <c r="E768" s="100">
        <f t="array" ref="E768">_xlfn.XLOOKUP(A768,'Video Database'!L:L,'Video Database'!H:H,"")</f>
        <v>0.7337</v>
      </c>
      <c r="F768" s="101">
        <v>0.0</v>
      </c>
      <c r="G768" s="87">
        <v>0.0</v>
      </c>
      <c r="H768" s="114">
        <f t="array" ref="H768">_xlfn.XLOOKUP(A768,'Video Database'!L:L,'Video Database'!A:A,"")</f>
        <v>46196</v>
      </c>
      <c r="I768" s="103">
        <v>46201.0</v>
      </c>
      <c r="J768" s="104">
        <v>0.0</v>
      </c>
      <c r="K768" s="105"/>
      <c r="L768" s="105" t="str">
        <f t="shared" si="1"/>
        <v/>
      </c>
      <c r="O768" s="106" t="str">
        <f t="shared" si="2"/>
        <v>#N/A</v>
      </c>
      <c r="P768" s="106" t="str">
        <f t="shared" si="3"/>
        <v>#N/A</v>
      </c>
      <c r="Q768" s="84" t="str">
        <f t="shared" si="4"/>
        <v>#N/A</v>
      </c>
      <c r="R768" s="84" t="str">
        <f t="shared" si="5"/>
        <v>#N/A</v>
      </c>
      <c r="S768" s="107">
        <f t="shared" si="6"/>
        <v>-0.7337</v>
      </c>
      <c r="T768" s="108">
        <f t="shared" si="7"/>
        <v>-1</v>
      </c>
      <c r="U768" s="106" t="str">
        <f t="shared" si="8"/>
        <v>#N/A</v>
      </c>
      <c r="V768" s="84" t="str">
        <f t="shared" si="9"/>
        <v/>
      </c>
      <c r="W768" s="109" t="str">
        <f t="shared" si="10"/>
        <v/>
      </c>
      <c r="X768" s="109" t="str">
        <f t="shared" si="11"/>
        <v/>
      </c>
      <c r="Y768" s="110" t="str">
        <f t="array" ref="Y768">_xlfn.XLOOKUP(A768,'Video Database'!L:L,'Video Database'!M:M,"")</f>
        <v>Bottom of Funnel</v>
      </c>
    </row>
    <row r="769" ht="22.5" customHeight="1">
      <c r="A769" s="113">
        <f t="shared" si="12"/>
        <v>768</v>
      </c>
      <c r="B769" s="98" t="str">
        <f t="array" ref="B769">_xlfn.XLOOKUP(A769,'Video Database'!L:L,'Video Database'!D:D,"")</f>
        <v>Erin</v>
      </c>
      <c r="C769" s="98" t="str">
        <f t="array" ref="C769">_xlfn.XLOOKUP(A769,'Video Database'!L:L,'Video Database'!E:E,"")</f>
        <v>Account 1</v>
      </c>
      <c r="D769" s="99" t="str">
        <f t="array" ref="D769">_xlfn.XLOOKUP(A769,'Video Database'!L:L,'Video Database'!G:G,"")</f>
        <v>Color Wow Quick Refresh and Styling Bundle</v>
      </c>
      <c r="E769" s="100">
        <f t="array" ref="E769">_xlfn.XLOOKUP(A769,'Video Database'!L:L,'Video Database'!H:H,"")</f>
        <v>0.7337</v>
      </c>
      <c r="F769" s="101">
        <v>0.0</v>
      </c>
      <c r="G769" s="87">
        <v>0.0</v>
      </c>
      <c r="H769" s="114">
        <f t="array" ref="H769">_xlfn.XLOOKUP(A769,'Video Database'!L:L,'Video Database'!A:A,"")</f>
        <v>46196</v>
      </c>
      <c r="I769" s="103">
        <v>46201.0</v>
      </c>
      <c r="J769" s="104">
        <v>0.0</v>
      </c>
      <c r="K769" s="105"/>
      <c r="L769" s="105" t="str">
        <f t="shared" si="1"/>
        <v/>
      </c>
      <c r="O769" s="106" t="str">
        <f t="shared" si="2"/>
        <v>#N/A</v>
      </c>
      <c r="P769" s="106" t="str">
        <f t="shared" si="3"/>
        <v>#N/A</v>
      </c>
      <c r="Q769" s="84" t="str">
        <f t="shared" si="4"/>
        <v>#N/A</v>
      </c>
      <c r="R769" s="84" t="str">
        <f t="shared" si="5"/>
        <v>#N/A</v>
      </c>
      <c r="S769" s="107">
        <f t="shared" si="6"/>
        <v>-0.7337</v>
      </c>
      <c r="T769" s="108">
        <f t="shared" si="7"/>
        <v>-1</v>
      </c>
      <c r="U769" s="106" t="str">
        <f t="shared" si="8"/>
        <v>#N/A</v>
      </c>
      <c r="V769" s="84" t="str">
        <f t="shared" si="9"/>
        <v/>
      </c>
      <c r="W769" s="109" t="str">
        <f t="shared" si="10"/>
        <v/>
      </c>
      <c r="X769" s="109" t="str">
        <f t="shared" si="11"/>
        <v/>
      </c>
      <c r="Y769" s="110" t="str">
        <f t="array" ref="Y769">_xlfn.XLOOKUP(A769,'Video Database'!L:L,'Video Database'!M:M,"")</f>
        <v>Bottom of Funnel</v>
      </c>
    </row>
    <row r="770" ht="22.5" customHeight="1">
      <c r="A770" s="113">
        <f t="shared" si="12"/>
        <v>769</v>
      </c>
      <c r="B770" s="98" t="str">
        <f t="array" ref="B770">_xlfn.XLOOKUP(A770,'Video Database'!L:L,'Video Database'!D:D,"")</f>
        <v>Brittney</v>
      </c>
      <c r="C770" s="98" t="str">
        <f t="array" ref="C770">_xlfn.XLOOKUP(A770,'Video Database'!L:L,'Video Database'!E:E,"")</f>
        <v>Account 1</v>
      </c>
      <c r="D770" s="99" t="str">
        <f t="array" ref="D770">_xlfn.XLOOKUP(A770,'Video Database'!L:L,'Video Database'!G:G,"")</f>
        <v>Gruns Greens Popsicle Firecracker Gummies</v>
      </c>
      <c r="E770" s="100">
        <f t="array" ref="E770">_xlfn.XLOOKUP(A770,'Video Database'!L:L,'Video Database'!H:H,"")</f>
        <v>0.11</v>
      </c>
      <c r="F770" s="101">
        <v>0.0</v>
      </c>
      <c r="G770" s="87">
        <v>0.0</v>
      </c>
      <c r="H770" s="114">
        <f t="array" ref="H770">_xlfn.XLOOKUP(A770,'Video Database'!L:L,'Video Database'!A:A,"")</f>
        <v>46196</v>
      </c>
      <c r="I770" s="103">
        <v>46201.0</v>
      </c>
      <c r="J770" s="104">
        <v>0.0</v>
      </c>
      <c r="K770" s="105"/>
      <c r="L770" s="105" t="str">
        <f t="shared" si="1"/>
        <v/>
      </c>
      <c r="O770" s="106" t="str">
        <f t="shared" si="2"/>
        <v>#N/A</v>
      </c>
      <c r="P770" s="106" t="str">
        <f t="shared" si="3"/>
        <v>#N/A</v>
      </c>
      <c r="Q770" s="84" t="str">
        <f t="shared" si="4"/>
        <v>#N/A</v>
      </c>
      <c r="R770" s="84" t="str">
        <f t="shared" si="5"/>
        <v>#N/A</v>
      </c>
      <c r="S770" s="107">
        <f t="shared" si="6"/>
        <v>-0.11</v>
      </c>
      <c r="T770" s="108">
        <f t="shared" si="7"/>
        <v>-1</v>
      </c>
      <c r="U770" s="106" t="str">
        <f t="shared" si="8"/>
        <v>#N/A</v>
      </c>
      <c r="V770" s="84" t="str">
        <f t="shared" si="9"/>
        <v/>
      </c>
      <c r="W770" s="109" t="str">
        <f t="shared" si="10"/>
        <v/>
      </c>
      <c r="X770" s="109" t="str">
        <f t="shared" si="11"/>
        <v/>
      </c>
      <c r="Y770" s="110" t="str">
        <f t="array" ref="Y770">_xlfn.XLOOKUP(A770,'Video Database'!L:L,'Video Database'!M:M,"")</f>
        <v>Product Overlay</v>
      </c>
    </row>
    <row r="771" ht="22.5" customHeight="1">
      <c r="A771" s="113">
        <f t="shared" si="12"/>
        <v>770</v>
      </c>
      <c r="B771" s="98" t="str">
        <f t="array" ref="B771">_xlfn.XLOOKUP(A771,'Video Database'!L:L,'Video Database'!D:D,"")</f>
        <v>Blakely</v>
      </c>
      <c r="C771" s="98" t="str">
        <f t="array" ref="C771">_xlfn.XLOOKUP(A771,'Video Database'!L:L,'Video Database'!E:E,"")</f>
        <v>Account 1</v>
      </c>
      <c r="D771" s="99" t="str">
        <f t="array" ref="D771">_xlfn.XLOOKUP(A771,'Video Database'!L:L,'Video Database'!G:G,"")</f>
        <v>Neurogum Watermelon</v>
      </c>
      <c r="E771" s="100">
        <f t="array" ref="E771">_xlfn.XLOOKUP(A771,'Video Database'!L:L,'Video Database'!H:H,"")</f>
        <v>0.11</v>
      </c>
      <c r="F771" s="101">
        <v>0.0</v>
      </c>
      <c r="G771" s="87">
        <v>0.0</v>
      </c>
      <c r="H771" s="114">
        <f t="array" ref="H771">_xlfn.XLOOKUP(A771,'Video Database'!L:L,'Video Database'!A:A,"")</f>
        <v>46196</v>
      </c>
      <c r="I771" s="103">
        <v>46201.0</v>
      </c>
      <c r="J771" s="104">
        <v>0.0</v>
      </c>
      <c r="K771" s="105"/>
      <c r="L771" s="105" t="str">
        <f t="shared" si="1"/>
        <v/>
      </c>
      <c r="O771" s="106" t="str">
        <f t="shared" si="2"/>
        <v>#N/A</v>
      </c>
      <c r="P771" s="106" t="str">
        <f t="shared" si="3"/>
        <v>#N/A</v>
      </c>
      <c r="Q771" s="84" t="str">
        <f t="shared" si="4"/>
        <v>#N/A</v>
      </c>
      <c r="R771" s="84" t="str">
        <f t="shared" si="5"/>
        <v>#N/A</v>
      </c>
      <c r="S771" s="107">
        <f t="shared" si="6"/>
        <v>-0.11</v>
      </c>
      <c r="T771" s="108">
        <f t="shared" si="7"/>
        <v>-1</v>
      </c>
      <c r="U771" s="106" t="str">
        <f t="shared" si="8"/>
        <v>#N/A</v>
      </c>
      <c r="V771" s="84" t="str">
        <f t="shared" si="9"/>
        <v/>
      </c>
      <c r="W771" s="109" t="str">
        <f t="shared" si="10"/>
        <v/>
      </c>
      <c r="X771" s="109" t="str">
        <f t="shared" si="11"/>
        <v/>
      </c>
      <c r="Y771" s="110" t="str">
        <f t="array" ref="Y771">_xlfn.XLOOKUP(A771,'Video Database'!L:L,'Video Database'!M:M,"")</f>
        <v>Bottom of Funnel</v>
      </c>
    </row>
    <row r="772" ht="22.5" customHeight="1">
      <c r="A772" s="113">
        <f t="shared" si="12"/>
        <v>771</v>
      </c>
      <c r="B772" s="98" t="str">
        <f t="array" ref="B772">_xlfn.XLOOKUP(A772,'Video Database'!L:L,'Video Database'!D:D,"")</f>
        <v>Blakely</v>
      </c>
      <c r="C772" s="98" t="str">
        <f t="array" ref="C772">_xlfn.XLOOKUP(A772,'Video Database'!L:L,'Video Database'!E:E,"")</f>
        <v>Account 1</v>
      </c>
      <c r="D772" s="99" t="str">
        <f t="array" ref="D772">_xlfn.XLOOKUP(A772,'Video Database'!L:L,'Video Database'!G:G,"")</f>
        <v>IRIS Hormone Health Drink Mix</v>
      </c>
      <c r="E772" s="100">
        <f t="array" ref="E772">_xlfn.XLOOKUP(A772,'Video Database'!L:L,'Video Database'!H:H,"")</f>
        <v>0.11</v>
      </c>
      <c r="F772" s="101">
        <v>0.0</v>
      </c>
      <c r="G772" s="87">
        <v>0.0</v>
      </c>
      <c r="H772" s="114">
        <f t="array" ref="H772">_xlfn.XLOOKUP(A772,'Video Database'!L:L,'Video Database'!A:A,"")</f>
        <v>46196</v>
      </c>
      <c r="I772" s="103">
        <v>46201.0</v>
      </c>
      <c r="J772" s="104">
        <v>0.0</v>
      </c>
      <c r="K772" s="105"/>
      <c r="L772" s="105" t="str">
        <f t="shared" si="1"/>
        <v/>
      </c>
      <c r="O772" s="106" t="str">
        <f t="shared" si="2"/>
        <v>#N/A</v>
      </c>
      <c r="P772" s="106" t="str">
        <f t="shared" si="3"/>
        <v>#N/A</v>
      </c>
      <c r="Q772" s="84" t="str">
        <f t="shared" si="4"/>
        <v>#N/A</v>
      </c>
      <c r="R772" s="84" t="str">
        <f t="shared" si="5"/>
        <v>#N/A</v>
      </c>
      <c r="S772" s="107">
        <f t="shared" si="6"/>
        <v>-0.11</v>
      </c>
      <c r="T772" s="108">
        <f t="shared" si="7"/>
        <v>-1</v>
      </c>
      <c r="U772" s="106" t="str">
        <f t="shared" si="8"/>
        <v>#N/A</v>
      </c>
      <c r="V772" s="84" t="str">
        <f t="shared" si="9"/>
        <v/>
      </c>
      <c r="W772" s="109" t="str">
        <f t="shared" si="10"/>
        <v/>
      </c>
      <c r="X772" s="109" t="str">
        <f t="shared" si="11"/>
        <v/>
      </c>
      <c r="Y772" s="110" t="str">
        <f t="array" ref="Y772">_xlfn.XLOOKUP(A772,'Video Database'!L:L,'Video Database'!M:M,"")</f>
        <v>Product Overlay</v>
      </c>
    </row>
    <row r="773" ht="22.5" customHeight="1">
      <c r="A773" s="113">
        <f t="shared" si="12"/>
        <v>772</v>
      </c>
      <c r="B773" s="98" t="str">
        <f t="array" ref="B773">_xlfn.XLOOKUP(A773,'Video Database'!L:L,'Video Database'!D:D,"")</f>
        <v>Blakely</v>
      </c>
      <c r="C773" s="98" t="str">
        <f t="array" ref="C773">_xlfn.XLOOKUP(A773,'Video Database'!L:L,'Video Database'!E:E,"")</f>
        <v>Account 2</v>
      </c>
      <c r="D773" s="99" t="str">
        <f t="array" ref="D773">_xlfn.XLOOKUP(A773,'Video Database'!L:L,'Video Database'!G:G,"")</f>
        <v>IRIS Hormone Health Drink Mix</v>
      </c>
      <c r="E773" s="100">
        <f t="array" ref="E773">_xlfn.XLOOKUP(A773,'Video Database'!L:L,'Video Database'!H:H,"")</f>
        <v>0.11</v>
      </c>
      <c r="F773" s="101">
        <v>0.0</v>
      </c>
      <c r="G773" s="87">
        <v>0.0</v>
      </c>
      <c r="H773" s="114">
        <f t="array" ref="H773">_xlfn.XLOOKUP(A773,'Video Database'!L:L,'Video Database'!A:A,"")</f>
        <v>46196</v>
      </c>
      <c r="I773" s="103">
        <v>46201.0</v>
      </c>
      <c r="J773" s="104">
        <v>0.0</v>
      </c>
      <c r="K773" s="105"/>
      <c r="L773" s="105" t="str">
        <f t="shared" si="1"/>
        <v/>
      </c>
      <c r="O773" s="106" t="str">
        <f t="shared" si="2"/>
        <v>#N/A</v>
      </c>
      <c r="P773" s="106" t="str">
        <f t="shared" si="3"/>
        <v>#N/A</v>
      </c>
      <c r="Q773" s="84" t="str">
        <f t="shared" si="4"/>
        <v>#N/A</v>
      </c>
      <c r="R773" s="84" t="str">
        <f t="shared" si="5"/>
        <v>#N/A</v>
      </c>
      <c r="S773" s="107">
        <f t="shared" si="6"/>
        <v>-0.11</v>
      </c>
      <c r="T773" s="108">
        <f t="shared" si="7"/>
        <v>-1</v>
      </c>
      <c r="U773" s="106" t="str">
        <f t="shared" si="8"/>
        <v>#N/A</v>
      </c>
      <c r="V773" s="84" t="str">
        <f t="shared" si="9"/>
        <v/>
      </c>
      <c r="W773" s="109" t="str">
        <f t="shared" si="10"/>
        <v/>
      </c>
      <c r="X773" s="109" t="str">
        <f t="shared" si="11"/>
        <v/>
      </c>
      <c r="Y773" s="110" t="str">
        <f t="array" ref="Y773">_xlfn.XLOOKUP(A773,'Video Database'!L:L,'Video Database'!M:M,"")</f>
        <v>Product Overlay</v>
      </c>
    </row>
    <row r="774" ht="22.5" customHeight="1">
      <c r="A774" s="113">
        <f t="shared" si="12"/>
        <v>773</v>
      </c>
      <c r="B774" s="98" t="str">
        <f t="array" ref="B774">_xlfn.XLOOKUP(A774,'Video Database'!L:L,'Video Database'!D:D,"")</f>
        <v>Blakely</v>
      </c>
      <c r="C774" s="98" t="str">
        <f t="array" ref="C774">_xlfn.XLOOKUP(A774,'Video Database'!L:L,'Video Database'!E:E,"")</f>
        <v>Account 2</v>
      </c>
      <c r="D774" s="99" t="str">
        <f t="array" ref="D774">_xlfn.XLOOKUP(A774,'Video Database'!L:L,'Video Database'!G:G,"")</f>
        <v>IRIS Hormone Health Drink Mix</v>
      </c>
      <c r="E774" s="100">
        <f t="array" ref="E774">_xlfn.XLOOKUP(A774,'Video Database'!L:L,'Video Database'!H:H,"")</f>
        <v>0.11</v>
      </c>
      <c r="F774" s="101">
        <v>0.0</v>
      </c>
      <c r="G774" s="87">
        <v>0.0</v>
      </c>
      <c r="H774" s="114">
        <f t="array" ref="H774">_xlfn.XLOOKUP(A774,'Video Database'!L:L,'Video Database'!A:A,"")</f>
        <v>46196</v>
      </c>
      <c r="I774" s="103">
        <v>46201.0</v>
      </c>
      <c r="J774" s="104">
        <v>0.0</v>
      </c>
      <c r="K774" s="105"/>
      <c r="L774" s="105" t="str">
        <f t="shared" si="1"/>
        <v/>
      </c>
      <c r="O774" s="106" t="str">
        <f t="shared" si="2"/>
        <v>#N/A</v>
      </c>
      <c r="P774" s="106" t="str">
        <f t="shared" si="3"/>
        <v>#N/A</v>
      </c>
      <c r="Q774" s="84" t="str">
        <f t="shared" si="4"/>
        <v>#N/A</v>
      </c>
      <c r="R774" s="84" t="str">
        <f t="shared" si="5"/>
        <v>#N/A</v>
      </c>
      <c r="S774" s="107">
        <f t="shared" si="6"/>
        <v>-0.11</v>
      </c>
      <c r="T774" s="108">
        <f t="shared" si="7"/>
        <v>-1</v>
      </c>
      <c r="U774" s="106" t="str">
        <f t="shared" si="8"/>
        <v>#N/A</v>
      </c>
      <c r="V774" s="84" t="str">
        <f t="shared" si="9"/>
        <v/>
      </c>
      <c r="W774" s="109" t="str">
        <f t="shared" si="10"/>
        <v/>
      </c>
      <c r="X774" s="109" t="str">
        <f t="shared" si="11"/>
        <v/>
      </c>
      <c r="Y774" s="110" t="str">
        <f t="array" ref="Y774">_xlfn.XLOOKUP(A774,'Video Database'!L:L,'Video Database'!M:M,"")</f>
        <v>Product Overlay</v>
      </c>
    </row>
    <row r="775" ht="22.5" customHeight="1">
      <c r="A775" s="113">
        <f t="shared" si="12"/>
        <v>774</v>
      </c>
      <c r="B775" s="98" t="str">
        <f t="array" ref="B775">_xlfn.XLOOKUP(A775,'Video Database'!L:L,'Video Database'!D:D,"")</f>
        <v>Erin</v>
      </c>
      <c r="C775" s="98" t="str">
        <f t="array" ref="C775">_xlfn.XLOOKUP(A775,'Video Database'!L:L,'Video Database'!E:E,"")</f>
        <v>Account 2</v>
      </c>
      <c r="D775" s="99" t="str">
        <f t="array" ref="D775">_xlfn.XLOOKUP(A775,'Video Database'!L:L,'Video Database'!G:G,"")</f>
        <v>Medicube Kojic Accid Tumeric Power Duo</v>
      </c>
      <c r="E775" s="100">
        <f t="array" ref="E775">_xlfn.XLOOKUP(A775,'Video Database'!L:L,'Video Database'!H:H,"")</f>
        <v>0.7337</v>
      </c>
      <c r="F775" s="101">
        <v>0.0</v>
      </c>
      <c r="G775" s="87">
        <v>0.0</v>
      </c>
      <c r="H775" s="114">
        <f t="array" ref="H775">_xlfn.XLOOKUP(A775,'Video Database'!L:L,'Video Database'!A:A,"")</f>
        <v>46196</v>
      </c>
      <c r="I775" s="103">
        <v>46201.0</v>
      </c>
      <c r="J775" s="104">
        <v>0.0</v>
      </c>
      <c r="K775" s="105"/>
      <c r="L775" s="105" t="str">
        <f t="shared" si="1"/>
        <v/>
      </c>
      <c r="O775" s="106" t="str">
        <f t="shared" si="2"/>
        <v>#N/A</v>
      </c>
      <c r="P775" s="106" t="str">
        <f t="shared" si="3"/>
        <v>#N/A</v>
      </c>
      <c r="Q775" s="84" t="str">
        <f t="shared" si="4"/>
        <v>#N/A</v>
      </c>
      <c r="R775" s="84" t="str">
        <f t="shared" si="5"/>
        <v>#N/A</v>
      </c>
      <c r="S775" s="107">
        <f t="shared" si="6"/>
        <v>-0.7337</v>
      </c>
      <c r="T775" s="108">
        <f t="shared" si="7"/>
        <v>-1</v>
      </c>
      <c r="U775" s="106" t="str">
        <f t="shared" si="8"/>
        <v>#N/A</v>
      </c>
      <c r="V775" s="84" t="str">
        <f t="shared" si="9"/>
        <v/>
      </c>
      <c r="W775" s="109" t="str">
        <f t="shared" si="10"/>
        <v/>
      </c>
      <c r="X775" s="109" t="str">
        <f t="shared" si="11"/>
        <v/>
      </c>
      <c r="Y775" s="110" t="str">
        <f t="array" ref="Y775">_xlfn.XLOOKUP(A775,'Video Database'!L:L,'Video Database'!M:M,"")</f>
        <v>Bottom of Funnel</v>
      </c>
    </row>
    <row r="776" ht="22.5" customHeight="1">
      <c r="A776" s="113">
        <f t="shared" si="12"/>
        <v>775</v>
      </c>
      <c r="B776" s="98" t="str">
        <f t="array" ref="B776">_xlfn.XLOOKUP(A776,'Video Database'!L:L,'Video Database'!D:D,"")</f>
        <v>Blakely</v>
      </c>
      <c r="C776" s="98" t="str">
        <f t="array" ref="C776">_xlfn.XLOOKUP(A776,'Video Database'!L:L,'Video Database'!E:E,"")</f>
        <v>Account 2</v>
      </c>
      <c r="D776" s="99" t="str">
        <f t="array" ref="D776">_xlfn.XLOOKUP(A776,'Video Database'!L:L,'Video Database'!G:G,"")</f>
        <v>Nutricost Creatine Monohydrate</v>
      </c>
      <c r="E776" s="100">
        <f t="array" ref="E776">_xlfn.XLOOKUP(A776,'Video Database'!L:L,'Video Database'!H:H,"")</f>
        <v>0.11</v>
      </c>
      <c r="F776" s="101">
        <v>0.0</v>
      </c>
      <c r="G776" s="87">
        <v>0.0</v>
      </c>
      <c r="H776" s="114">
        <f t="array" ref="H776">_xlfn.XLOOKUP(A776,'Video Database'!L:L,'Video Database'!A:A,"")</f>
        <v>46196</v>
      </c>
      <c r="I776" s="103">
        <v>46201.0</v>
      </c>
      <c r="J776" s="104">
        <v>0.0</v>
      </c>
      <c r="K776" s="105"/>
      <c r="L776" s="105" t="str">
        <f t="shared" si="1"/>
        <v/>
      </c>
      <c r="O776" s="106" t="str">
        <f t="shared" si="2"/>
        <v>#N/A</v>
      </c>
      <c r="P776" s="106" t="str">
        <f t="shared" si="3"/>
        <v>#N/A</v>
      </c>
      <c r="Q776" s="84" t="str">
        <f t="shared" si="4"/>
        <v>#N/A</v>
      </c>
      <c r="R776" s="84" t="str">
        <f t="shared" si="5"/>
        <v>#N/A</v>
      </c>
      <c r="S776" s="107">
        <f t="shared" si="6"/>
        <v>-0.11</v>
      </c>
      <c r="T776" s="108">
        <f t="shared" si="7"/>
        <v>-1</v>
      </c>
      <c r="U776" s="106" t="str">
        <f t="shared" si="8"/>
        <v>#N/A</v>
      </c>
      <c r="V776" s="84" t="str">
        <f t="shared" si="9"/>
        <v/>
      </c>
      <c r="W776" s="109" t="str">
        <f t="shared" si="10"/>
        <v/>
      </c>
      <c r="X776" s="109" t="str">
        <f t="shared" si="11"/>
        <v/>
      </c>
      <c r="Y776" s="110" t="str">
        <f t="array" ref="Y776">_xlfn.XLOOKUP(A776,'Video Database'!L:L,'Video Database'!M:M,"")</f>
        <v>Product Overlay</v>
      </c>
    </row>
    <row r="777" ht="22.5" customHeight="1">
      <c r="A777" s="113">
        <f t="shared" si="12"/>
        <v>776</v>
      </c>
      <c r="B777" s="98" t="str">
        <f t="array" ref="B777">_xlfn.XLOOKUP(A777,'Video Database'!L:L,'Video Database'!D:D,"")</f>
        <v>Blakely</v>
      </c>
      <c r="C777" s="98" t="str">
        <f t="array" ref="C777">_xlfn.XLOOKUP(A777,'Video Database'!L:L,'Video Database'!E:E,"")</f>
        <v>Account 2</v>
      </c>
      <c r="D777" s="99" t="str">
        <f t="array" ref="D777">_xlfn.XLOOKUP(A777,'Video Database'!L:L,'Video Database'!G:G,"")</f>
        <v>Portable Magnetic Phone Mount</v>
      </c>
      <c r="E777" s="100">
        <f t="array" ref="E777">_xlfn.XLOOKUP(A777,'Video Database'!L:L,'Video Database'!H:H,"")</f>
        <v>0.11</v>
      </c>
      <c r="F777" s="101">
        <v>0.0</v>
      </c>
      <c r="G777" s="87">
        <v>0.0</v>
      </c>
      <c r="H777" s="114">
        <f t="array" ref="H777">_xlfn.XLOOKUP(A777,'Video Database'!L:L,'Video Database'!A:A,"")</f>
        <v>46196</v>
      </c>
      <c r="I777" s="103">
        <v>46201.0</v>
      </c>
      <c r="J777" s="104">
        <v>0.0</v>
      </c>
      <c r="K777" s="105"/>
      <c r="L777" s="105" t="str">
        <f t="shared" si="1"/>
        <v/>
      </c>
      <c r="O777" s="106" t="str">
        <f t="shared" si="2"/>
        <v>#N/A</v>
      </c>
      <c r="P777" s="106" t="str">
        <f t="shared" si="3"/>
        <v>#N/A</v>
      </c>
      <c r="Q777" s="84" t="str">
        <f t="shared" si="4"/>
        <v>#N/A</v>
      </c>
      <c r="R777" s="84" t="str">
        <f t="shared" si="5"/>
        <v>#N/A</v>
      </c>
      <c r="S777" s="107">
        <f t="shared" si="6"/>
        <v>-0.11</v>
      </c>
      <c r="T777" s="108">
        <f t="shared" si="7"/>
        <v>-1</v>
      </c>
      <c r="U777" s="106" t="str">
        <f t="shared" si="8"/>
        <v>#N/A</v>
      </c>
      <c r="V777" s="84" t="str">
        <f t="shared" si="9"/>
        <v/>
      </c>
      <c r="W777" s="109" t="str">
        <f t="shared" si="10"/>
        <v/>
      </c>
      <c r="X777" s="109" t="str">
        <f t="shared" si="11"/>
        <v/>
      </c>
      <c r="Y777" s="110" t="str">
        <f t="array" ref="Y777">_xlfn.XLOOKUP(A777,'Video Database'!L:L,'Video Database'!M:M,"")</f>
        <v>Product Overlay</v>
      </c>
    </row>
    <row r="778" ht="22.5" customHeight="1">
      <c r="A778" s="113">
        <f t="shared" si="12"/>
        <v>777</v>
      </c>
      <c r="B778" s="98" t="str">
        <f t="array" ref="B778">_xlfn.XLOOKUP(A778,'Video Database'!L:L,'Video Database'!D:D,"")</f>
        <v>Blakely</v>
      </c>
      <c r="C778" s="98" t="str">
        <f t="array" ref="C778">_xlfn.XLOOKUP(A778,'Video Database'!L:L,'Video Database'!E:E,"")</f>
        <v>Account 2</v>
      </c>
      <c r="D778" s="99" t="str">
        <f t="array" ref="D778">_xlfn.XLOOKUP(A778,'Video Database'!L:L,'Video Database'!G:G,"")</f>
        <v>Neurogum Watermelon</v>
      </c>
      <c r="E778" s="100">
        <f t="array" ref="E778">_xlfn.XLOOKUP(A778,'Video Database'!L:L,'Video Database'!H:H,"")</f>
        <v>0.11</v>
      </c>
      <c r="F778" s="101">
        <v>0.0</v>
      </c>
      <c r="G778" s="87">
        <v>0.0</v>
      </c>
      <c r="H778" s="114">
        <f t="array" ref="H778">_xlfn.XLOOKUP(A778,'Video Database'!L:L,'Video Database'!A:A,"")</f>
        <v>46196</v>
      </c>
      <c r="I778" s="103">
        <v>46201.0</v>
      </c>
      <c r="J778" s="104">
        <v>0.0</v>
      </c>
      <c r="K778" s="105"/>
      <c r="L778" s="105" t="str">
        <f t="shared" si="1"/>
        <v/>
      </c>
      <c r="O778" s="106" t="str">
        <f t="shared" si="2"/>
        <v>#N/A</v>
      </c>
      <c r="P778" s="106" t="str">
        <f t="shared" si="3"/>
        <v>#N/A</v>
      </c>
      <c r="Q778" s="84" t="str">
        <f t="shared" si="4"/>
        <v>#N/A</v>
      </c>
      <c r="R778" s="84" t="str">
        <f t="shared" si="5"/>
        <v>#N/A</v>
      </c>
      <c r="S778" s="107">
        <f t="shared" si="6"/>
        <v>-0.11</v>
      </c>
      <c r="T778" s="108">
        <f t="shared" si="7"/>
        <v>-1</v>
      </c>
      <c r="U778" s="106" t="str">
        <f t="shared" si="8"/>
        <v>#N/A</v>
      </c>
      <c r="V778" s="84" t="str">
        <f t="shared" si="9"/>
        <v/>
      </c>
      <c r="W778" s="109" t="str">
        <f t="shared" si="10"/>
        <v/>
      </c>
      <c r="X778" s="109" t="str">
        <f t="shared" si="11"/>
        <v/>
      </c>
      <c r="Y778" s="110" t="str">
        <f t="array" ref="Y778">_xlfn.XLOOKUP(A778,'Video Database'!L:L,'Video Database'!M:M,"")</f>
        <v>Bottom of Funnel</v>
      </c>
    </row>
    <row r="779" ht="22.5" customHeight="1">
      <c r="A779" s="113">
        <f t="shared" si="12"/>
        <v>778</v>
      </c>
      <c r="B779" s="98" t="str">
        <f t="array" ref="B779">_xlfn.XLOOKUP(A779,'Video Database'!L:L,'Video Database'!D:D,"")</f>
        <v>Blakely</v>
      </c>
      <c r="C779" s="98" t="str">
        <f t="array" ref="C779">_xlfn.XLOOKUP(A779,'Video Database'!L:L,'Video Database'!E:E,"")</f>
        <v>Account 2</v>
      </c>
      <c r="D779" s="99" t="str">
        <f t="array" ref="D779">_xlfn.XLOOKUP(A779,'Video Database'!L:L,'Video Database'!G:G,"")</f>
        <v>Goli Women's Complete Multi Gummy</v>
      </c>
      <c r="E779" s="100">
        <f t="array" ref="E779">_xlfn.XLOOKUP(A779,'Video Database'!L:L,'Video Database'!H:H,"")</f>
        <v>0.11</v>
      </c>
      <c r="F779" s="101">
        <v>0.0</v>
      </c>
      <c r="G779" s="87">
        <v>0.0</v>
      </c>
      <c r="H779" s="114">
        <f t="array" ref="H779">_xlfn.XLOOKUP(A779,'Video Database'!L:L,'Video Database'!A:A,"")</f>
        <v>46196</v>
      </c>
      <c r="I779" s="103">
        <v>46201.0</v>
      </c>
      <c r="J779" s="104">
        <v>0.0</v>
      </c>
      <c r="K779" s="105"/>
      <c r="L779" s="105" t="str">
        <f t="shared" si="1"/>
        <v/>
      </c>
      <c r="O779" s="106" t="str">
        <f t="shared" si="2"/>
        <v>#N/A</v>
      </c>
      <c r="P779" s="106" t="str">
        <f t="shared" si="3"/>
        <v>#N/A</v>
      </c>
      <c r="Q779" s="84" t="str">
        <f t="shared" si="4"/>
        <v>#N/A</v>
      </c>
      <c r="R779" s="84" t="str">
        <f t="shared" si="5"/>
        <v>#N/A</v>
      </c>
      <c r="S779" s="107">
        <f t="shared" si="6"/>
        <v>-0.11</v>
      </c>
      <c r="T779" s="108">
        <f t="shared" si="7"/>
        <v>-1</v>
      </c>
      <c r="U779" s="106" t="str">
        <f t="shared" si="8"/>
        <v>#N/A</v>
      </c>
      <c r="V779" s="84" t="str">
        <f t="shared" si="9"/>
        <v/>
      </c>
      <c r="W779" s="109" t="str">
        <f t="shared" si="10"/>
        <v/>
      </c>
      <c r="X779" s="109" t="str">
        <f t="shared" si="11"/>
        <v/>
      </c>
      <c r="Y779" s="110" t="str">
        <f t="array" ref="Y779">_xlfn.XLOOKUP(A779,'Video Database'!L:L,'Video Database'!M:M,"")</f>
        <v>Product Overlay</v>
      </c>
    </row>
    <row r="780" ht="22.5" customHeight="1">
      <c r="A780" s="113">
        <f t="shared" si="12"/>
        <v>779</v>
      </c>
      <c r="B780" s="98" t="str">
        <f t="array" ref="B780">_xlfn.XLOOKUP(A780,'Video Database'!L:L,'Video Database'!D:D,"")</f>
        <v>Blakely</v>
      </c>
      <c r="C780" s="98" t="str">
        <f t="array" ref="C780">_xlfn.XLOOKUP(A780,'Video Database'!L:L,'Video Database'!E:E,"")</f>
        <v>Account 2</v>
      </c>
      <c r="D780" s="99" t="str">
        <f t="array" ref="D780">_xlfn.XLOOKUP(A780,'Video Database'!L:L,'Video Database'!G:G,"")</f>
        <v>BetterAlt Shilajit Honey Sticks</v>
      </c>
      <c r="E780" s="100">
        <f t="array" ref="E780">_xlfn.XLOOKUP(A780,'Video Database'!L:L,'Video Database'!H:H,"")</f>
        <v>0.11</v>
      </c>
      <c r="F780" s="101">
        <v>7.2</v>
      </c>
      <c r="G780" s="87">
        <v>1.0</v>
      </c>
      <c r="H780" s="114">
        <f t="array" ref="H780">_xlfn.XLOOKUP(A780,'Video Database'!L:L,'Video Database'!A:A,"")</f>
        <v>46196</v>
      </c>
      <c r="I780" s="103">
        <v>46201.0</v>
      </c>
      <c r="J780" s="104">
        <v>1.8</v>
      </c>
      <c r="K780" s="87">
        <v>1.0</v>
      </c>
      <c r="L780" s="105">
        <f t="shared" si="1"/>
        <v>533</v>
      </c>
      <c r="M780" s="87">
        <v>533.0</v>
      </c>
      <c r="O780" s="106">
        <f t="shared" si="2"/>
        <v>0.001876172608</v>
      </c>
      <c r="P780" s="106">
        <f t="shared" si="3"/>
        <v>1</v>
      </c>
      <c r="Q780" s="84">
        <f t="shared" si="4"/>
        <v>1.8</v>
      </c>
      <c r="R780" s="84">
        <f t="shared" si="5"/>
        <v>7.2</v>
      </c>
      <c r="S780" s="107">
        <f t="shared" si="6"/>
        <v>1.69</v>
      </c>
      <c r="T780" s="108">
        <f t="shared" si="7"/>
        <v>15.36363636</v>
      </c>
      <c r="U780" s="106">
        <f t="shared" si="8"/>
        <v>0.9388888889</v>
      </c>
      <c r="V780" s="129">
        <f t="shared" si="9"/>
        <v>0.11</v>
      </c>
      <c r="W780" s="109">
        <f t="shared" si="10"/>
        <v>0.11</v>
      </c>
      <c r="X780" s="109">
        <f t="shared" si="11"/>
        <v>1.527777778</v>
      </c>
      <c r="Y780" s="110" t="str">
        <f t="array" ref="Y780">_xlfn.XLOOKUP(A780,'Video Database'!L:L,'Video Database'!M:M,"")</f>
        <v>Bottom of Funnel</v>
      </c>
    </row>
    <row r="781" ht="22.5" customHeight="1">
      <c r="A781" s="113">
        <f t="shared" si="12"/>
        <v>780</v>
      </c>
      <c r="B781" s="98" t="str">
        <f t="array" ref="B781">_xlfn.XLOOKUP(A781,'Video Database'!L:L,'Video Database'!D:D,"")</f>
        <v>Blakely</v>
      </c>
      <c r="C781" s="98" t="str">
        <f t="array" ref="C781">_xlfn.XLOOKUP(A781,'Video Database'!L:L,'Video Database'!E:E,"")</f>
        <v>Account 2</v>
      </c>
      <c r="D781" s="99" t="str">
        <f t="array" ref="D781">_xlfn.XLOOKUP(A781,'Video Database'!L:L,'Video Database'!G:G,"")</f>
        <v>Beast Bites Creatine Gummies</v>
      </c>
      <c r="E781" s="100">
        <f t="array" ref="E781">_xlfn.XLOOKUP(A781,'Video Database'!L:L,'Video Database'!H:H,"")</f>
        <v>0.11</v>
      </c>
      <c r="F781" s="101">
        <v>0.0</v>
      </c>
      <c r="G781" s="87">
        <v>0.0</v>
      </c>
      <c r="H781" s="114">
        <f t="array" ref="H781">_xlfn.XLOOKUP(A781,'Video Database'!L:L,'Video Database'!A:A,"")</f>
        <v>46196</v>
      </c>
      <c r="I781" s="103">
        <v>46201.0</v>
      </c>
      <c r="J781" s="104">
        <v>0.0</v>
      </c>
      <c r="K781" s="105"/>
      <c r="L781" s="105" t="str">
        <f t="shared" si="1"/>
        <v/>
      </c>
      <c r="O781" s="106" t="str">
        <f t="shared" si="2"/>
        <v>#N/A</v>
      </c>
      <c r="P781" s="106" t="str">
        <f t="shared" si="3"/>
        <v>#N/A</v>
      </c>
      <c r="Q781" s="84" t="str">
        <f t="shared" si="4"/>
        <v>#N/A</v>
      </c>
      <c r="R781" s="84" t="str">
        <f t="shared" si="5"/>
        <v>#N/A</v>
      </c>
      <c r="S781" s="107">
        <f t="shared" si="6"/>
        <v>-0.11</v>
      </c>
      <c r="T781" s="108">
        <f t="shared" si="7"/>
        <v>-1</v>
      </c>
      <c r="U781" s="106" t="str">
        <f t="shared" si="8"/>
        <v>#N/A</v>
      </c>
      <c r="V781" s="84" t="str">
        <f t="shared" si="9"/>
        <v/>
      </c>
      <c r="W781" s="109" t="str">
        <f t="shared" si="10"/>
        <v/>
      </c>
      <c r="X781" s="109" t="str">
        <f t="shared" si="11"/>
        <v/>
      </c>
      <c r="Y781" s="110" t="str">
        <f t="array" ref="Y781">_xlfn.XLOOKUP(A781,'Video Database'!L:L,'Video Database'!M:M,"")</f>
        <v>Product Overlay</v>
      </c>
    </row>
    <row r="782" ht="22.5" customHeight="1">
      <c r="A782" s="113">
        <f t="shared" si="12"/>
        <v>781</v>
      </c>
      <c r="B782" s="98" t="str">
        <f t="array" ref="B782">_xlfn.XLOOKUP(A782,'Video Database'!L:L,'Video Database'!D:D,"")</f>
        <v>Blakely</v>
      </c>
      <c r="C782" s="98" t="str">
        <f t="array" ref="C782">_xlfn.XLOOKUP(A782,'Video Database'!L:L,'Video Database'!E:E,"")</f>
        <v>Account 2</v>
      </c>
      <c r="D782" s="99" t="str">
        <f t="array" ref="D782">_xlfn.XLOOKUP(A782,'Video Database'!L:L,'Video Database'!G:G,"")</f>
        <v>COSRX US The Copper Peptide Serum</v>
      </c>
      <c r="E782" s="100">
        <f t="array" ref="E782">_xlfn.XLOOKUP(A782,'Video Database'!L:L,'Video Database'!H:H,"")</f>
        <v>0.11</v>
      </c>
      <c r="F782" s="101">
        <v>0.0</v>
      </c>
      <c r="G782" s="87">
        <v>0.0</v>
      </c>
      <c r="H782" s="114">
        <f t="array" ref="H782">_xlfn.XLOOKUP(A782,'Video Database'!L:L,'Video Database'!A:A,"")</f>
        <v>46196</v>
      </c>
      <c r="I782" s="103">
        <v>46201.0</v>
      </c>
      <c r="J782" s="104">
        <v>0.0</v>
      </c>
      <c r="K782" s="105"/>
      <c r="L782" s="105" t="str">
        <f t="shared" si="1"/>
        <v/>
      </c>
      <c r="O782" s="106" t="str">
        <f t="shared" si="2"/>
        <v>#N/A</v>
      </c>
      <c r="P782" s="106" t="str">
        <f t="shared" si="3"/>
        <v>#N/A</v>
      </c>
      <c r="Q782" s="84" t="str">
        <f t="shared" si="4"/>
        <v>#N/A</v>
      </c>
      <c r="R782" s="84" t="str">
        <f t="shared" si="5"/>
        <v>#N/A</v>
      </c>
      <c r="S782" s="107">
        <f t="shared" si="6"/>
        <v>-0.11</v>
      </c>
      <c r="T782" s="108">
        <f t="shared" si="7"/>
        <v>-1</v>
      </c>
      <c r="U782" s="106" t="str">
        <f t="shared" si="8"/>
        <v>#N/A</v>
      </c>
      <c r="V782" s="84" t="str">
        <f t="shared" si="9"/>
        <v/>
      </c>
      <c r="W782" s="109" t="str">
        <f t="shared" si="10"/>
        <v/>
      </c>
      <c r="X782" s="109" t="str">
        <f t="shared" si="11"/>
        <v/>
      </c>
      <c r="Y782" s="110" t="str">
        <f t="array" ref="Y782">_xlfn.XLOOKUP(A782,'Video Database'!L:L,'Video Database'!M:M,"")</f>
        <v>Product Overlay</v>
      </c>
    </row>
    <row r="783" ht="22.5" customHeight="1">
      <c r="A783" s="113">
        <f t="shared" si="12"/>
        <v>782</v>
      </c>
      <c r="B783" s="98" t="str">
        <f t="array" ref="B783">_xlfn.XLOOKUP(A783,'Video Database'!L:L,'Video Database'!D:D,"")</f>
        <v>Blakely</v>
      </c>
      <c r="C783" s="98" t="str">
        <f t="array" ref="C783">_xlfn.XLOOKUP(A783,'Video Database'!L:L,'Video Database'!E:E,"")</f>
        <v>Account 2</v>
      </c>
      <c r="D783" s="99" t="str">
        <f t="array" ref="D783">_xlfn.XLOOKUP(A783,'Video Database'!L:L,'Video Database'!G:G,"")</f>
        <v>Nutricost Creatine Monohydrate</v>
      </c>
      <c r="E783" s="100">
        <f t="array" ref="E783">_xlfn.XLOOKUP(A783,'Video Database'!L:L,'Video Database'!H:H,"")</f>
        <v>0.11</v>
      </c>
      <c r="F783" s="101">
        <v>0.0</v>
      </c>
      <c r="G783" s="87">
        <v>0.0</v>
      </c>
      <c r="H783" s="114">
        <f t="array" ref="H783">_xlfn.XLOOKUP(A783,'Video Database'!L:L,'Video Database'!A:A,"")</f>
        <v>46196</v>
      </c>
      <c r="I783" s="103">
        <v>46201.0</v>
      </c>
      <c r="J783" s="104">
        <v>0.0</v>
      </c>
      <c r="K783" s="105"/>
      <c r="L783" s="105" t="str">
        <f t="shared" si="1"/>
        <v/>
      </c>
      <c r="O783" s="106" t="str">
        <f t="shared" si="2"/>
        <v>#N/A</v>
      </c>
      <c r="P783" s="106" t="str">
        <f t="shared" si="3"/>
        <v>#N/A</v>
      </c>
      <c r="Q783" s="84" t="str">
        <f t="shared" si="4"/>
        <v>#N/A</v>
      </c>
      <c r="R783" s="84" t="str">
        <f t="shared" si="5"/>
        <v>#N/A</v>
      </c>
      <c r="S783" s="107">
        <f t="shared" si="6"/>
        <v>-0.11</v>
      </c>
      <c r="T783" s="108">
        <f t="shared" si="7"/>
        <v>-1</v>
      </c>
      <c r="U783" s="106" t="str">
        <f t="shared" si="8"/>
        <v>#N/A</v>
      </c>
      <c r="V783" s="84" t="str">
        <f t="shared" si="9"/>
        <v/>
      </c>
      <c r="W783" s="109" t="str">
        <f t="shared" si="10"/>
        <v/>
      </c>
      <c r="X783" s="109" t="str">
        <f t="shared" si="11"/>
        <v/>
      </c>
      <c r="Y783" s="110" t="str">
        <f t="array" ref="Y783">_xlfn.XLOOKUP(A783,'Video Database'!L:L,'Video Database'!M:M,"")</f>
        <v>Product Overlay</v>
      </c>
    </row>
    <row r="784" ht="22.5" customHeight="1">
      <c r="A784" s="113">
        <f t="shared" si="12"/>
        <v>783</v>
      </c>
      <c r="B784" s="98" t="str">
        <f t="array" ref="B784">_xlfn.XLOOKUP(A784,'Video Database'!L:L,'Video Database'!D:D,"")</f>
        <v>Erin</v>
      </c>
      <c r="C784" s="98" t="str">
        <f t="array" ref="C784">_xlfn.XLOOKUP(A784,'Video Database'!L:L,'Video Database'!E:E,"")</f>
        <v>Account 2</v>
      </c>
      <c r="D784" s="99" t="str">
        <f t="array" ref="D784">_xlfn.XLOOKUP(A784,'Video Database'!L:L,'Video Database'!G:G,"")</f>
        <v>Color Wow Quick Refresh and Styling Bundle</v>
      </c>
      <c r="E784" s="100">
        <f t="array" ref="E784">_xlfn.XLOOKUP(A784,'Video Database'!L:L,'Video Database'!H:H,"")</f>
        <v>0.7337</v>
      </c>
      <c r="F784" s="101">
        <v>0.0</v>
      </c>
      <c r="G784" s="87">
        <v>0.0</v>
      </c>
      <c r="H784" s="114">
        <f t="array" ref="H784">_xlfn.XLOOKUP(A784,'Video Database'!L:L,'Video Database'!A:A,"")</f>
        <v>46196</v>
      </c>
      <c r="I784" s="103">
        <v>46201.0</v>
      </c>
      <c r="J784" s="104">
        <v>0.0</v>
      </c>
      <c r="K784" s="105"/>
      <c r="L784" s="105" t="str">
        <f t="shared" si="1"/>
        <v/>
      </c>
      <c r="O784" s="106" t="str">
        <f t="shared" si="2"/>
        <v>#N/A</v>
      </c>
      <c r="P784" s="106" t="str">
        <f t="shared" si="3"/>
        <v>#N/A</v>
      </c>
      <c r="Q784" s="84" t="str">
        <f t="shared" si="4"/>
        <v>#N/A</v>
      </c>
      <c r="R784" s="84" t="str">
        <f t="shared" si="5"/>
        <v>#N/A</v>
      </c>
      <c r="S784" s="107">
        <f t="shared" si="6"/>
        <v>-0.7337</v>
      </c>
      <c r="T784" s="108">
        <f t="shared" si="7"/>
        <v>-1</v>
      </c>
      <c r="U784" s="106" t="str">
        <f t="shared" si="8"/>
        <v>#N/A</v>
      </c>
      <c r="V784" s="84" t="str">
        <f t="shared" si="9"/>
        <v/>
      </c>
      <c r="W784" s="109" t="str">
        <f t="shared" si="10"/>
        <v/>
      </c>
      <c r="X784" s="109" t="str">
        <f t="shared" si="11"/>
        <v/>
      </c>
      <c r="Y784" s="110" t="str">
        <f t="array" ref="Y784">_xlfn.XLOOKUP(A784,'Video Database'!L:L,'Video Database'!M:M,"")</f>
        <v>Bottom of Funnel</v>
      </c>
    </row>
    <row r="785" ht="22.5" customHeight="1">
      <c r="A785" s="113">
        <f t="shared" si="12"/>
        <v>784</v>
      </c>
      <c r="B785" s="98" t="str">
        <f t="array" ref="B785">_xlfn.XLOOKUP(A785,'Video Database'!L:L,'Video Database'!D:D,"")</f>
        <v>Brittney</v>
      </c>
      <c r="C785" s="98" t="str">
        <f t="array" ref="C785">_xlfn.XLOOKUP(A785,'Video Database'!L:L,'Video Database'!E:E,"")</f>
        <v>Account 2</v>
      </c>
      <c r="D785" s="99" t="str">
        <f t="array" ref="D785">_xlfn.XLOOKUP(A785,'Video Database'!L:L,'Video Database'!G:G,"")</f>
        <v>Gruns Greens Popsicle Firecracker Gummies</v>
      </c>
      <c r="E785" s="100">
        <f t="array" ref="E785">_xlfn.XLOOKUP(A785,'Video Database'!L:L,'Video Database'!H:H,"")</f>
        <v>0.11</v>
      </c>
      <c r="F785" s="101">
        <v>0.0</v>
      </c>
      <c r="G785" s="87">
        <v>0.0</v>
      </c>
      <c r="H785" s="114">
        <f t="array" ref="H785">_xlfn.XLOOKUP(A785,'Video Database'!L:L,'Video Database'!A:A,"")</f>
        <v>46196</v>
      </c>
      <c r="I785" s="103">
        <v>46201.0</v>
      </c>
      <c r="J785" s="104">
        <v>0.0</v>
      </c>
      <c r="K785" s="105"/>
      <c r="L785" s="105" t="str">
        <f t="shared" si="1"/>
        <v/>
      </c>
      <c r="O785" s="106" t="str">
        <f t="shared" si="2"/>
        <v>#N/A</v>
      </c>
      <c r="P785" s="106" t="str">
        <f t="shared" si="3"/>
        <v>#N/A</v>
      </c>
      <c r="Q785" s="84" t="str">
        <f t="shared" si="4"/>
        <v>#N/A</v>
      </c>
      <c r="R785" s="84" t="str">
        <f t="shared" si="5"/>
        <v>#N/A</v>
      </c>
      <c r="S785" s="107">
        <f t="shared" si="6"/>
        <v>-0.11</v>
      </c>
      <c r="T785" s="108">
        <f t="shared" si="7"/>
        <v>-1</v>
      </c>
      <c r="U785" s="106" t="str">
        <f t="shared" si="8"/>
        <v>#N/A</v>
      </c>
      <c r="V785" s="84" t="str">
        <f t="shared" si="9"/>
        <v/>
      </c>
      <c r="W785" s="109" t="str">
        <f t="shared" si="10"/>
        <v/>
      </c>
      <c r="X785" s="109" t="str">
        <f t="shared" si="11"/>
        <v/>
      </c>
      <c r="Y785" s="110" t="str">
        <f t="array" ref="Y785">_xlfn.XLOOKUP(A785,'Video Database'!L:L,'Video Database'!M:M,"")</f>
        <v>Bottom of Funnel</v>
      </c>
    </row>
    <row r="786" ht="22.5" customHeight="1">
      <c r="A786" s="113">
        <f t="shared" si="12"/>
        <v>785</v>
      </c>
      <c r="B786" s="98" t="str">
        <f t="array" ref="B786">_xlfn.XLOOKUP(A786,'Video Database'!L:L,'Video Database'!D:D,"")</f>
        <v>Erin</v>
      </c>
      <c r="C786" s="98" t="str">
        <f t="array" ref="C786">_xlfn.XLOOKUP(A786,'Video Database'!L:L,'Video Database'!E:E,"")</f>
        <v>Account 2</v>
      </c>
      <c r="D786" s="99" t="str">
        <f t="array" ref="D786">_xlfn.XLOOKUP(A786,'Video Database'!L:L,'Video Database'!G:G,"")</f>
        <v>Medicube Kojic Accid Tumeric Power Duo</v>
      </c>
      <c r="E786" s="100">
        <f t="array" ref="E786">_xlfn.XLOOKUP(A786,'Video Database'!L:L,'Video Database'!H:H,"")</f>
        <v>0.7337</v>
      </c>
      <c r="F786" s="101">
        <v>0.0</v>
      </c>
      <c r="G786" s="87">
        <v>0.0</v>
      </c>
      <c r="H786" s="114">
        <f t="array" ref="H786">_xlfn.XLOOKUP(A786,'Video Database'!L:L,'Video Database'!A:A,"")</f>
        <v>46196</v>
      </c>
      <c r="I786" s="103">
        <v>46201.0</v>
      </c>
      <c r="J786" s="104">
        <v>0.0</v>
      </c>
      <c r="K786" s="105"/>
      <c r="L786" s="105" t="str">
        <f t="shared" si="1"/>
        <v/>
      </c>
      <c r="O786" s="106" t="str">
        <f t="shared" si="2"/>
        <v>#N/A</v>
      </c>
      <c r="P786" s="106" t="str">
        <f t="shared" si="3"/>
        <v>#N/A</v>
      </c>
      <c r="Q786" s="84" t="str">
        <f t="shared" si="4"/>
        <v>#N/A</v>
      </c>
      <c r="R786" s="84" t="str">
        <f t="shared" si="5"/>
        <v>#N/A</v>
      </c>
      <c r="S786" s="107">
        <f t="shared" si="6"/>
        <v>-0.7337</v>
      </c>
      <c r="T786" s="108">
        <f t="shared" si="7"/>
        <v>-1</v>
      </c>
      <c r="U786" s="106" t="str">
        <f t="shared" si="8"/>
        <v>#N/A</v>
      </c>
      <c r="V786" s="84" t="str">
        <f t="shared" si="9"/>
        <v/>
      </c>
      <c r="W786" s="109" t="str">
        <f t="shared" si="10"/>
        <v/>
      </c>
      <c r="X786" s="109" t="str">
        <f t="shared" si="11"/>
        <v/>
      </c>
      <c r="Y786" s="110" t="str">
        <f t="array" ref="Y786">_xlfn.XLOOKUP(A786,'Video Database'!L:L,'Video Database'!M:M,"")</f>
        <v>Bottom of Funnel</v>
      </c>
    </row>
    <row r="787" ht="22.5" customHeight="1">
      <c r="A787" s="113">
        <f t="shared" si="12"/>
        <v>786</v>
      </c>
      <c r="B787" s="98" t="str">
        <f t="array" ref="B787">_xlfn.XLOOKUP(A787,'Video Database'!L:L,'Video Database'!D:D,"")</f>
        <v>Erin</v>
      </c>
      <c r="C787" s="98" t="str">
        <f t="array" ref="C787">_xlfn.XLOOKUP(A787,'Video Database'!L:L,'Video Database'!E:E,"")</f>
        <v>Account 2</v>
      </c>
      <c r="D787" s="99" t="str">
        <f t="array" ref="D787">_xlfn.XLOOKUP(A787,'Video Database'!L:L,'Video Database'!G:G,"")</f>
        <v>Color Wow Quick Refresh and Styling Bundle</v>
      </c>
      <c r="E787" s="100">
        <f t="array" ref="E787">_xlfn.XLOOKUP(A787,'Video Database'!L:L,'Video Database'!H:H,"")</f>
        <v>0.7337</v>
      </c>
      <c r="F787" s="101">
        <v>0.0</v>
      </c>
      <c r="G787" s="87">
        <v>0.0</v>
      </c>
      <c r="H787" s="114">
        <f t="array" ref="H787">_xlfn.XLOOKUP(A787,'Video Database'!L:L,'Video Database'!A:A,"")</f>
        <v>46196</v>
      </c>
      <c r="I787" s="103">
        <v>46201.0</v>
      </c>
      <c r="J787" s="104">
        <v>0.0</v>
      </c>
      <c r="K787" s="105"/>
      <c r="L787" s="105" t="str">
        <f t="shared" si="1"/>
        <v/>
      </c>
      <c r="O787" s="106" t="str">
        <f t="shared" si="2"/>
        <v>#N/A</v>
      </c>
      <c r="P787" s="106" t="str">
        <f t="shared" si="3"/>
        <v>#N/A</v>
      </c>
      <c r="Q787" s="84" t="str">
        <f t="shared" si="4"/>
        <v>#N/A</v>
      </c>
      <c r="R787" s="84" t="str">
        <f t="shared" si="5"/>
        <v>#N/A</v>
      </c>
      <c r="S787" s="107">
        <f t="shared" si="6"/>
        <v>-0.7337</v>
      </c>
      <c r="T787" s="108">
        <f t="shared" si="7"/>
        <v>-1</v>
      </c>
      <c r="U787" s="106" t="str">
        <f t="shared" si="8"/>
        <v>#N/A</v>
      </c>
      <c r="V787" s="84" t="str">
        <f t="shared" si="9"/>
        <v/>
      </c>
      <c r="W787" s="109" t="str">
        <f t="shared" si="10"/>
        <v/>
      </c>
      <c r="X787" s="109" t="str">
        <f t="shared" si="11"/>
        <v/>
      </c>
      <c r="Y787" s="110" t="str">
        <f t="array" ref="Y787">_xlfn.XLOOKUP(A787,'Video Database'!L:L,'Video Database'!M:M,"")</f>
        <v>Bottom of Funnel</v>
      </c>
    </row>
    <row r="788" ht="22.5" customHeight="1">
      <c r="A788" s="113">
        <f t="shared" si="12"/>
        <v>787</v>
      </c>
      <c r="B788" s="98" t="str">
        <f t="array" ref="B788">_xlfn.XLOOKUP(A788,'Video Database'!L:L,'Video Database'!D:D,"")</f>
        <v>Blakely</v>
      </c>
      <c r="C788" s="98" t="str">
        <f t="array" ref="C788">_xlfn.XLOOKUP(A788,'Video Database'!L:L,'Video Database'!E:E,"")</f>
        <v>Account 2</v>
      </c>
      <c r="D788" s="99" t="str">
        <f t="array" ref="D788">_xlfn.XLOOKUP(A788,'Video Database'!L:L,'Video Database'!G:G,"")</f>
        <v>Portable Magnetic Phone Mount</v>
      </c>
      <c r="E788" s="100">
        <f t="array" ref="E788">_xlfn.XLOOKUP(A788,'Video Database'!L:L,'Video Database'!H:H,"")</f>
        <v>0.11</v>
      </c>
      <c r="F788" s="101">
        <v>0.0</v>
      </c>
      <c r="G788" s="87">
        <v>0.0</v>
      </c>
      <c r="H788" s="114">
        <f t="array" ref="H788">_xlfn.XLOOKUP(A788,'Video Database'!L:L,'Video Database'!A:A,"")</f>
        <v>46196</v>
      </c>
      <c r="I788" s="103">
        <v>46201.0</v>
      </c>
      <c r="J788" s="104">
        <v>0.0</v>
      </c>
      <c r="K788" s="105"/>
      <c r="L788" s="105" t="str">
        <f t="shared" si="1"/>
        <v/>
      </c>
      <c r="O788" s="106" t="str">
        <f t="shared" si="2"/>
        <v>#N/A</v>
      </c>
      <c r="P788" s="106" t="str">
        <f t="shared" si="3"/>
        <v>#N/A</v>
      </c>
      <c r="Q788" s="84" t="str">
        <f t="shared" si="4"/>
        <v>#N/A</v>
      </c>
      <c r="R788" s="84" t="str">
        <f t="shared" si="5"/>
        <v>#N/A</v>
      </c>
      <c r="S788" s="107">
        <f t="shared" si="6"/>
        <v>-0.11</v>
      </c>
      <c r="T788" s="108">
        <f t="shared" si="7"/>
        <v>-1</v>
      </c>
      <c r="U788" s="106" t="str">
        <f t="shared" si="8"/>
        <v>#N/A</v>
      </c>
      <c r="V788" s="84" t="str">
        <f t="shared" si="9"/>
        <v/>
      </c>
      <c r="W788" s="109" t="str">
        <f t="shared" si="10"/>
        <v/>
      </c>
      <c r="X788" s="109" t="str">
        <f t="shared" si="11"/>
        <v/>
      </c>
      <c r="Y788" s="110" t="str">
        <f t="array" ref="Y788">_xlfn.XLOOKUP(A788,'Video Database'!L:L,'Video Database'!M:M,"")</f>
        <v>Product Overlay</v>
      </c>
    </row>
    <row r="789" ht="22.5" customHeight="1">
      <c r="A789" s="113">
        <f t="shared" si="12"/>
        <v>788</v>
      </c>
      <c r="B789" s="98" t="str">
        <f t="array" ref="B789">_xlfn.XLOOKUP(A789,'Video Database'!L:L,'Video Database'!D:D,"")</f>
        <v>Erin</v>
      </c>
      <c r="C789" s="98" t="str">
        <f t="array" ref="C789">_xlfn.XLOOKUP(A789,'Video Database'!L:L,'Video Database'!E:E,"")</f>
        <v>Account 2</v>
      </c>
      <c r="D789" s="99" t="str">
        <f t="array" ref="D789">_xlfn.XLOOKUP(A789,'Video Database'!L:L,'Video Database'!G:G,"")</f>
        <v>Medicube Kojic Accid Tumeric Power Duo</v>
      </c>
      <c r="E789" s="100">
        <f t="array" ref="E789">_xlfn.XLOOKUP(A789,'Video Database'!L:L,'Video Database'!H:H,"")</f>
        <v>0.7337</v>
      </c>
      <c r="F789" s="101">
        <v>0.0</v>
      </c>
      <c r="G789" s="87">
        <v>0.0</v>
      </c>
      <c r="H789" s="114">
        <f t="array" ref="H789">_xlfn.XLOOKUP(A789,'Video Database'!L:L,'Video Database'!A:A,"")</f>
        <v>46196</v>
      </c>
      <c r="I789" s="103">
        <v>46201.0</v>
      </c>
      <c r="J789" s="104">
        <v>0.0</v>
      </c>
      <c r="K789" s="105"/>
      <c r="L789" s="105" t="str">
        <f t="shared" si="1"/>
        <v/>
      </c>
      <c r="O789" s="106" t="str">
        <f t="shared" si="2"/>
        <v>#N/A</v>
      </c>
      <c r="P789" s="106" t="str">
        <f t="shared" si="3"/>
        <v>#N/A</v>
      </c>
      <c r="Q789" s="84" t="str">
        <f t="shared" si="4"/>
        <v>#N/A</v>
      </c>
      <c r="R789" s="84" t="str">
        <f t="shared" si="5"/>
        <v>#N/A</v>
      </c>
      <c r="S789" s="107">
        <f t="shared" si="6"/>
        <v>-0.7337</v>
      </c>
      <c r="T789" s="108">
        <f t="shared" si="7"/>
        <v>-1</v>
      </c>
      <c r="U789" s="106" t="str">
        <f t="shared" si="8"/>
        <v>#N/A</v>
      </c>
      <c r="V789" s="84" t="str">
        <f t="shared" si="9"/>
        <v/>
      </c>
      <c r="W789" s="109" t="str">
        <f t="shared" si="10"/>
        <v/>
      </c>
      <c r="X789" s="109" t="str">
        <f t="shared" si="11"/>
        <v/>
      </c>
      <c r="Y789" s="110" t="str">
        <f t="array" ref="Y789">_xlfn.XLOOKUP(A789,'Video Database'!L:L,'Video Database'!M:M,"")</f>
        <v>Bottom of Funnel</v>
      </c>
    </row>
    <row r="790" ht="22.5" customHeight="1">
      <c r="A790" s="113">
        <f t="shared" si="12"/>
        <v>789</v>
      </c>
      <c r="B790" s="98" t="str">
        <f t="array" ref="B790">_xlfn.XLOOKUP(A790,'Video Database'!L:L,'Video Database'!D:D,"")</f>
        <v>Erin</v>
      </c>
      <c r="C790" s="98" t="str">
        <f t="array" ref="C790">_xlfn.XLOOKUP(A790,'Video Database'!L:L,'Video Database'!E:E,"")</f>
        <v>Account 2</v>
      </c>
      <c r="D790" s="99" t="str">
        <f t="array" ref="D790">_xlfn.XLOOKUP(A790,'Video Database'!L:L,'Video Database'!G:G,"")</f>
        <v>Color Wow Quick Refresh and Styling Bundle</v>
      </c>
      <c r="E790" s="100">
        <f t="array" ref="E790">_xlfn.XLOOKUP(A790,'Video Database'!L:L,'Video Database'!H:H,"")</f>
        <v>0.7337</v>
      </c>
      <c r="F790" s="101">
        <v>0.0</v>
      </c>
      <c r="G790" s="87">
        <v>0.0</v>
      </c>
      <c r="H790" s="114">
        <f t="array" ref="H790">_xlfn.XLOOKUP(A790,'Video Database'!L:L,'Video Database'!A:A,"")</f>
        <v>46196</v>
      </c>
      <c r="I790" s="103">
        <v>46201.0</v>
      </c>
      <c r="J790" s="104">
        <v>0.0</v>
      </c>
      <c r="K790" s="105"/>
      <c r="L790" s="105" t="str">
        <f t="shared" si="1"/>
        <v/>
      </c>
      <c r="O790" s="106" t="str">
        <f t="shared" si="2"/>
        <v>#N/A</v>
      </c>
      <c r="P790" s="106" t="str">
        <f t="shared" si="3"/>
        <v>#N/A</v>
      </c>
      <c r="Q790" s="84" t="str">
        <f t="shared" si="4"/>
        <v>#N/A</v>
      </c>
      <c r="R790" s="84" t="str">
        <f t="shared" si="5"/>
        <v>#N/A</v>
      </c>
      <c r="S790" s="107">
        <f t="shared" si="6"/>
        <v>-0.7337</v>
      </c>
      <c r="T790" s="108">
        <f t="shared" si="7"/>
        <v>-1</v>
      </c>
      <c r="U790" s="106" t="str">
        <f t="shared" si="8"/>
        <v>#N/A</v>
      </c>
      <c r="V790" s="84" t="str">
        <f t="shared" si="9"/>
        <v/>
      </c>
      <c r="W790" s="109" t="str">
        <f t="shared" si="10"/>
        <v/>
      </c>
      <c r="X790" s="109" t="str">
        <f t="shared" si="11"/>
        <v/>
      </c>
      <c r="Y790" s="110" t="str">
        <f t="array" ref="Y790">_xlfn.XLOOKUP(A790,'Video Database'!L:L,'Video Database'!M:M,"")</f>
        <v>Bottom of Funnel</v>
      </c>
    </row>
    <row r="791" ht="22.5" customHeight="1">
      <c r="A791" s="113">
        <f t="shared" si="12"/>
        <v>790</v>
      </c>
      <c r="B791" s="98" t="str">
        <f t="array" ref="B791">_xlfn.XLOOKUP(A791,'Video Database'!L:L,'Video Database'!D:D,"")</f>
        <v>Blakely</v>
      </c>
      <c r="C791" s="98" t="str">
        <f t="array" ref="C791">_xlfn.XLOOKUP(A791,'Video Database'!L:L,'Video Database'!E:E,"")</f>
        <v>Account 3</v>
      </c>
      <c r="D791" s="99" t="str">
        <f t="array" ref="D791">_xlfn.XLOOKUP(A791,'Video Database'!L:L,'Video Database'!G:G,"")</f>
        <v>Portable Magnetic Phone Mount</v>
      </c>
      <c r="E791" s="100">
        <f t="array" ref="E791">_xlfn.XLOOKUP(A791,'Video Database'!L:L,'Video Database'!H:H,"")</f>
        <v>0.11</v>
      </c>
      <c r="F791" s="101">
        <v>0.0</v>
      </c>
      <c r="G791" s="87">
        <v>0.0</v>
      </c>
      <c r="H791" s="114">
        <f t="array" ref="H791">_xlfn.XLOOKUP(A791,'Video Database'!L:L,'Video Database'!A:A,"")</f>
        <v>46196</v>
      </c>
      <c r="I791" s="103">
        <v>46201.0</v>
      </c>
      <c r="J791" s="104">
        <v>0.0</v>
      </c>
      <c r="K791" s="105"/>
      <c r="L791" s="105" t="str">
        <f t="shared" si="1"/>
        <v/>
      </c>
      <c r="O791" s="106" t="str">
        <f t="shared" si="2"/>
        <v>#N/A</v>
      </c>
      <c r="P791" s="106" t="str">
        <f t="shared" si="3"/>
        <v>#N/A</v>
      </c>
      <c r="Q791" s="84" t="str">
        <f t="shared" si="4"/>
        <v>#N/A</v>
      </c>
      <c r="R791" s="84" t="str">
        <f t="shared" si="5"/>
        <v>#N/A</v>
      </c>
      <c r="S791" s="107">
        <f t="shared" si="6"/>
        <v>-0.11</v>
      </c>
      <c r="T791" s="108">
        <f t="shared" si="7"/>
        <v>-1</v>
      </c>
      <c r="U791" s="106" t="str">
        <f t="shared" si="8"/>
        <v>#N/A</v>
      </c>
      <c r="V791" s="84" t="str">
        <f t="shared" si="9"/>
        <v/>
      </c>
      <c r="W791" s="109" t="str">
        <f t="shared" si="10"/>
        <v/>
      </c>
      <c r="X791" s="109" t="str">
        <f t="shared" si="11"/>
        <v/>
      </c>
      <c r="Y791" s="110" t="str">
        <f t="array" ref="Y791">_xlfn.XLOOKUP(A791,'Video Database'!L:L,'Video Database'!M:M,"")</f>
        <v>Product Overlay</v>
      </c>
    </row>
    <row r="792" ht="22.5" customHeight="1">
      <c r="A792" s="113">
        <f t="shared" si="12"/>
        <v>791</v>
      </c>
      <c r="B792" s="98" t="str">
        <f t="array" ref="B792">_xlfn.XLOOKUP(A792,'Video Database'!L:L,'Video Database'!D:D,"")</f>
        <v>Blakely</v>
      </c>
      <c r="C792" s="98" t="str">
        <f t="array" ref="C792">_xlfn.XLOOKUP(A792,'Video Database'!L:L,'Video Database'!E:E,"")</f>
        <v>Account 3</v>
      </c>
      <c r="D792" s="99" t="str">
        <f t="array" ref="D792">_xlfn.XLOOKUP(A792,'Video Database'!L:L,'Video Database'!G:G,"")</f>
        <v>Portable Magnetic Phone Mount</v>
      </c>
      <c r="E792" s="100">
        <f t="array" ref="E792">_xlfn.XLOOKUP(A792,'Video Database'!L:L,'Video Database'!H:H,"")</f>
        <v>0.11</v>
      </c>
      <c r="F792" s="101">
        <v>0.0</v>
      </c>
      <c r="G792" s="87">
        <v>0.0</v>
      </c>
      <c r="H792" s="114">
        <f t="array" ref="H792">_xlfn.XLOOKUP(A792,'Video Database'!L:L,'Video Database'!A:A,"")</f>
        <v>46196</v>
      </c>
      <c r="I792" s="103">
        <v>46201.0</v>
      </c>
      <c r="J792" s="104">
        <v>0.0</v>
      </c>
      <c r="K792" s="105"/>
      <c r="L792" s="105" t="str">
        <f t="shared" si="1"/>
        <v/>
      </c>
      <c r="O792" s="106" t="str">
        <f t="shared" si="2"/>
        <v>#N/A</v>
      </c>
      <c r="P792" s="106" t="str">
        <f t="shared" si="3"/>
        <v>#N/A</v>
      </c>
      <c r="Q792" s="84" t="str">
        <f t="shared" si="4"/>
        <v>#N/A</v>
      </c>
      <c r="R792" s="84" t="str">
        <f t="shared" si="5"/>
        <v>#N/A</v>
      </c>
      <c r="S792" s="107">
        <f t="shared" si="6"/>
        <v>-0.11</v>
      </c>
      <c r="T792" s="108">
        <f t="shared" si="7"/>
        <v>-1</v>
      </c>
      <c r="U792" s="106" t="str">
        <f t="shared" si="8"/>
        <v>#N/A</v>
      </c>
      <c r="V792" s="84" t="str">
        <f t="shared" si="9"/>
        <v/>
      </c>
      <c r="W792" s="109" t="str">
        <f t="shared" si="10"/>
        <v/>
      </c>
      <c r="X792" s="109" t="str">
        <f t="shared" si="11"/>
        <v/>
      </c>
      <c r="Y792" s="110" t="str">
        <f t="array" ref="Y792">_xlfn.XLOOKUP(A792,'Video Database'!L:L,'Video Database'!M:M,"")</f>
        <v>Product Overlay</v>
      </c>
    </row>
    <row r="793" ht="22.5" customHeight="1">
      <c r="A793" s="113">
        <f t="shared" si="12"/>
        <v>792</v>
      </c>
      <c r="B793" s="98" t="str">
        <f t="array" ref="B793">_xlfn.XLOOKUP(A793,'Video Database'!L:L,'Video Database'!D:D,"")</f>
        <v>Blakely</v>
      </c>
      <c r="C793" s="98" t="str">
        <f t="array" ref="C793">_xlfn.XLOOKUP(A793,'Video Database'!L:L,'Video Database'!E:E,"")</f>
        <v>Account 3</v>
      </c>
      <c r="D793" s="99" t="str">
        <f t="array" ref="D793">_xlfn.XLOOKUP(A793,'Video Database'!L:L,'Video Database'!G:G,"")</f>
        <v>MEDITHERAPY Retinal Skin Booster Serum</v>
      </c>
      <c r="E793" s="100">
        <f t="array" ref="E793">_xlfn.XLOOKUP(A793,'Video Database'!L:L,'Video Database'!H:H,"")</f>
        <v>0.11</v>
      </c>
      <c r="F793" s="101">
        <v>0.0</v>
      </c>
      <c r="G793" s="87">
        <v>0.0</v>
      </c>
      <c r="H793" s="114">
        <f t="array" ref="H793">_xlfn.XLOOKUP(A793,'Video Database'!L:L,'Video Database'!A:A,"")</f>
        <v>46196</v>
      </c>
      <c r="I793" s="103">
        <v>46201.0</v>
      </c>
      <c r="J793" s="104">
        <v>0.0</v>
      </c>
      <c r="K793" s="105"/>
      <c r="L793" s="105" t="str">
        <f t="shared" si="1"/>
        <v/>
      </c>
      <c r="O793" s="106" t="str">
        <f t="shared" si="2"/>
        <v>#N/A</v>
      </c>
      <c r="P793" s="106" t="str">
        <f t="shared" si="3"/>
        <v>#N/A</v>
      </c>
      <c r="Q793" s="84" t="str">
        <f t="shared" si="4"/>
        <v>#N/A</v>
      </c>
      <c r="R793" s="84" t="str">
        <f t="shared" si="5"/>
        <v>#N/A</v>
      </c>
      <c r="S793" s="107">
        <f t="shared" si="6"/>
        <v>-0.11</v>
      </c>
      <c r="T793" s="108">
        <f t="shared" si="7"/>
        <v>-1</v>
      </c>
      <c r="U793" s="106" t="str">
        <f t="shared" si="8"/>
        <v>#N/A</v>
      </c>
      <c r="V793" s="84" t="str">
        <f t="shared" si="9"/>
        <v/>
      </c>
      <c r="W793" s="109" t="str">
        <f t="shared" si="10"/>
        <v/>
      </c>
      <c r="X793" s="109" t="str">
        <f t="shared" si="11"/>
        <v/>
      </c>
      <c r="Y793" s="110" t="str">
        <f t="array" ref="Y793">_xlfn.XLOOKUP(A793,'Video Database'!L:L,'Video Database'!M:M,"")</f>
        <v>Product Overlay</v>
      </c>
    </row>
    <row r="794" ht="22.5" customHeight="1">
      <c r="A794" s="113">
        <f t="shared" si="12"/>
        <v>793</v>
      </c>
      <c r="B794" s="98" t="str">
        <f t="array" ref="B794">_xlfn.XLOOKUP(A794,'Video Database'!L:L,'Video Database'!D:D,"")</f>
        <v>Blakely</v>
      </c>
      <c r="C794" s="98" t="str">
        <f t="array" ref="C794">_xlfn.XLOOKUP(A794,'Video Database'!L:L,'Video Database'!E:E,"")</f>
        <v>Account 3</v>
      </c>
      <c r="D794" s="99" t="str">
        <f t="array" ref="D794">_xlfn.XLOOKUP(A794,'Video Database'!L:L,'Video Database'!G:G,"")</f>
        <v>IRIS Hormone Health Drink Mix</v>
      </c>
      <c r="E794" s="100">
        <f t="array" ref="E794">_xlfn.XLOOKUP(A794,'Video Database'!L:L,'Video Database'!H:H,"")</f>
        <v>0.11</v>
      </c>
      <c r="F794" s="101">
        <v>0.0</v>
      </c>
      <c r="G794" s="87">
        <v>0.0</v>
      </c>
      <c r="H794" s="114">
        <f t="array" ref="H794">_xlfn.XLOOKUP(A794,'Video Database'!L:L,'Video Database'!A:A,"")</f>
        <v>46196</v>
      </c>
      <c r="I794" s="103">
        <v>46201.0</v>
      </c>
      <c r="J794" s="104">
        <v>0.0</v>
      </c>
      <c r="K794" s="105"/>
      <c r="L794" s="105" t="str">
        <f t="shared" si="1"/>
        <v/>
      </c>
      <c r="O794" s="106" t="str">
        <f t="shared" si="2"/>
        <v>#N/A</v>
      </c>
      <c r="P794" s="106" t="str">
        <f t="shared" si="3"/>
        <v>#N/A</v>
      </c>
      <c r="Q794" s="84" t="str">
        <f t="shared" si="4"/>
        <v>#N/A</v>
      </c>
      <c r="R794" s="84" t="str">
        <f t="shared" si="5"/>
        <v>#N/A</v>
      </c>
      <c r="S794" s="107">
        <f t="shared" si="6"/>
        <v>-0.11</v>
      </c>
      <c r="T794" s="108">
        <f t="shared" si="7"/>
        <v>-1</v>
      </c>
      <c r="U794" s="106" t="str">
        <f t="shared" si="8"/>
        <v>#N/A</v>
      </c>
      <c r="V794" s="84" t="str">
        <f t="shared" si="9"/>
        <v/>
      </c>
      <c r="W794" s="109" t="str">
        <f t="shared" si="10"/>
        <v/>
      </c>
      <c r="X794" s="109" t="str">
        <f t="shared" si="11"/>
        <v/>
      </c>
      <c r="Y794" s="110" t="str">
        <f t="array" ref="Y794">_xlfn.XLOOKUP(A794,'Video Database'!L:L,'Video Database'!M:M,"")</f>
        <v>Product Overlay</v>
      </c>
    </row>
    <row r="795" ht="22.5" customHeight="1">
      <c r="A795" s="113">
        <f t="shared" si="12"/>
        <v>794</v>
      </c>
      <c r="B795" s="98" t="str">
        <f t="array" ref="B795">_xlfn.XLOOKUP(A795,'Video Database'!L:L,'Video Database'!D:D,"")</f>
        <v>Blakely</v>
      </c>
      <c r="C795" s="98" t="str">
        <f t="array" ref="C795">_xlfn.XLOOKUP(A795,'Video Database'!L:L,'Video Database'!E:E,"")</f>
        <v>Account 3</v>
      </c>
      <c r="D795" s="99" t="str">
        <f t="array" ref="D795">_xlfn.XLOOKUP(A795,'Video Database'!L:L,'Video Database'!G:G,"")</f>
        <v>Neurogum Watermelon</v>
      </c>
      <c r="E795" s="100">
        <f t="array" ref="E795">_xlfn.XLOOKUP(A795,'Video Database'!L:L,'Video Database'!H:H,"")</f>
        <v>0.11</v>
      </c>
      <c r="F795" s="101">
        <v>0.0</v>
      </c>
      <c r="G795" s="87">
        <v>0.0</v>
      </c>
      <c r="H795" s="114">
        <f t="array" ref="H795">_xlfn.XLOOKUP(A795,'Video Database'!L:L,'Video Database'!A:A,"")</f>
        <v>46196</v>
      </c>
      <c r="I795" s="103">
        <v>46201.0</v>
      </c>
      <c r="J795" s="104">
        <v>0.0</v>
      </c>
      <c r="K795" s="105"/>
      <c r="L795" s="105" t="str">
        <f t="shared" si="1"/>
        <v/>
      </c>
      <c r="O795" s="106" t="str">
        <f t="shared" si="2"/>
        <v>#N/A</v>
      </c>
      <c r="P795" s="106" t="str">
        <f t="shared" si="3"/>
        <v>#N/A</v>
      </c>
      <c r="Q795" s="84" t="str">
        <f t="shared" si="4"/>
        <v>#N/A</v>
      </c>
      <c r="R795" s="84" t="str">
        <f t="shared" si="5"/>
        <v>#N/A</v>
      </c>
      <c r="S795" s="107">
        <f t="shared" si="6"/>
        <v>-0.11</v>
      </c>
      <c r="T795" s="108">
        <f t="shared" si="7"/>
        <v>-1</v>
      </c>
      <c r="U795" s="106" t="str">
        <f t="shared" si="8"/>
        <v>#N/A</v>
      </c>
      <c r="V795" s="84" t="str">
        <f t="shared" si="9"/>
        <v/>
      </c>
      <c r="W795" s="109" t="str">
        <f t="shared" si="10"/>
        <v/>
      </c>
      <c r="X795" s="109" t="str">
        <f t="shared" si="11"/>
        <v/>
      </c>
      <c r="Y795" s="110" t="str">
        <f t="array" ref="Y795">_xlfn.XLOOKUP(A795,'Video Database'!L:L,'Video Database'!M:M,"")</f>
        <v>Bottom of Funnel</v>
      </c>
    </row>
    <row r="796" ht="22.5" customHeight="1">
      <c r="A796" s="113">
        <f t="shared" si="12"/>
        <v>795</v>
      </c>
      <c r="B796" s="98" t="str">
        <f t="array" ref="B796">_xlfn.XLOOKUP(A796,'Video Database'!L:L,'Video Database'!D:D,"")</f>
        <v>Erin</v>
      </c>
      <c r="C796" s="98" t="str">
        <f t="array" ref="C796">_xlfn.XLOOKUP(A796,'Video Database'!L:L,'Video Database'!E:E,"")</f>
        <v>Account 3</v>
      </c>
      <c r="D796" s="99" t="str">
        <f t="array" ref="D796">_xlfn.XLOOKUP(A796,'Video Database'!L:L,'Video Database'!G:G,"")</f>
        <v>Medicube Kojic Accid Tumeric Power Duo</v>
      </c>
      <c r="E796" s="100">
        <f t="array" ref="E796">_xlfn.XLOOKUP(A796,'Video Database'!L:L,'Video Database'!H:H,"")</f>
        <v>0.7337</v>
      </c>
      <c r="F796" s="101">
        <v>0.0</v>
      </c>
      <c r="G796" s="87">
        <v>0.0</v>
      </c>
      <c r="H796" s="114">
        <f t="array" ref="H796">_xlfn.XLOOKUP(A796,'Video Database'!L:L,'Video Database'!A:A,"")</f>
        <v>46196</v>
      </c>
      <c r="I796" s="103">
        <v>46201.0</v>
      </c>
      <c r="J796" s="104">
        <v>0.0</v>
      </c>
      <c r="K796" s="105"/>
      <c r="L796" s="105" t="str">
        <f t="shared" si="1"/>
        <v/>
      </c>
      <c r="O796" s="106" t="str">
        <f t="shared" si="2"/>
        <v>#N/A</v>
      </c>
      <c r="P796" s="106" t="str">
        <f t="shared" si="3"/>
        <v>#N/A</v>
      </c>
      <c r="Q796" s="84" t="str">
        <f t="shared" si="4"/>
        <v>#N/A</v>
      </c>
      <c r="R796" s="84" t="str">
        <f t="shared" si="5"/>
        <v>#N/A</v>
      </c>
      <c r="S796" s="107">
        <f t="shared" si="6"/>
        <v>-0.7337</v>
      </c>
      <c r="T796" s="108">
        <f t="shared" si="7"/>
        <v>-1</v>
      </c>
      <c r="U796" s="106" t="str">
        <f t="shared" si="8"/>
        <v>#N/A</v>
      </c>
      <c r="V796" s="84" t="str">
        <f t="shared" si="9"/>
        <v/>
      </c>
      <c r="W796" s="109" t="str">
        <f t="shared" si="10"/>
        <v/>
      </c>
      <c r="X796" s="109" t="str">
        <f t="shared" si="11"/>
        <v/>
      </c>
      <c r="Y796" s="110" t="str">
        <f t="array" ref="Y796">_xlfn.XLOOKUP(A796,'Video Database'!L:L,'Video Database'!M:M,"")</f>
        <v>Bottom of Funnel</v>
      </c>
    </row>
    <row r="797" ht="22.5" customHeight="1">
      <c r="A797" s="113">
        <f t="shared" si="12"/>
        <v>796</v>
      </c>
      <c r="B797" s="98" t="str">
        <f t="array" ref="B797">_xlfn.XLOOKUP(A797,'Video Database'!L:L,'Video Database'!D:D,"")</f>
        <v>Erin</v>
      </c>
      <c r="C797" s="98" t="str">
        <f t="array" ref="C797">_xlfn.XLOOKUP(A797,'Video Database'!L:L,'Video Database'!E:E,"")</f>
        <v>Account 3</v>
      </c>
      <c r="D797" s="99" t="str">
        <f t="array" ref="D797">_xlfn.XLOOKUP(A797,'Video Database'!L:L,'Video Database'!G:G,"")</f>
        <v>Medicube Kojic Accid Tumeric Power Duo</v>
      </c>
      <c r="E797" s="100">
        <f t="array" ref="E797">_xlfn.XLOOKUP(A797,'Video Database'!L:L,'Video Database'!H:H,"")</f>
        <v>0.7337</v>
      </c>
      <c r="F797" s="101">
        <v>0.0</v>
      </c>
      <c r="G797" s="87">
        <v>0.0</v>
      </c>
      <c r="H797" s="114">
        <f t="array" ref="H797">_xlfn.XLOOKUP(A797,'Video Database'!L:L,'Video Database'!A:A,"")</f>
        <v>46196</v>
      </c>
      <c r="I797" s="103">
        <v>46201.0</v>
      </c>
      <c r="J797" s="104">
        <v>0.0</v>
      </c>
      <c r="K797" s="105"/>
      <c r="L797" s="105" t="str">
        <f t="shared" si="1"/>
        <v/>
      </c>
      <c r="O797" s="106" t="str">
        <f t="shared" si="2"/>
        <v>#N/A</v>
      </c>
      <c r="P797" s="106" t="str">
        <f t="shared" si="3"/>
        <v>#N/A</v>
      </c>
      <c r="Q797" s="84" t="str">
        <f t="shared" si="4"/>
        <v>#N/A</v>
      </c>
      <c r="R797" s="84" t="str">
        <f t="shared" si="5"/>
        <v>#N/A</v>
      </c>
      <c r="S797" s="107">
        <f t="shared" si="6"/>
        <v>-0.7337</v>
      </c>
      <c r="T797" s="108">
        <f t="shared" si="7"/>
        <v>-1</v>
      </c>
      <c r="U797" s="106" t="str">
        <f t="shared" si="8"/>
        <v>#N/A</v>
      </c>
      <c r="V797" s="84" t="str">
        <f t="shared" si="9"/>
        <v/>
      </c>
      <c r="W797" s="109" t="str">
        <f t="shared" si="10"/>
        <v/>
      </c>
      <c r="X797" s="109" t="str">
        <f t="shared" si="11"/>
        <v/>
      </c>
      <c r="Y797" s="110" t="str">
        <f t="array" ref="Y797">_xlfn.XLOOKUP(A797,'Video Database'!L:L,'Video Database'!M:M,"")</f>
        <v>Bottom of Funnel</v>
      </c>
    </row>
    <row r="798" ht="22.5" customHeight="1">
      <c r="A798" s="113">
        <f t="shared" si="12"/>
        <v>797</v>
      </c>
      <c r="B798" s="98" t="str">
        <f t="array" ref="B798">_xlfn.XLOOKUP(A798,'Video Database'!L:L,'Video Database'!D:D,"")</f>
        <v>Blakely</v>
      </c>
      <c r="C798" s="98" t="str">
        <f t="array" ref="C798">_xlfn.XLOOKUP(A798,'Video Database'!L:L,'Video Database'!E:E,"")</f>
        <v>Account 3</v>
      </c>
      <c r="D798" s="99" t="str">
        <f t="array" ref="D798">_xlfn.XLOOKUP(A798,'Video Database'!L:L,'Video Database'!G:G,"")</f>
        <v>MEDITHERAPY Retinal Skin Booster Serum</v>
      </c>
      <c r="E798" s="100">
        <f t="array" ref="E798">_xlfn.XLOOKUP(A798,'Video Database'!L:L,'Video Database'!H:H,"")</f>
        <v>0.11</v>
      </c>
      <c r="F798" s="101">
        <v>0.0</v>
      </c>
      <c r="G798" s="87">
        <v>0.0</v>
      </c>
      <c r="H798" s="114">
        <f t="array" ref="H798">_xlfn.XLOOKUP(A798,'Video Database'!L:L,'Video Database'!A:A,"")</f>
        <v>46196</v>
      </c>
      <c r="I798" s="103">
        <v>46201.0</v>
      </c>
      <c r="J798" s="104">
        <v>0.0</v>
      </c>
      <c r="K798" s="105"/>
      <c r="L798" s="105" t="str">
        <f t="shared" si="1"/>
        <v/>
      </c>
      <c r="O798" s="106" t="str">
        <f t="shared" si="2"/>
        <v>#N/A</v>
      </c>
      <c r="P798" s="106" t="str">
        <f t="shared" si="3"/>
        <v>#N/A</v>
      </c>
      <c r="Q798" s="84" t="str">
        <f t="shared" si="4"/>
        <v>#N/A</v>
      </c>
      <c r="R798" s="84" t="str">
        <f t="shared" si="5"/>
        <v>#N/A</v>
      </c>
      <c r="S798" s="107">
        <f t="shared" si="6"/>
        <v>-0.11</v>
      </c>
      <c r="T798" s="108">
        <f t="shared" si="7"/>
        <v>-1</v>
      </c>
      <c r="U798" s="106" t="str">
        <f t="shared" si="8"/>
        <v>#N/A</v>
      </c>
      <c r="V798" s="84" t="str">
        <f t="shared" si="9"/>
        <v/>
      </c>
      <c r="W798" s="109" t="str">
        <f t="shared" si="10"/>
        <v/>
      </c>
      <c r="X798" s="109" t="str">
        <f t="shared" si="11"/>
        <v/>
      </c>
      <c r="Y798" s="110" t="str">
        <f t="array" ref="Y798">_xlfn.XLOOKUP(A798,'Video Database'!L:L,'Video Database'!M:M,"")</f>
        <v>Product Overlay</v>
      </c>
    </row>
    <row r="799" ht="22.5" customHeight="1">
      <c r="A799" s="113">
        <f t="shared" si="12"/>
        <v>798</v>
      </c>
      <c r="B799" s="98" t="str">
        <f t="array" ref="B799">_xlfn.XLOOKUP(A799,'Video Database'!L:L,'Video Database'!D:D,"")</f>
        <v>Blakely</v>
      </c>
      <c r="C799" s="98" t="str">
        <f t="array" ref="C799">_xlfn.XLOOKUP(A799,'Video Database'!L:L,'Video Database'!E:E,"")</f>
        <v>Account 3</v>
      </c>
      <c r="D799" s="99" t="str">
        <f t="array" ref="D799">_xlfn.XLOOKUP(A799,'Video Database'!L:L,'Video Database'!G:G,"")</f>
        <v>BetterAlt Shilajit Honey Sticks</v>
      </c>
      <c r="E799" s="100">
        <f t="array" ref="E799">_xlfn.XLOOKUP(A799,'Video Database'!L:L,'Video Database'!H:H,"")</f>
        <v>0.11</v>
      </c>
      <c r="F799" s="101">
        <v>0.0</v>
      </c>
      <c r="G799" s="87">
        <v>0.0</v>
      </c>
      <c r="H799" s="114">
        <f t="array" ref="H799">_xlfn.XLOOKUP(A799,'Video Database'!L:L,'Video Database'!A:A,"")</f>
        <v>46196</v>
      </c>
      <c r="I799" s="103">
        <v>46201.0</v>
      </c>
      <c r="J799" s="104">
        <v>0.0</v>
      </c>
      <c r="K799" s="105"/>
      <c r="L799" s="105" t="str">
        <f t="shared" si="1"/>
        <v/>
      </c>
      <c r="O799" s="106" t="str">
        <f t="shared" si="2"/>
        <v>#N/A</v>
      </c>
      <c r="P799" s="106" t="str">
        <f t="shared" si="3"/>
        <v>#N/A</v>
      </c>
      <c r="Q799" s="84" t="str">
        <f t="shared" si="4"/>
        <v>#N/A</v>
      </c>
      <c r="R799" s="84" t="str">
        <f t="shared" si="5"/>
        <v>#N/A</v>
      </c>
      <c r="S799" s="107">
        <f t="shared" si="6"/>
        <v>-0.11</v>
      </c>
      <c r="T799" s="108">
        <f t="shared" si="7"/>
        <v>-1</v>
      </c>
      <c r="U799" s="106" t="str">
        <f t="shared" si="8"/>
        <v>#N/A</v>
      </c>
      <c r="V799" s="84" t="str">
        <f t="shared" si="9"/>
        <v/>
      </c>
      <c r="W799" s="109" t="str">
        <f t="shared" si="10"/>
        <v/>
      </c>
      <c r="X799" s="109" t="str">
        <f t="shared" si="11"/>
        <v/>
      </c>
      <c r="Y799" s="110" t="str">
        <f t="array" ref="Y799">_xlfn.XLOOKUP(A799,'Video Database'!L:L,'Video Database'!M:M,"")</f>
        <v>Product Overlay</v>
      </c>
    </row>
    <row r="800" ht="22.5" customHeight="1">
      <c r="A800" s="113">
        <f t="shared" si="12"/>
        <v>799</v>
      </c>
      <c r="B800" s="98" t="str">
        <f t="array" ref="B800">_xlfn.XLOOKUP(A800,'Video Database'!L:L,'Video Database'!D:D,"")</f>
        <v>Blakely</v>
      </c>
      <c r="C800" s="98" t="str">
        <f t="array" ref="C800">_xlfn.XLOOKUP(A800,'Video Database'!L:L,'Video Database'!E:E,"")</f>
        <v>Account 3</v>
      </c>
      <c r="D800" s="99" t="str">
        <f t="array" ref="D800">_xlfn.XLOOKUP(A800,'Video Database'!L:L,'Video Database'!G:G,"")</f>
        <v>IRIS Hormone Health Drink Mix</v>
      </c>
      <c r="E800" s="100">
        <f t="array" ref="E800">_xlfn.XLOOKUP(A800,'Video Database'!L:L,'Video Database'!H:H,"")</f>
        <v>0.11</v>
      </c>
      <c r="F800" s="101">
        <v>0.0</v>
      </c>
      <c r="G800" s="87">
        <v>0.0</v>
      </c>
      <c r="H800" s="114">
        <f t="array" ref="H800">_xlfn.XLOOKUP(A800,'Video Database'!L:L,'Video Database'!A:A,"")</f>
        <v>46196</v>
      </c>
      <c r="I800" s="103">
        <v>46201.0</v>
      </c>
      <c r="J800" s="104">
        <v>0.0</v>
      </c>
      <c r="K800" s="105"/>
      <c r="L800" s="105" t="str">
        <f t="shared" si="1"/>
        <v/>
      </c>
      <c r="O800" s="106" t="str">
        <f t="shared" si="2"/>
        <v>#N/A</v>
      </c>
      <c r="P800" s="106" t="str">
        <f t="shared" si="3"/>
        <v>#N/A</v>
      </c>
      <c r="Q800" s="84" t="str">
        <f t="shared" si="4"/>
        <v>#N/A</v>
      </c>
      <c r="R800" s="84" t="str">
        <f t="shared" si="5"/>
        <v>#N/A</v>
      </c>
      <c r="S800" s="107">
        <f t="shared" si="6"/>
        <v>-0.11</v>
      </c>
      <c r="T800" s="108">
        <f t="shared" si="7"/>
        <v>-1</v>
      </c>
      <c r="U800" s="106" t="str">
        <f t="shared" si="8"/>
        <v>#N/A</v>
      </c>
      <c r="V800" s="84" t="str">
        <f t="shared" si="9"/>
        <v/>
      </c>
      <c r="W800" s="109" t="str">
        <f t="shared" si="10"/>
        <v/>
      </c>
      <c r="X800" s="109" t="str">
        <f t="shared" si="11"/>
        <v/>
      </c>
      <c r="Y800" s="110" t="str">
        <f t="array" ref="Y800">_xlfn.XLOOKUP(A800,'Video Database'!L:L,'Video Database'!M:M,"")</f>
        <v>Product Overlay</v>
      </c>
    </row>
    <row r="801" ht="22.5" customHeight="1">
      <c r="A801" s="113">
        <f t="shared" si="12"/>
        <v>800</v>
      </c>
      <c r="B801" s="98" t="str">
        <f t="array" ref="B801">_xlfn.XLOOKUP(A801,'Video Database'!L:L,'Video Database'!D:D,"")</f>
        <v>Erin</v>
      </c>
      <c r="C801" s="98" t="str">
        <f t="array" ref="C801">_xlfn.XLOOKUP(A801,'Video Database'!L:L,'Video Database'!E:E,"")</f>
        <v>Account 3</v>
      </c>
      <c r="D801" s="99" t="str">
        <f t="array" ref="D801">_xlfn.XLOOKUP(A801,'Video Database'!L:L,'Video Database'!G:G,"")</f>
        <v>Color Wow Quick Refresh and Styling Bundle</v>
      </c>
      <c r="E801" s="100">
        <f t="array" ref="E801">_xlfn.XLOOKUP(A801,'Video Database'!L:L,'Video Database'!H:H,"")</f>
        <v>0.7337</v>
      </c>
      <c r="F801" s="101">
        <v>0.0</v>
      </c>
      <c r="G801" s="87">
        <v>0.0</v>
      </c>
      <c r="H801" s="114">
        <f t="array" ref="H801">_xlfn.XLOOKUP(A801,'Video Database'!L:L,'Video Database'!A:A,"")</f>
        <v>46196</v>
      </c>
      <c r="I801" s="103">
        <v>46201.0</v>
      </c>
      <c r="J801" s="104">
        <v>0.0</v>
      </c>
      <c r="K801" s="105"/>
      <c r="L801" s="105" t="str">
        <f t="shared" si="1"/>
        <v/>
      </c>
      <c r="O801" s="106" t="str">
        <f t="shared" si="2"/>
        <v>#N/A</v>
      </c>
      <c r="P801" s="106" t="str">
        <f t="shared" si="3"/>
        <v>#N/A</v>
      </c>
      <c r="Q801" s="84" t="str">
        <f t="shared" si="4"/>
        <v>#N/A</v>
      </c>
      <c r="R801" s="84" t="str">
        <f t="shared" si="5"/>
        <v>#N/A</v>
      </c>
      <c r="S801" s="107">
        <f t="shared" si="6"/>
        <v>-0.7337</v>
      </c>
      <c r="T801" s="108">
        <f t="shared" si="7"/>
        <v>-1</v>
      </c>
      <c r="U801" s="106" t="str">
        <f t="shared" si="8"/>
        <v>#N/A</v>
      </c>
      <c r="V801" s="84" t="str">
        <f t="shared" si="9"/>
        <v/>
      </c>
      <c r="W801" s="109" t="str">
        <f t="shared" si="10"/>
        <v/>
      </c>
      <c r="X801" s="109" t="str">
        <f t="shared" si="11"/>
        <v/>
      </c>
      <c r="Y801" s="110" t="str">
        <f t="array" ref="Y801">_xlfn.XLOOKUP(A801,'Video Database'!L:L,'Video Database'!M:M,"")</f>
        <v>Bottom of Funnel</v>
      </c>
    </row>
    <row r="802" ht="22.5" customHeight="1">
      <c r="A802" s="113">
        <f t="shared" si="12"/>
        <v>801</v>
      </c>
      <c r="B802" s="98" t="str">
        <f t="array" ref="B802">_xlfn.XLOOKUP(A802,'Video Database'!L:L,'Video Database'!D:D,"")</f>
        <v>Erin</v>
      </c>
      <c r="C802" s="98" t="str">
        <f t="array" ref="C802">_xlfn.XLOOKUP(A802,'Video Database'!L:L,'Video Database'!E:E,"")</f>
        <v>Account 3</v>
      </c>
      <c r="D802" s="99" t="str">
        <f t="array" ref="D802">_xlfn.XLOOKUP(A802,'Video Database'!L:L,'Video Database'!G:G,"")</f>
        <v>Color Wow Quick Refresh and Styling Bundle</v>
      </c>
      <c r="E802" s="100">
        <f t="array" ref="E802">_xlfn.XLOOKUP(A802,'Video Database'!L:L,'Video Database'!H:H,"")</f>
        <v>0.7337</v>
      </c>
      <c r="F802" s="101">
        <v>0.0</v>
      </c>
      <c r="G802" s="87">
        <v>0.0</v>
      </c>
      <c r="H802" s="114">
        <f t="array" ref="H802">_xlfn.XLOOKUP(A802,'Video Database'!L:L,'Video Database'!A:A,"")</f>
        <v>46196</v>
      </c>
      <c r="I802" s="103">
        <v>46201.0</v>
      </c>
      <c r="J802" s="104">
        <v>0.0</v>
      </c>
      <c r="K802" s="105"/>
      <c r="L802" s="105" t="str">
        <f t="shared" si="1"/>
        <v/>
      </c>
      <c r="O802" s="106" t="str">
        <f t="shared" si="2"/>
        <v>#N/A</v>
      </c>
      <c r="P802" s="106" t="str">
        <f t="shared" si="3"/>
        <v>#N/A</v>
      </c>
      <c r="Q802" s="84" t="str">
        <f t="shared" si="4"/>
        <v>#N/A</v>
      </c>
      <c r="R802" s="84" t="str">
        <f t="shared" si="5"/>
        <v>#N/A</v>
      </c>
      <c r="S802" s="107">
        <f t="shared" si="6"/>
        <v>-0.7337</v>
      </c>
      <c r="T802" s="108">
        <f t="shared" si="7"/>
        <v>-1</v>
      </c>
      <c r="U802" s="106" t="str">
        <f t="shared" si="8"/>
        <v>#N/A</v>
      </c>
      <c r="V802" s="84" t="str">
        <f t="shared" si="9"/>
        <v/>
      </c>
      <c r="W802" s="109" t="str">
        <f t="shared" si="10"/>
        <v/>
      </c>
      <c r="X802" s="109" t="str">
        <f t="shared" si="11"/>
        <v/>
      </c>
      <c r="Y802" s="110" t="str">
        <f t="array" ref="Y802">_xlfn.XLOOKUP(A802,'Video Database'!L:L,'Video Database'!M:M,"")</f>
        <v>Bottom of Funnel</v>
      </c>
    </row>
    <row r="803" ht="22.5" customHeight="1">
      <c r="A803" s="113">
        <f t="shared" si="12"/>
        <v>802</v>
      </c>
      <c r="B803" s="98" t="str">
        <f t="array" ref="B803">_xlfn.XLOOKUP(A803,'Video Database'!L:L,'Video Database'!D:D,"")</f>
        <v>Erin</v>
      </c>
      <c r="C803" s="98" t="str">
        <f t="array" ref="C803">_xlfn.XLOOKUP(A803,'Video Database'!L:L,'Video Database'!E:E,"")</f>
        <v>Account 3</v>
      </c>
      <c r="D803" s="99" t="str">
        <f t="array" ref="D803">_xlfn.XLOOKUP(A803,'Video Database'!L:L,'Video Database'!G:G,"")</f>
        <v>Medicube Kojic Accid Tumeric Power Duo</v>
      </c>
      <c r="E803" s="100">
        <f t="array" ref="E803">_xlfn.XLOOKUP(A803,'Video Database'!L:L,'Video Database'!H:H,"")</f>
        <v>0.7337</v>
      </c>
      <c r="F803" s="101">
        <v>0.0</v>
      </c>
      <c r="G803" s="87">
        <v>0.0</v>
      </c>
      <c r="H803" s="114">
        <f t="array" ref="H803">_xlfn.XLOOKUP(A803,'Video Database'!L:L,'Video Database'!A:A,"")</f>
        <v>46196</v>
      </c>
      <c r="I803" s="103">
        <v>46201.0</v>
      </c>
      <c r="J803" s="104">
        <v>0.0</v>
      </c>
      <c r="K803" s="105"/>
      <c r="L803" s="105" t="str">
        <f t="shared" si="1"/>
        <v/>
      </c>
      <c r="O803" s="106" t="str">
        <f t="shared" si="2"/>
        <v>#N/A</v>
      </c>
      <c r="P803" s="106" t="str">
        <f t="shared" si="3"/>
        <v>#N/A</v>
      </c>
      <c r="Q803" s="84" t="str">
        <f t="shared" si="4"/>
        <v>#N/A</v>
      </c>
      <c r="R803" s="84" t="str">
        <f t="shared" si="5"/>
        <v>#N/A</v>
      </c>
      <c r="S803" s="107">
        <f t="shared" si="6"/>
        <v>-0.7337</v>
      </c>
      <c r="T803" s="108">
        <f t="shared" si="7"/>
        <v>-1</v>
      </c>
      <c r="U803" s="106" t="str">
        <f t="shared" si="8"/>
        <v>#N/A</v>
      </c>
      <c r="V803" s="84" t="str">
        <f t="shared" si="9"/>
        <v/>
      </c>
      <c r="W803" s="109" t="str">
        <f t="shared" si="10"/>
        <v/>
      </c>
      <c r="X803" s="109" t="str">
        <f t="shared" si="11"/>
        <v/>
      </c>
      <c r="Y803" s="110" t="str">
        <f t="array" ref="Y803">_xlfn.XLOOKUP(A803,'Video Database'!L:L,'Video Database'!M:M,"")</f>
        <v>Bottom of Funnel</v>
      </c>
    </row>
    <row r="804" ht="22.5" customHeight="1">
      <c r="A804" s="113">
        <f t="shared" si="12"/>
        <v>803</v>
      </c>
      <c r="B804" s="98" t="str">
        <f t="array" ref="B804">_xlfn.XLOOKUP(A804,'Video Database'!L:L,'Video Database'!D:D,"")</f>
        <v>Erin</v>
      </c>
      <c r="C804" s="98" t="str">
        <f t="array" ref="C804">_xlfn.XLOOKUP(A804,'Video Database'!L:L,'Video Database'!E:E,"")</f>
        <v>Account 3</v>
      </c>
      <c r="D804" s="99" t="str">
        <f t="array" ref="D804">_xlfn.XLOOKUP(A804,'Video Database'!L:L,'Video Database'!G:G,"")</f>
        <v>Color Wow Quick Refresh and Styling Bundle</v>
      </c>
      <c r="E804" s="100">
        <f t="array" ref="E804">_xlfn.XLOOKUP(A804,'Video Database'!L:L,'Video Database'!H:H,"")</f>
        <v>0.7337</v>
      </c>
      <c r="F804" s="101">
        <v>0.0</v>
      </c>
      <c r="G804" s="87">
        <v>0.0</v>
      </c>
      <c r="H804" s="114">
        <f t="array" ref="H804">_xlfn.XLOOKUP(A804,'Video Database'!L:L,'Video Database'!A:A,"")</f>
        <v>46196</v>
      </c>
      <c r="I804" s="103">
        <v>46201.0</v>
      </c>
      <c r="J804" s="104">
        <v>0.0</v>
      </c>
      <c r="K804" s="105"/>
      <c r="L804" s="105" t="str">
        <f t="shared" si="1"/>
        <v/>
      </c>
      <c r="O804" s="106" t="str">
        <f t="shared" si="2"/>
        <v>#N/A</v>
      </c>
      <c r="P804" s="106" t="str">
        <f t="shared" si="3"/>
        <v>#N/A</v>
      </c>
      <c r="Q804" s="84" t="str">
        <f t="shared" si="4"/>
        <v>#N/A</v>
      </c>
      <c r="R804" s="84" t="str">
        <f t="shared" si="5"/>
        <v>#N/A</v>
      </c>
      <c r="S804" s="107">
        <f t="shared" si="6"/>
        <v>-0.7337</v>
      </c>
      <c r="T804" s="108">
        <f t="shared" si="7"/>
        <v>-1</v>
      </c>
      <c r="U804" s="106" t="str">
        <f t="shared" si="8"/>
        <v>#N/A</v>
      </c>
      <c r="V804" s="84" t="str">
        <f t="shared" si="9"/>
        <v/>
      </c>
      <c r="W804" s="109" t="str">
        <f t="shared" si="10"/>
        <v/>
      </c>
      <c r="X804" s="109" t="str">
        <f t="shared" si="11"/>
        <v/>
      </c>
      <c r="Y804" s="110" t="str">
        <f t="array" ref="Y804">_xlfn.XLOOKUP(A804,'Video Database'!L:L,'Video Database'!M:M,"")</f>
        <v>Bottom of Funnel</v>
      </c>
    </row>
    <row r="805" ht="22.5" customHeight="1">
      <c r="A805" s="113">
        <f t="shared" si="12"/>
        <v>804</v>
      </c>
      <c r="B805" s="98" t="str">
        <f t="array" ref="B805">_xlfn.XLOOKUP(A805,'Video Database'!L:L,'Video Database'!D:D,"")</f>
        <v>Brittney</v>
      </c>
      <c r="C805" s="98" t="str">
        <f t="array" ref="C805">_xlfn.XLOOKUP(A805,'Video Database'!L:L,'Video Database'!E:E,"")</f>
        <v>Account 3</v>
      </c>
      <c r="D805" s="99" t="str">
        <f t="array" ref="D805">_xlfn.XLOOKUP(A805,'Video Database'!L:L,'Video Database'!G:G,"")</f>
        <v>Gruns Greens Popsicle Firecracker Gummies</v>
      </c>
      <c r="E805" s="100">
        <f t="array" ref="E805">_xlfn.XLOOKUP(A805,'Video Database'!L:L,'Video Database'!H:H,"")</f>
        <v>0.11</v>
      </c>
      <c r="F805" s="101">
        <v>0.0</v>
      </c>
      <c r="G805" s="87">
        <v>0.0</v>
      </c>
      <c r="H805" s="114">
        <f t="array" ref="H805">_xlfn.XLOOKUP(A805,'Video Database'!L:L,'Video Database'!A:A,"")</f>
        <v>46196</v>
      </c>
      <c r="I805" s="103">
        <v>46201.0</v>
      </c>
      <c r="J805" s="104">
        <v>0.0</v>
      </c>
      <c r="K805" s="105"/>
      <c r="L805" s="105" t="str">
        <f t="shared" si="1"/>
        <v/>
      </c>
      <c r="O805" s="106" t="str">
        <f t="shared" si="2"/>
        <v>#N/A</v>
      </c>
      <c r="P805" s="106" t="str">
        <f t="shared" si="3"/>
        <v>#N/A</v>
      </c>
      <c r="Q805" s="84" t="str">
        <f t="shared" si="4"/>
        <v>#N/A</v>
      </c>
      <c r="R805" s="84" t="str">
        <f t="shared" si="5"/>
        <v>#N/A</v>
      </c>
      <c r="S805" s="107">
        <f t="shared" si="6"/>
        <v>-0.11</v>
      </c>
      <c r="T805" s="108">
        <f t="shared" si="7"/>
        <v>-1</v>
      </c>
      <c r="U805" s="106" t="str">
        <f t="shared" si="8"/>
        <v>#N/A</v>
      </c>
      <c r="V805" s="84" t="str">
        <f t="shared" si="9"/>
        <v/>
      </c>
      <c r="W805" s="109" t="str">
        <f t="shared" si="10"/>
        <v/>
      </c>
      <c r="X805" s="109" t="str">
        <f t="shared" si="11"/>
        <v/>
      </c>
      <c r="Y805" s="110" t="str">
        <f t="array" ref="Y805">_xlfn.XLOOKUP(A805,'Video Database'!L:L,'Video Database'!M:M,"")</f>
        <v>Bottom of Funnel</v>
      </c>
    </row>
    <row r="806" ht="22.5" customHeight="1">
      <c r="A806" s="113">
        <f t="shared" si="12"/>
        <v>805</v>
      </c>
      <c r="B806" s="98" t="str">
        <f t="array" ref="B806">_xlfn.XLOOKUP(A806,'Video Database'!L:L,'Video Database'!D:D,"")</f>
        <v>Brittney</v>
      </c>
      <c r="C806" s="98" t="str">
        <f t="array" ref="C806">_xlfn.XLOOKUP(A806,'Video Database'!L:L,'Video Database'!E:E,"")</f>
        <v>Account 3</v>
      </c>
      <c r="D806" s="99" t="str">
        <f t="array" ref="D806">_xlfn.XLOOKUP(A806,'Video Database'!L:L,'Video Database'!G:G,"")</f>
        <v>Gruns Greens Popsicle Firecracker Gummies</v>
      </c>
      <c r="E806" s="100">
        <f t="array" ref="E806">_xlfn.XLOOKUP(A806,'Video Database'!L:L,'Video Database'!H:H,"")</f>
        <v>0.11</v>
      </c>
      <c r="F806" s="101">
        <v>0.0</v>
      </c>
      <c r="G806" s="87">
        <v>0.0</v>
      </c>
      <c r="H806" s="114">
        <f t="array" ref="H806">_xlfn.XLOOKUP(A806,'Video Database'!L:L,'Video Database'!A:A,"")</f>
        <v>46196</v>
      </c>
      <c r="I806" s="103">
        <v>46201.0</v>
      </c>
      <c r="J806" s="104">
        <v>0.0</v>
      </c>
      <c r="K806" s="105"/>
      <c r="L806" s="105" t="str">
        <f t="shared" si="1"/>
        <v/>
      </c>
      <c r="O806" s="106" t="str">
        <f t="shared" si="2"/>
        <v>#N/A</v>
      </c>
      <c r="P806" s="106" t="str">
        <f t="shared" si="3"/>
        <v>#N/A</v>
      </c>
      <c r="Q806" s="84" t="str">
        <f t="shared" si="4"/>
        <v>#N/A</v>
      </c>
      <c r="R806" s="84" t="str">
        <f t="shared" si="5"/>
        <v>#N/A</v>
      </c>
      <c r="S806" s="107">
        <f t="shared" si="6"/>
        <v>-0.11</v>
      </c>
      <c r="T806" s="108">
        <f t="shared" si="7"/>
        <v>-1</v>
      </c>
      <c r="U806" s="106" t="str">
        <f t="shared" si="8"/>
        <v>#N/A</v>
      </c>
      <c r="V806" s="84" t="str">
        <f t="shared" si="9"/>
        <v/>
      </c>
      <c r="W806" s="109" t="str">
        <f t="shared" si="10"/>
        <v/>
      </c>
      <c r="X806" s="109" t="str">
        <f t="shared" si="11"/>
        <v/>
      </c>
      <c r="Y806" s="110" t="str">
        <f t="array" ref="Y806">_xlfn.XLOOKUP(A806,'Video Database'!L:L,'Video Database'!M:M,"")</f>
        <v>Product Overlay</v>
      </c>
    </row>
    <row r="807" ht="22.5" customHeight="1">
      <c r="A807" s="113">
        <f t="shared" si="12"/>
        <v>806</v>
      </c>
      <c r="B807" s="98" t="str">
        <f t="array" ref="B807">_xlfn.XLOOKUP(A807,'Video Database'!L:L,'Video Database'!D:D,"")</f>
        <v>Erin</v>
      </c>
      <c r="C807" s="98" t="str">
        <f t="array" ref="C807">_xlfn.XLOOKUP(A807,'Video Database'!L:L,'Video Database'!E:E,"")</f>
        <v>Account 3</v>
      </c>
      <c r="D807" s="99" t="str">
        <f t="array" ref="D807">_xlfn.XLOOKUP(A807,'Video Database'!L:L,'Video Database'!G:G,"")</f>
        <v>Color Wow Quick Refresh and Styling Bundle</v>
      </c>
      <c r="E807" s="100">
        <f t="array" ref="E807">_xlfn.XLOOKUP(A807,'Video Database'!L:L,'Video Database'!H:H,"")</f>
        <v>0.7337</v>
      </c>
      <c r="F807" s="101">
        <v>0.0</v>
      </c>
      <c r="G807" s="87">
        <v>0.0</v>
      </c>
      <c r="H807" s="114">
        <f t="array" ref="H807">_xlfn.XLOOKUP(A807,'Video Database'!L:L,'Video Database'!A:A,"")</f>
        <v>46196</v>
      </c>
      <c r="I807" s="103">
        <v>46201.0</v>
      </c>
      <c r="J807" s="104">
        <v>0.0</v>
      </c>
      <c r="K807" s="105"/>
      <c r="L807" s="105" t="str">
        <f t="shared" si="1"/>
        <v/>
      </c>
      <c r="O807" s="106" t="str">
        <f t="shared" si="2"/>
        <v>#N/A</v>
      </c>
      <c r="P807" s="106" t="str">
        <f t="shared" si="3"/>
        <v>#N/A</v>
      </c>
      <c r="Q807" s="84" t="str">
        <f t="shared" si="4"/>
        <v>#N/A</v>
      </c>
      <c r="R807" s="84" t="str">
        <f t="shared" si="5"/>
        <v>#N/A</v>
      </c>
      <c r="S807" s="107">
        <f t="shared" si="6"/>
        <v>-0.7337</v>
      </c>
      <c r="T807" s="108">
        <f t="shared" si="7"/>
        <v>-1</v>
      </c>
      <c r="U807" s="106" t="str">
        <f t="shared" si="8"/>
        <v>#N/A</v>
      </c>
      <c r="V807" s="84" t="str">
        <f t="shared" si="9"/>
        <v/>
      </c>
      <c r="W807" s="109" t="str">
        <f t="shared" si="10"/>
        <v/>
      </c>
      <c r="X807" s="109" t="str">
        <f t="shared" si="11"/>
        <v/>
      </c>
      <c r="Y807" s="110" t="str">
        <f t="array" ref="Y807">_xlfn.XLOOKUP(A807,'Video Database'!L:L,'Video Database'!M:M,"")</f>
        <v>Bottom of Funnel</v>
      </c>
    </row>
    <row r="808" ht="22.5" customHeight="1">
      <c r="A808" s="113">
        <f t="shared" si="12"/>
        <v>807</v>
      </c>
      <c r="B808" s="98" t="str">
        <f t="array" ref="B808">_xlfn.XLOOKUP(A808,'Video Database'!L:L,'Video Database'!D:D,"")</f>
        <v>Blakely</v>
      </c>
      <c r="C808" s="98" t="str">
        <f t="array" ref="C808">_xlfn.XLOOKUP(A808,'Video Database'!L:L,'Video Database'!E:E,"")</f>
        <v>Account 4</v>
      </c>
      <c r="D808" s="99" t="str">
        <f t="array" ref="D808">_xlfn.XLOOKUP(A808,'Video Database'!L:L,'Video Database'!G:G,"")</f>
        <v>Goli Women's Complete Multi Gummy</v>
      </c>
      <c r="E808" s="100">
        <f t="array" ref="E808">_xlfn.XLOOKUP(A808,'Video Database'!L:L,'Video Database'!H:H,"")</f>
        <v>0.11</v>
      </c>
      <c r="F808" s="101">
        <v>0.0</v>
      </c>
      <c r="G808" s="87">
        <v>0.0</v>
      </c>
      <c r="H808" s="114">
        <f t="array" ref="H808">_xlfn.XLOOKUP(A808,'Video Database'!L:L,'Video Database'!A:A,"")</f>
        <v>46196</v>
      </c>
      <c r="I808" s="103">
        <v>46201.0</v>
      </c>
      <c r="J808" s="104">
        <v>0.0</v>
      </c>
      <c r="K808" s="105"/>
      <c r="L808" s="105" t="str">
        <f t="shared" si="1"/>
        <v/>
      </c>
      <c r="O808" s="106" t="str">
        <f t="shared" si="2"/>
        <v>#N/A</v>
      </c>
      <c r="P808" s="106" t="str">
        <f t="shared" si="3"/>
        <v>#N/A</v>
      </c>
      <c r="Q808" s="84" t="str">
        <f t="shared" si="4"/>
        <v>#N/A</v>
      </c>
      <c r="R808" s="84" t="str">
        <f t="shared" si="5"/>
        <v>#N/A</v>
      </c>
      <c r="S808" s="107">
        <f t="shared" si="6"/>
        <v>-0.11</v>
      </c>
      <c r="T808" s="108">
        <f t="shared" si="7"/>
        <v>-1</v>
      </c>
      <c r="U808" s="106" t="str">
        <f t="shared" si="8"/>
        <v>#N/A</v>
      </c>
      <c r="V808" s="84" t="str">
        <f t="shared" si="9"/>
        <v/>
      </c>
      <c r="W808" s="109" t="str">
        <f t="shared" si="10"/>
        <v/>
      </c>
      <c r="X808" s="109" t="str">
        <f t="shared" si="11"/>
        <v/>
      </c>
      <c r="Y808" s="110" t="str">
        <f t="array" ref="Y808">_xlfn.XLOOKUP(A808,'Video Database'!L:L,'Video Database'!M:M,"")</f>
        <v>Product Overlay</v>
      </c>
    </row>
    <row r="809" ht="22.5" customHeight="1">
      <c r="A809" s="113">
        <f t="shared" si="12"/>
        <v>808</v>
      </c>
      <c r="B809" s="98" t="str">
        <f t="array" ref="B809">_xlfn.XLOOKUP(A809,'Video Database'!L:L,'Video Database'!D:D,"")</f>
        <v>Brittney</v>
      </c>
      <c r="C809" s="98" t="str">
        <f t="array" ref="C809">_xlfn.XLOOKUP(A809,'Video Database'!L:L,'Video Database'!E:E,"")</f>
        <v>Account 4</v>
      </c>
      <c r="D809" s="99" t="str">
        <f t="array" ref="D809">_xlfn.XLOOKUP(A809,'Video Database'!L:L,'Video Database'!G:G,"")</f>
        <v>Gruns Greens Popsicle Firecracker Gummies</v>
      </c>
      <c r="E809" s="100">
        <f t="array" ref="E809">_xlfn.XLOOKUP(A809,'Video Database'!L:L,'Video Database'!H:H,"")</f>
        <v>0.11</v>
      </c>
      <c r="F809" s="101">
        <v>0.0</v>
      </c>
      <c r="G809" s="87">
        <v>0.0</v>
      </c>
      <c r="H809" s="114">
        <f t="array" ref="H809">_xlfn.XLOOKUP(A809,'Video Database'!L:L,'Video Database'!A:A,"")</f>
        <v>46196</v>
      </c>
      <c r="I809" s="103">
        <v>46201.0</v>
      </c>
      <c r="J809" s="104">
        <v>0.0</v>
      </c>
      <c r="K809" s="105"/>
      <c r="L809" s="105" t="str">
        <f t="shared" si="1"/>
        <v/>
      </c>
      <c r="O809" s="106" t="str">
        <f t="shared" si="2"/>
        <v>#N/A</v>
      </c>
      <c r="P809" s="106" t="str">
        <f t="shared" si="3"/>
        <v>#N/A</v>
      </c>
      <c r="Q809" s="84" t="str">
        <f t="shared" si="4"/>
        <v>#N/A</v>
      </c>
      <c r="R809" s="84" t="str">
        <f t="shared" si="5"/>
        <v>#N/A</v>
      </c>
      <c r="S809" s="107">
        <f t="shared" si="6"/>
        <v>-0.11</v>
      </c>
      <c r="T809" s="108">
        <f t="shared" si="7"/>
        <v>-1</v>
      </c>
      <c r="U809" s="106" t="str">
        <f t="shared" si="8"/>
        <v>#N/A</v>
      </c>
      <c r="V809" s="84" t="str">
        <f t="shared" si="9"/>
        <v/>
      </c>
      <c r="W809" s="109" t="str">
        <f t="shared" si="10"/>
        <v/>
      </c>
      <c r="X809" s="109" t="str">
        <f t="shared" si="11"/>
        <v/>
      </c>
      <c r="Y809" s="110" t="str">
        <f t="array" ref="Y809">_xlfn.XLOOKUP(A809,'Video Database'!L:L,'Video Database'!M:M,"")</f>
        <v>Bottom of Funnel</v>
      </c>
    </row>
    <row r="810" ht="22.5" customHeight="1">
      <c r="A810" s="113">
        <f t="shared" si="12"/>
        <v>809</v>
      </c>
      <c r="B810" s="98" t="str">
        <f t="array" ref="B810">_xlfn.XLOOKUP(A810,'Video Database'!L:L,'Video Database'!D:D,"")</f>
        <v>Blakely</v>
      </c>
      <c r="C810" s="98" t="str">
        <f t="array" ref="C810">_xlfn.XLOOKUP(A810,'Video Database'!L:L,'Video Database'!E:E,"")</f>
        <v>Account 4</v>
      </c>
      <c r="D810" s="99" t="str">
        <f t="array" ref="D810">_xlfn.XLOOKUP(A810,'Video Database'!L:L,'Video Database'!G:G,"")</f>
        <v>BetterAlt Shilajit Honey Sticks</v>
      </c>
      <c r="E810" s="100">
        <f t="array" ref="E810">_xlfn.XLOOKUP(A810,'Video Database'!L:L,'Video Database'!H:H,"")</f>
        <v>0.11</v>
      </c>
      <c r="F810" s="101">
        <v>0.0</v>
      </c>
      <c r="G810" s="87">
        <v>0.0</v>
      </c>
      <c r="H810" s="114">
        <f t="array" ref="H810">_xlfn.XLOOKUP(A810,'Video Database'!L:L,'Video Database'!A:A,"")</f>
        <v>46196</v>
      </c>
      <c r="I810" s="103">
        <v>46201.0</v>
      </c>
      <c r="J810" s="104">
        <v>0.0</v>
      </c>
      <c r="K810" s="105"/>
      <c r="L810" s="105" t="str">
        <f t="shared" si="1"/>
        <v/>
      </c>
      <c r="O810" s="106" t="str">
        <f t="shared" si="2"/>
        <v>#N/A</v>
      </c>
      <c r="P810" s="106" t="str">
        <f t="shared" si="3"/>
        <v>#N/A</v>
      </c>
      <c r="Q810" s="84" t="str">
        <f t="shared" si="4"/>
        <v>#N/A</v>
      </c>
      <c r="R810" s="84" t="str">
        <f t="shared" si="5"/>
        <v>#N/A</v>
      </c>
      <c r="S810" s="107">
        <f t="shared" si="6"/>
        <v>-0.11</v>
      </c>
      <c r="T810" s="108">
        <f t="shared" si="7"/>
        <v>-1</v>
      </c>
      <c r="U810" s="106" t="str">
        <f t="shared" si="8"/>
        <v>#N/A</v>
      </c>
      <c r="V810" s="84" t="str">
        <f t="shared" si="9"/>
        <v/>
      </c>
      <c r="W810" s="109" t="str">
        <f t="shared" si="10"/>
        <v/>
      </c>
      <c r="X810" s="109" t="str">
        <f t="shared" si="11"/>
        <v/>
      </c>
      <c r="Y810" s="110" t="str">
        <f t="array" ref="Y810">_xlfn.XLOOKUP(A810,'Video Database'!L:L,'Video Database'!M:M,"")</f>
        <v>Product Overlay</v>
      </c>
    </row>
    <row r="811" ht="22.5" customHeight="1">
      <c r="A811" s="113">
        <f t="shared" si="12"/>
        <v>810</v>
      </c>
      <c r="B811" s="98" t="str">
        <f t="array" ref="B811">_xlfn.XLOOKUP(A811,'Video Database'!L:L,'Video Database'!D:D,"")</f>
        <v>Brittney</v>
      </c>
      <c r="C811" s="98" t="str">
        <f t="array" ref="C811">_xlfn.XLOOKUP(A811,'Video Database'!L:L,'Video Database'!E:E,"")</f>
        <v>Account 4</v>
      </c>
      <c r="D811" s="99" t="str">
        <f t="array" ref="D811">_xlfn.XLOOKUP(A811,'Video Database'!L:L,'Video Database'!G:G,"")</f>
        <v>Gruns Greens Popsicle Firecracker Gummies</v>
      </c>
      <c r="E811" s="100">
        <f t="array" ref="E811">_xlfn.XLOOKUP(A811,'Video Database'!L:L,'Video Database'!H:H,"")</f>
        <v>0.11</v>
      </c>
      <c r="F811" s="101">
        <v>13.39</v>
      </c>
      <c r="G811" s="87">
        <v>1.0</v>
      </c>
      <c r="H811" s="114">
        <f t="array" ref="H811">_xlfn.XLOOKUP(A811,'Video Database'!L:L,'Video Database'!A:A,"")</f>
        <v>46196</v>
      </c>
      <c r="I811" s="103">
        <v>46201.0</v>
      </c>
      <c r="J811" s="104">
        <v>0.87</v>
      </c>
      <c r="K811" s="87">
        <v>17.0</v>
      </c>
      <c r="L811" s="105">
        <f t="shared" si="1"/>
        <v>902</v>
      </c>
      <c r="M811" s="87">
        <v>902.0</v>
      </c>
      <c r="O811" s="106">
        <f t="shared" si="2"/>
        <v>0.01884700665</v>
      </c>
      <c r="P811" s="106">
        <f t="shared" si="3"/>
        <v>0.05882352941</v>
      </c>
      <c r="Q811" s="84">
        <f t="shared" si="4"/>
        <v>0.87</v>
      </c>
      <c r="R811" s="84">
        <f t="shared" si="5"/>
        <v>13.39</v>
      </c>
      <c r="S811" s="107">
        <f t="shared" si="6"/>
        <v>0.76</v>
      </c>
      <c r="T811" s="108">
        <f t="shared" si="7"/>
        <v>6.909090909</v>
      </c>
      <c r="U811" s="106">
        <f t="shared" si="8"/>
        <v>0.8735632184</v>
      </c>
      <c r="V811" s="129">
        <f t="shared" si="9"/>
        <v>0.11</v>
      </c>
      <c r="W811" s="109">
        <f t="shared" si="10"/>
        <v>0.006470588235</v>
      </c>
      <c r="X811" s="109">
        <f t="shared" si="11"/>
        <v>0.8215085885</v>
      </c>
      <c r="Y811" s="110" t="str">
        <f t="array" ref="Y811">_xlfn.XLOOKUP(A811,'Video Database'!L:L,'Video Database'!M:M,"")</f>
        <v>Product Overlay</v>
      </c>
    </row>
    <row r="812" ht="22.5" customHeight="1">
      <c r="A812" s="113">
        <f t="shared" si="12"/>
        <v>811</v>
      </c>
      <c r="B812" s="98" t="str">
        <f t="array" ref="B812">_xlfn.XLOOKUP(A812,'Video Database'!L:L,'Video Database'!D:D,"")</f>
        <v>Blakely</v>
      </c>
      <c r="C812" s="98" t="str">
        <f t="array" ref="C812">_xlfn.XLOOKUP(A812,'Video Database'!L:L,'Video Database'!E:E,"")</f>
        <v>Account 4</v>
      </c>
      <c r="D812" s="99" t="str">
        <f t="array" ref="D812">_xlfn.XLOOKUP(A812,'Video Database'!L:L,'Video Database'!G:G,"")</f>
        <v>Portable Magnetic Phone Mount</v>
      </c>
      <c r="E812" s="100">
        <f t="array" ref="E812">_xlfn.XLOOKUP(A812,'Video Database'!L:L,'Video Database'!H:H,"")</f>
        <v>0.11</v>
      </c>
      <c r="F812" s="101">
        <v>11.54</v>
      </c>
      <c r="G812" s="87">
        <v>2.0</v>
      </c>
      <c r="H812" s="114">
        <f t="array" ref="H812">_xlfn.XLOOKUP(A812,'Video Database'!L:L,'Video Database'!A:A,"")</f>
        <v>46196</v>
      </c>
      <c r="I812" s="103">
        <v>46201.0</v>
      </c>
      <c r="J812" s="104">
        <v>2.63</v>
      </c>
      <c r="K812" s="87">
        <v>36.0</v>
      </c>
      <c r="L812" s="105">
        <f t="shared" si="1"/>
        <v>1600</v>
      </c>
      <c r="M812" s="87">
        <v>1600.0</v>
      </c>
      <c r="O812" s="106">
        <f t="shared" si="2"/>
        <v>0.0225</v>
      </c>
      <c r="P812" s="106">
        <f t="shared" si="3"/>
        <v>0.05555555556</v>
      </c>
      <c r="Q812" s="84">
        <f t="shared" si="4"/>
        <v>1.315</v>
      </c>
      <c r="R812" s="84">
        <f t="shared" si="5"/>
        <v>5.77</v>
      </c>
      <c r="S812" s="107">
        <f t="shared" si="6"/>
        <v>2.52</v>
      </c>
      <c r="T812" s="108">
        <f t="shared" si="7"/>
        <v>22.90909091</v>
      </c>
      <c r="U812" s="106">
        <f t="shared" si="8"/>
        <v>0.9581749049</v>
      </c>
      <c r="V812" s="129">
        <f t="shared" si="9"/>
        <v>0.055</v>
      </c>
      <c r="W812" s="109">
        <f t="shared" si="10"/>
        <v>0.003055555556</v>
      </c>
      <c r="X812" s="109">
        <f t="shared" si="11"/>
        <v>0.9532062392</v>
      </c>
      <c r="Y812" s="110" t="str">
        <f t="array" ref="Y812">_xlfn.XLOOKUP(A812,'Video Database'!L:L,'Video Database'!M:M,"")</f>
        <v>Product Overlay</v>
      </c>
    </row>
    <row r="813" ht="22.5" customHeight="1">
      <c r="A813" s="113">
        <f t="shared" si="12"/>
        <v>812</v>
      </c>
      <c r="B813" s="98" t="str">
        <f t="array" ref="B813">_xlfn.XLOOKUP(A813,'Video Database'!L:L,'Video Database'!D:D,"")</f>
        <v>Blakely</v>
      </c>
      <c r="C813" s="98" t="str">
        <f t="array" ref="C813">_xlfn.XLOOKUP(A813,'Video Database'!L:L,'Video Database'!E:E,"")</f>
        <v>Account 4</v>
      </c>
      <c r="D813" s="99" t="str">
        <f t="array" ref="D813">_xlfn.XLOOKUP(A813,'Video Database'!L:L,'Video Database'!G:G,"")</f>
        <v>MEDITHERAPY Retinal Skin Booster Serum</v>
      </c>
      <c r="E813" s="100">
        <f t="array" ref="E813">_xlfn.XLOOKUP(A813,'Video Database'!L:L,'Video Database'!H:H,"")</f>
        <v>0.11</v>
      </c>
      <c r="F813" s="101">
        <v>0.0</v>
      </c>
      <c r="G813" s="87">
        <v>0.0</v>
      </c>
      <c r="H813" s="114">
        <f t="array" ref="H813">_xlfn.XLOOKUP(A813,'Video Database'!L:L,'Video Database'!A:A,"")</f>
        <v>46196</v>
      </c>
      <c r="I813" s="103">
        <v>46201.0</v>
      </c>
      <c r="J813" s="104">
        <v>0.0</v>
      </c>
      <c r="K813" s="105"/>
      <c r="L813" s="105" t="str">
        <f t="shared" si="1"/>
        <v/>
      </c>
      <c r="O813" s="106" t="str">
        <f t="shared" si="2"/>
        <v>#N/A</v>
      </c>
      <c r="P813" s="106" t="str">
        <f t="shared" si="3"/>
        <v>#N/A</v>
      </c>
      <c r="Q813" s="84" t="str">
        <f t="shared" si="4"/>
        <v>#N/A</v>
      </c>
      <c r="R813" s="84" t="str">
        <f t="shared" si="5"/>
        <v>#N/A</v>
      </c>
      <c r="S813" s="107">
        <f t="shared" si="6"/>
        <v>-0.11</v>
      </c>
      <c r="T813" s="108">
        <f t="shared" si="7"/>
        <v>-1</v>
      </c>
      <c r="U813" s="106" t="str">
        <f t="shared" si="8"/>
        <v>#N/A</v>
      </c>
      <c r="V813" s="84" t="str">
        <f t="shared" si="9"/>
        <v/>
      </c>
      <c r="W813" s="109" t="str">
        <f t="shared" si="10"/>
        <v/>
      </c>
      <c r="X813" s="109" t="str">
        <f t="shared" si="11"/>
        <v/>
      </c>
      <c r="Y813" s="110" t="str">
        <f t="array" ref="Y813">_xlfn.XLOOKUP(A813,'Video Database'!L:L,'Video Database'!M:M,"")</f>
        <v>Product Overlay</v>
      </c>
    </row>
    <row r="814" ht="22.5" customHeight="1">
      <c r="A814" s="113">
        <f t="shared" si="12"/>
        <v>813</v>
      </c>
      <c r="B814" s="98" t="str">
        <f t="array" ref="B814">_xlfn.XLOOKUP(A814,'Video Database'!L:L,'Video Database'!D:D,"")</f>
        <v>Erin</v>
      </c>
      <c r="C814" s="98" t="str">
        <f t="array" ref="C814">_xlfn.XLOOKUP(A814,'Video Database'!L:L,'Video Database'!E:E,"")</f>
        <v>Account 4</v>
      </c>
      <c r="D814" s="99" t="str">
        <f t="array" ref="D814">_xlfn.XLOOKUP(A814,'Video Database'!L:L,'Video Database'!G:G,"")</f>
        <v>Color Wow Quick Refresh and Styling Bundle</v>
      </c>
      <c r="E814" s="100">
        <f t="array" ref="E814">_xlfn.XLOOKUP(A814,'Video Database'!L:L,'Video Database'!H:H,"")</f>
        <v>0.737</v>
      </c>
      <c r="F814" s="101">
        <v>0.0</v>
      </c>
      <c r="G814" s="87">
        <v>0.0</v>
      </c>
      <c r="H814" s="114">
        <f t="array" ref="H814">_xlfn.XLOOKUP(A814,'Video Database'!L:L,'Video Database'!A:A,"")</f>
        <v>46196</v>
      </c>
      <c r="I814" s="103">
        <v>46201.0</v>
      </c>
      <c r="J814" s="104">
        <v>0.0</v>
      </c>
      <c r="K814" s="105"/>
      <c r="L814" s="105" t="str">
        <f t="shared" si="1"/>
        <v/>
      </c>
      <c r="O814" s="106" t="str">
        <f t="shared" si="2"/>
        <v>#N/A</v>
      </c>
      <c r="P814" s="106" t="str">
        <f t="shared" si="3"/>
        <v>#N/A</v>
      </c>
      <c r="Q814" s="84" t="str">
        <f t="shared" si="4"/>
        <v>#N/A</v>
      </c>
      <c r="R814" s="84" t="str">
        <f t="shared" si="5"/>
        <v>#N/A</v>
      </c>
      <c r="S814" s="107">
        <f t="shared" si="6"/>
        <v>-0.737</v>
      </c>
      <c r="T814" s="108">
        <f t="shared" si="7"/>
        <v>-1</v>
      </c>
      <c r="U814" s="106" t="str">
        <f t="shared" si="8"/>
        <v>#N/A</v>
      </c>
      <c r="V814" s="84" t="str">
        <f t="shared" si="9"/>
        <v/>
      </c>
      <c r="W814" s="109" t="str">
        <f t="shared" si="10"/>
        <v/>
      </c>
      <c r="X814" s="109" t="str">
        <f t="shared" si="11"/>
        <v/>
      </c>
      <c r="Y814" s="110" t="str">
        <f t="array" ref="Y814">_xlfn.XLOOKUP(A814,'Video Database'!L:L,'Video Database'!M:M,"")</f>
        <v>Bottom of Funnel</v>
      </c>
    </row>
    <row r="815" ht="22.5" customHeight="1">
      <c r="A815" s="113">
        <f t="shared" si="12"/>
        <v>814</v>
      </c>
      <c r="B815" s="98" t="str">
        <f t="array" ref="B815">_xlfn.XLOOKUP(A815,'Video Database'!L:L,'Video Database'!D:D,"")</f>
        <v>Erin</v>
      </c>
      <c r="C815" s="98" t="str">
        <f t="array" ref="C815">_xlfn.XLOOKUP(A815,'Video Database'!L:L,'Video Database'!E:E,"")</f>
        <v>Account 4</v>
      </c>
      <c r="D815" s="99" t="str">
        <f t="array" ref="D815">_xlfn.XLOOKUP(A815,'Video Database'!L:L,'Video Database'!G:G,"")</f>
        <v>Color Wow Quick Refresh and Styling Bundle</v>
      </c>
      <c r="E815" s="100">
        <f t="array" ref="E815">_xlfn.XLOOKUP(A815,'Video Database'!L:L,'Video Database'!H:H,"")</f>
        <v>0.737</v>
      </c>
      <c r="F815" s="101">
        <v>0.0</v>
      </c>
      <c r="G815" s="87">
        <v>0.0</v>
      </c>
      <c r="H815" s="114">
        <f t="array" ref="H815">_xlfn.XLOOKUP(A815,'Video Database'!L:L,'Video Database'!A:A,"")</f>
        <v>46196</v>
      </c>
      <c r="I815" s="103">
        <v>46201.0</v>
      </c>
      <c r="J815" s="104">
        <v>0.0</v>
      </c>
      <c r="K815" s="105"/>
      <c r="L815" s="105" t="str">
        <f t="shared" si="1"/>
        <v/>
      </c>
      <c r="O815" s="106" t="str">
        <f t="shared" si="2"/>
        <v>#N/A</v>
      </c>
      <c r="P815" s="106" t="str">
        <f t="shared" si="3"/>
        <v>#N/A</v>
      </c>
      <c r="Q815" s="84" t="str">
        <f t="shared" si="4"/>
        <v>#N/A</v>
      </c>
      <c r="R815" s="84" t="str">
        <f t="shared" si="5"/>
        <v>#N/A</v>
      </c>
      <c r="S815" s="107">
        <f t="shared" si="6"/>
        <v>-0.737</v>
      </c>
      <c r="T815" s="108">
        <f t="shared" si="7"/>
        <v>-1</v>
      </c>
      <c r="U815" s="106" t="str">
        <f t="shared" si="8"/>
        <v>#N/A</v>
      </c>
      <c r="V815" s="84" t="str">
        <f t="shared" si="9"/>
        <v/>
      </c>
      <c r="W815" s="109" t="str">
        <f t="shared" si="10"/>
        <v/>
      </c>
      <c r="X815" s="109" t="str">
        <f t="shared" si="11"/>
        <v/>
      </c>
      <c r="Y815" s="110" t="str">
        <f t="array" ref="Y815">_xlfn.XLOOKUP(A815,'Video Database'!L:L,'Video Database'!M:M,"")</f>
        <v>Bottom of Funnel</v>
      </c>
    </row>
    <row r="816" ht="22.5" customHeight="1">
      <c r="A816" s="113">
        <f t="shared" si="12"/>
        <v>815</v>
      </c>
      <c r="B816" s="98" t="str">
        <f t="array" ref="B816">_xlfn.XLOOKUP(A816,'Video Database'!L:L,'Video Database'!D:D,"")</f>
        <v>Erin</v>
      </c>
      <c r="C816" s="98" t="str">
        <f t="array" ref="C816">_xlfn.XLOOKUP(A816,'Video Database'!L:L,'Video Database'!E:E,"")</f>
        <v>Account 4</v>
      </c>
      <c r="D816" s="99" t="str">
        <f t="array" ref="D816">_xlfn.XLOOKUP(A816,'Video Database'!L:L,'Video Database'!G:G,"")</f>
        <v>Medicube Kojic Accid Tumeric Power Duo</v>
      </c>
      <c r="E816" s="100">
        <f t="array" ref="E816">_xlfn.XLOOKUP(A816,'Video Database'!L:L,'Video Database'!H:H,"")</f>
        <v>0.737</v>
      </c>
      <c r="F816" s="101">
        <v>29.0</v>
      </c>
      <c r="G816" s="87">
        <v>1.0</v>
      </c>
      <c r="H816" s="114">
        <f t="array" ref="H816">_xlfn.XLOOKUP(A816,'Video Database'!L:L,'Video Database'!A:A,"")</f>
        <v>46196</v>
      </c>
      <c r="I816" s="103">
        <v>46201.0</v>
      </c>
      <c r="J816" s="104">
        <v>4.35</v>
      </c>
      <c r="K816" s="87">
        <v>4.0</v>
      </c>
      <c r="L816" s="105">
        <f t="shared" si="1"/>
        <v>100</v>
      </c>
      <c r="M816" s="87">
        <v>100.0</v>
      </c>
      <c r="O816" s="106">
        <f t="shared" si="2"/>
        <v>0.04</v>
      </c>
      <c r="P816" s="106">
        <f t="shared" si="3"/>
        <v>0.25</v>
      </c>
      <c r="Q816" s="84">
        <f t="shared" si="4"/>
        <v>4.35</v>
      </c>
      <c r="R816" s="84">
        <f t="shared" si="5"/>
        <v>29</v>
      </c>
      <c r="S816" s="107">
        <f t="shared" si="6"/>
        <v>3.613</v>
      </c>
      <c r="T816" s="108">
        <f t="shared" si="7"/>
        <v>4.902306649</v>
      </c>
      <c r="U816" s="106">
        <f t="shared" si="8"/>
        <v>0.8305747126</v>
      </c>
      <c r="V816" s="129">
        <f t="shared" si="9"/>
        <v>0.737</v>
      </c>
      <c r="W816" s="109">
        <f t="shared" si="10"/>
        <v>0.18425</v>
      </c>
      <c r="X816" s="109">
        <f t="shared" si="11"/>
        <v>2.54137931</v>
      </c>
      <c r="Y816" s="110" t="str">
        <f t="array" ref="Y816">_xlfn.XLOOKUP(A816,'Video Database'!L:L,'Video Database'!M:M,"")</f>
        <v>Bottom of Funnel</v>
      </c>
    </row>
    <row r="817" ht="22.5" customHeight="1">
      <c r="A817" s="113">
        <f t="shared" si="12"/>
        <v>816</v>
      </c>
      <c r="B817" s="98" t="str">
        <f t="array" ref="B817">_xlfn.XLOOKUP(A817,'Video Database'!L:L,'Video Database'!D:D,"")</f>
        <v>Erin</v>
      </c>
      <c r="C817" s="98" t="str">
        <f t="array" ref="C817">_xlfn.XLOOKUP(A817,'Video Database'!L:L,'Video Database'!E:E,"")</f>
        <v>Account 4</v>
      </c>
      <c r="D817" s="99" t="str">
        <f t="array" ref="D817">_xlfn.XLOOKUP(A817,'Video Database'!L:L,'Video Database'!G:G,"")</f>
        <v>Medicube Kojic Accid Tumeric Power Duo</v>
      </c>
      <c r="E817" s="100">
        <f t="array" ref="E817">_xlfn.XLOOKUP(A817,'Video Database'!L:L,'Video Database'!H:H,"")</f>
        <v>0.737</v>
      </c>
      <c r="F817" s="101">
        <v>0.0</v>
      </c>
      <c r="G817" s="87">
        <v>0.0</v>
      </c>
      <c r="H817" s="114">
        <f t="array" ref="H817">_xlfn.XLOOKUP(A817,'Video Database'!L:L,'Video Database'!A:A,"")</f>
        <v>46196</v>
      </c>
      <c r="I817" s="103">
        <v>46201.0</v>
      </c>
      <c r="J817" s="104">
        <v>0.0</v>
      </c>
      <c r="K817" s="105"/>
      <c r="L817" s="105" t="str">
        <f t="shared" si="1"/>
        <v/>
      </c>
      <c r="O817" s="106" t="str">
        <f t="shared" si="2"/>
        <v>#N/A</v>
      </c>
      <c r="P817" s="106" t="str">
        <f t="shared" si="3"/>
        <v>#N/A</v>
      </c>
      <c r="Q817" s="84" t="str">
        <f t="shared" si="4"/>
        <v>#N/A</v>
      </c>
      <c r="R817" s="84" t="str">
        <f t="shared" si="5"/>
        <v>#N/A</v>
      </c>
      <c r="S817" s="107">
        <f t="shared" si="6"/>
        <v>-0.737</v>
      </c>
      <c r="T817" s="108">
        <f t="shared" si="7"/>
        <v>-1</v>
      </c>
      <c r="U817" s="106" t="str">
        <f t="shared" si="8"/>
        <v>#N/A</v>
      </c>
      <c r="V817" s="84" t="str">
        <f t="shared" si="9"/>
        <v/>
      </c>
      <c r="W817" s="109" t="str">
        <f t="shared" si="10"/>
        <v/>
      </c>
      <c r="X817" s="109" t="str">
        <f t="shared" si="11"/>
        <v/>
      </c>
      <c r="Y817" s="110" t="str">
        <f t="array" ref="Y817">_xlfn.XLOOKUP(A817,'Video Database'!L:L,'Video Database'!M:M,"")</f>
        <v>Bottom of Funnel</v>
      </c>
    </row>
    <row r="818" ht="22.5" customHeight="1">
      <c r="A818" s="113">
        <f t="shared" si="12"/>
        <v>817</v>
      </c>
      <c r="B818" s="98" t="str">
        <f t="array" ref="B818">_xlfn.XLOOKUP(A818,'Video Database'!L:L,'Video Database'!D:D,"")</f>
        <v>Erin</v>
      </c>
      <c r="C818" s="98" t="str">
        <f t="array" ref="C818">_xlfn.XLOOKUP(A818,'Video Database'!L:L,'Video Database'!E:E,"")</f>
        <v>Account 4</v>
      </c>
      <c r="D818" s="99" t="str">
        <f t="array" ref="D818">_xlfn.XLOOKUP(A818,'Video Database'!L:L,'Video Database'!G:G,"")</f>
        <v>Medicube Kojic Accid Tumeric Power Duo</v>
      </c>
      <c r="E818" s="100">
        <f t="array" ref="E818">_xlfn.XLOOKUP(A818,'Video Database'!L:L,'Video Database'!H:H,"")</f>
        <v>0.737</v>
      </c>
      <c r="F818" s="101">
        <v>0.0</v>
      </c>
      <c r="G818" s="87">
        <v>0.0</v>
      </c>
      <c r="H818" s="114">
        <f t="array" ref="H818">_xlfn.XLOOKUP(A818,'Video Database'!L:L,'Video Database'!A:A,"")</f>
        <v>46196</v>
      </c>
      <c r="I818" s="103">
        <v>46201.0</v>
      </c>
      <c r="J818" s="104">
        <v>0.0</v>
      </c>
      <c r="K818" s="105"/>
      <c r="L818" s="105" t="str">
        <f t="shared" si="1"/>
        <v/>
      </c>
      <c r="O818" s="106" t="str">
        <f t="shared" si="2"/>
        <v>#N/A</v>
      </c>
      <c r="P818" s="106" t="str">
        <f t="shared" si="3"/>
        <v>#N/A</v>
      </c>
      <c r="Q818" s="84" t="str">
        <f t="shared" si="4"/>
        <v>#N/A</v>
      </c>
      <c r="R818" s="84" t="str">
        <f t="shared" si="5"/>
        <v>#N/A</v>
      </c>
      <c r="S818" s="107">
        <f t="shared" si="6"/>
        <v>-0.737</v>
      </c>
      <c r="T818" s="108">
        <f t="shared" si="7"/>
        <v>-1</v>
      </c>
      <c r="U818" s="106" t="str">
        <f t="shared" si="8"/>
        <v>#N/A</v>
      </c>
      <c r="V818" s="84" t="str">
        <f t="shared" si="9"/>
        <v/>
      </c>
      <c r="W818" s="109" t="str">
        <f t="shared" si="10"/>
        <v/>
      </c>
      <c r="X818" s="109" t="str">
        <f t="shared" si="11"/>
        <v/>
      </c>
      <c r="Y818" s="110" t="str">
        <f t="array" ref="Y818">_xlfn.XLOOKUP(A818,'Video Database'!L:L,'Video Database'!M:M,"")</f>
        <v>Bottom of Funnel</v>
      </c>
    </row>
    <row r="819" ht="22.5" customHeight="1">
      <c r="A819" s="113">
        <f t="shared" si="12"/>
        <v>818</v>
      </c>
      <c r="B819" s="98" t="str">
        <f t="array" ref="B819">_xlfn.XLOOKUP(A819,'Video Database'!L:L,'Video Database'!D:D,"")</f>
        <v>Blakely</v>
      </c>
      <c r="C819" s="98" t="str">
        <f t="array" ref="C819">_xlfn.XLOOKUP(A819,'Video Database'!L:L,'Video Database'!E:E,"")</f>
        <v>Account 4</v>
      </c>
      <c r="D819" s="99" t="str">
        <f t="array" ref="D819">_xlfn.XLOOKUP(A819,'Video Database'!L:L,'Video Database'!G:G,"")</f>
        <v>MEDITHERAPY Retinal Skin Booster Serum</v>
      </c>
      <c r="E819" s="100">
        <f t="array" ref="E819">_xlfn.XLOOKUP(A819,'Video Database'!L:L,'Video Database'!H:H,"")</f>
        <v>0.11</v>
      </c>
      <c r="F819" s="101">
        <v>0.0</v>
      </c>
      <c r="G819" s="87">
        <v>0.0</v>
      </c>
      <c r="H819" s="114">
        <f t="array" ref="H819">_xlfn.XLOOKUP(A819,'Video Database'!L:L,'Video Database'!A:A,"")</f>
        <v>46196</v>
      </c>
      <c r="I819" s="103">
        <v>46201.0</v>
      </c>
      <c r="J819" s="104">
        <v>0.0</v>
      </c>
      <c r="K819" s="105"/>
      <c r="L819" s="105" t="str">
        <f t="shared" si="1"/>
        <v/>
      </c>
      <c r="O819" s="106" t="str">
        <f t="shared" si="2"/>
        <v>#N/A</v>
      </c>
      <c r="P819" s="106" t="str">
        <f t="shared" si="3"/>
        <v>#N/A</v>
      </c>
      <c r="Q819" s="84" t="str">
        <f t="shared" si="4"/>
        <v>#N/A</v>
      </c>
      <c r="R819" s="84" t="str">
        <f t="shared" si="5"/>
        <v>#N/A</v>
      </c>
      <c r="S819" s="107">
        <f t="shared" si="6"/>
        <v>-0.11</v>
      </c>
      <c r="T819" s="108">
        <f t="shared" si="7"/>
        <v>-1</v>
      </c>
      <c r="U819" s="106" t="str">
        <f t="shared" si="8"/>
        <v>#N/A</v>
      </c>
      <c r="V819" s="84" t="str">
        <f t="shared" si="9"/>
        <v/>
      </c>
      <c r="W819" s="109" t="str">
        <f t="shared" si="10"/>
        <v/>
      </c>
      <c r="X819" s="109" t="str">
        <f t="shared" si="11"/>
        <v/>
      </c>
      <c r="Y819" s="110" t="str">
        <f t="array" ref="Y819">_xlfn.XLOOKUP(A819,'Video Database'!L:L,'Video Database'!M:M,"")</f>
        <v>Product Overlay</v>
      </c>
    </row>
    <row r="820" ht="22.5" customHeight="1">
      <c r="A820" s="113">
        <f t="shared" si="12"/>
        <v>819</v>
      </c>
      <c r="B820" s="98" t="str">
        <f t="array" ref="B820">_xlfn.XLOOKUP(A820,'Video Database'!L:L,'Video Database'!D:D,"")</f>
        <v>Blakely</v>
      </c>
      <c r="C820" s="98" t="str">
        <f t="array" ref="C820">_xlfn.XLOOKUP(A820,'Video Database'!L:L,'Video Database'!E:E,"")</f>
        <v>Account 4</v>
      </c>
      <c r="D820" s="99" t="str">
        <f t="array" ref="D820">_xlfn.XLOOKUP(A820,'Video Database'!L:L,'Video Database'!G:G,"")</f>
        <v>Portable Magnetic Phone Mount</v>
      </c>
      <c r="E820" s="100">
        <f t="array" ref="E820">_xlfn.XLOOKUP(A820,'Video Database'!L:L,'Video Database'!H:H,"")</f>
        <v>0.11</v>
      </c>
      <c r="F820" s="101">
        <v>0.0</v>
      </c>
      <c r="G820" s="87">
        <v>0.0</v>
      </c>
      <c r="H820" s="114">
        <f t="array" ref="H820">_xlfn.XLOOKUP(A820,'Video Database'!L:L,'Video Database'!A:A,"")</f>
        <v>46196</v>
      </c>
      <c r="I820" s="103">
        <v>46201.0</v>
      </c>
      <c r="J820" s="104">
        <v>0.0</v>
      </c>
      <c r="K820" s="105"/>
      <c r="L820" s="105" t="str">
        <f t="shared" si="1"/>
        <v/>
      </c>
      <c r="O820" s="106" t="str">
        <f t="shared" si="2"/>
        <v>#N/A</v>
      </c>
      <c r="P820" s="106" t="str">
        <f t="shared" si="3"/>
        <v>#N/A</v>
      </c>
      <c r="Q820" s="84" t="str">
        <f t="shared" si="4"/>
        <v>#N/A</v>
      </c>
      <c r="R820" s="84" t="str">
        <f t="shared" si="5"/>
        <v>#N/A</v>
      </c>
      <c r="S820" s="107">
        <f t="shared" si="6"/>
        <v>-0.11</v>
      </c>
      <c r="T820" s="108">
        <f t="shared" si="7"/>
        <v>-1</v>
      </c>
      <c r="U820" s="106" t="str">
        <f t="shared" si="8"/>
        <v>#N/A</v>
      </c>
      <c r="V820" s="84" t="str">
        <f t="shared" si="9"/>
        <v/>
      </c>
      <c r="W820" s="109" t="str">
        <f t="shared" si="10"/>
        <v/>
      </c>
      <c r="X820" s="109" t="str">
        <f t="shared" si="11"/>
        <v/>
      </c>
      <c r="Y820" s="110" t="str">
        <f t="array" ref="Y820">_xlfn.XLOOKUP(A820,'Video Database'!L:L,'Video Database'!M:M,"")</f>
        <v>Product Overlay</v>
      </c>
    </row>
    <row r="821" ht="22.5" customHeight="1">
      <c r="A821" s="113">
        <f t="shared" si="12"/>
        <v>820</v>
      </c>
      <c r="B821" s="98" t="str">
        <f t="array" ref="B821">_xlfn.XLOOKUP(A821,'Video Database'!L:L,'Video Database'!D:D,"")</f>
        <v>Blakely</v>
      </c>
      <c r="C821" s="98" t="str">
        <f t="array" ref="C821">_xlfn.XLOOKUP(A821,'Video Database'!L:L,'Video Database'!E:E,"")</f>
        <v>Account 4</v>
      </c>
      <c r="D821" s="99" t="str">
        <f t="array" ref="D821">_xlfn.XLOOKUP(A821,'Video Database'!L:L,'Video Database'!G:G,"")</f>
        <v>Nutricost Creatine Monohydrate</v>
      </c>
      <c r="E821" s="100">
        <f t="array" ref="E821">_xlfn.XLOOKUP(A821,'Video Database'!L:L,'Video Database'!H:H,"")</f>
        <v>0.11</v>
      </c>
      <c r="F821" s="101">
        <v>0.0</v>
      </c>
      <c r="G821" s="87">
        <v>0.0</v>
      </c>
      <c r="H821" s="114">
        <f t="array" ref="H821">_xlfn.XLOOKUP(A821,'Video Database'!L:L,'Video Database'!A:A,"")</f>
        <v>46196</v>
      </c>
      <c r="I821" s="103">
        <v>46201.0</v>
      </c>
      <c r="J821" s="104">
        <v>0.0</v>
      </c>
      <c r="K821" s="105"/>
      <c r="L821" s="105" t="str">
        <f t="shared" si="1"/>
        <v/>
      </c>
      <c r="O821" s="106" t="str">
        <f t="shared" si="2"/>
        <v>#N/A</v>
      </c>
      <c r="P821" s="106" t="str">
        <f t="shared" si="3"/>
        <v>#N/A</v>
      </c>
      <c r="Q821" s="84" t="str">
        <f t="shared" si="4"/>
        <v>#N/A</v>
      </c>
      <c r="R821" s="84" t="str">
        <f t="shared" si="5"/>
        <v>#N/A</v>
      </c>
      <c r="S821" s="107">
        <f t="shared" si="6"/>
        <v>-0.11</v>
      </c>
      <c r="T821" s="108">
        <f t="shared" si="7"/>
        <v>-1</v>
      </c>
      <c r="U821" s="106" t="str">
        <f t="shared" si="8"/>
        <v>#N/A</v>
      </c>
      <c r="V821" s="84" t="str">
        <f t="shared" si="9"/>
        <v/>
      </c>
      <c r="W821" s="109" t="str">
        <f t="shared" si="10"/>
        <v/>
      </c>
      <c r="X821" s="109" t="str">
        <f t="shared" si="11"/>
        <v/>
      </c>
      <c r="Y821" s="110" t="str">
        <f t="array" ref="Y821">_xlfn.XLOOKUP(A821,'Video Database'!L:L,'Video Database'!M:M,"")</f>
        <v>Product Overlay</v>
      </c>
    </row>
    <row r="822" ht="22.5" customHeight="1">
      <c r="A822" s="113">
        <f t="shared" si="12"/>
        <v>821</v>
      </c>
      <c r="B822" s="98" t="str">
        <f t="array" ref="B822">_xlfn.XLOOKUP(A822,'Video Database'!L:L,'Video Database'!D:D,"")</f>
        <v>Blakely</v>
      </c>
      <c r="C822" s="98" t="str">
        <f t="array" ref="C822">_xlfn.XLOOKUP(A822,'Video Database'!L:L,'Video Database'!E:E,"")</f>
        <v>Account 4</v>
      </c>
      <c r="D822" s="99" t="str">
        <f t="array" ref="D822">_xlfn.XLOOKUP(A822,'Video Database'!L:L,'Video Database'!G:G,"")</f>
        <v>COSRX US The Copper Peptide Serum</v>
      </c>
      <c r="E822" s="100">
        <f t="array" ref="E822">_xlfn.XLOOKUP(A822,'Video Database'!L:L,'Video Database'!H:H,"")</f>
        <v>0.11</v>
      </c>
      <c r="F822" s="101">
        <v>0.0</v>
      </c>
      <c r="G822" s="87">
        <v>0.0</v>
      </c>
      <c r="H822" s="114">
        <f t="array" ref="H822">_xlfn.XLOOKUP(A822,'Video Database'!L:L,'Video Database'!A:A,"")</f>
        <v>46196</v>
      </c>
      <c r="I822" s="103">
        <v>46201.0</v>
      </c>
      <c r="J822" s="104">
        <v>0.0</v>
      </c>
      <c r="K822" s="105"/>
      <c r="L822" s="105" t="str">
        <f t="shared" si="1"/>
        <v/>
      </c>
      <c r="O822" s="106" t="str">
        <f t="shared" si="2"/>
        <v>#N/A</v>
      </c>
      <c r="P822" s="106" t="str">
        <f t="shared" si="3"/>
        <v>#N/A</v>
      </c>
      <c r="Q822" s="84" t="str">
        <f t="shared" si="4"/>
        <v>#N/A</v>
      </c>
      <c r="R822" s="84" t="str">
        <f t="shared" si="5"/>
        <v>#N/A</v>
      </c>
      <c r="S822" s="107">
        <f t="shared" si="6"/>
        <v>-0.11</v>
      </c>
      <c r="T822" s="108">
        <f t="shared" si="7"/>
        <v>-1</v>
      </c>
      <c r="U822" s="106" t="str">
        <f t="shared" si="8"/>
        <v>#N/A</v>
      </c>
      <c r="V822" s="84" t="str">
        <f t="shared" si="9"/>
        <v/>
      </c>
      <c r="W822" s="109" t="str">
        <f t="shared" si="10"/>
        <v/>
      </c>
      <c r="X822" s="109" t="str">
        <f t="shared" si="11"/>
        <v/>
      </c>
      <c r="Y822" s="110" t="str">
        <f t="array" ref="Y822">_xlfn.XLOOKUP(A822,'Video Database'!L:L,'Video Database'!M:M,"")</f>
        <v>Product Overlay</v>
      </c>
    </row>
    <row r="823" ht="22.5" customHeight="1">
      <c r="A823" s="113">
        <f t="shared" si="12"/>
        <v>822</v>
      </c>
      <c r="B823" s="98" t="str">
        <f t="array" ref="B823">_xlfn.XLOOKUP(A823,'Video Database'!L:L,'Video Database'!D:D,"")</f>
        <v>Blakely</v>
      </c>
      <c r="C823" s="98" t="str">
        <f t="array" ref="C823">_xlfn.XLOOKUP(A823,'Video Database'!L:L,'Video Database'!E:E,"")</f>
        <v>Account 4</v>
      </c>
      <c r="D823" s="99" t="str">
        <f t="array" ref="D823">_xlfn.XLOOKUP(A823,'Video Database'!L:L,'Video Database'!G:G,"")</f>
        <v>IRIS Hormone Health Drink Mix</v>
      </c>
      <c r="E823" s="100">
        <f t="array" ref="E823">_xlfn.XLOOKUP(A823,'Video Database'!L:L,'Video Database'!H:H,"")</f>
        <v>0.11</v>
      </c>
      <c r="F823" s="101">
        <v>0.0</v>
      </c>
      <c r="G823" s="87">
        <v>0.0</v>
      </c>
      <c r="H823" s="114">
        <f t="array" ref="H823">_xlfn.XLOOKUP(A823,'Video Database'!L:L,'Video Database'!A:A,"")</f>
        <v>46196</v>
      </c>
      <c r="I823" s="103">
        <v>46201.0</v>
      </c>
      <c r="J823" s="104">
        <v>0.0</v>
      </c>
      <c r="K823" s="105"/>
      <c r="L823" s="105" t="str">
        <f t="shared" si="1"/>
        <v/>
      </c>
      <c r="O823" s="106" t="str">
        <f t="shared" si="2"/>
        <v>#N/A</v>
      </c>
      <c r="P823" s="106" t="str">
        <f t="shared" si="3"/>
        <v>#N/A</v>
      </c>
      <c r="Q823" s="84" t="str">
        <f t="shared" si="4"/>
        <v>#N/A</v>
      </c>
      <c r="R823" s="84" t="str">
        <f t="shared" si="5"/>
        <v>#N/A</v>
      </c>
      <c r="S823" s="107">
        <f t="shared" si="6"/>
        <v>-0.11</v>
      </c>
      <c r="T823" s="108">
        <f t="shared" si="7"/>
        <v>-1</v>
      </c>
      <c r="U823" s="106" t="str">
        <f t="shared" si="8"/>
        <v>#N/A</v>
      </c>
      <c r="V823" s="84" t="str">
        <f t="shared" si="9"/>
        <v/>
      </c>
      <c r="W823" s="109" t="str">
        <f t="shared" si="10"/>
        <v/>
      </c>
      <c r="X823" s="109" t="str">
        <f t="shared" si="11"/>
        <v/>
      </c>
      <c r="Y823" s="110" t="str">
        <f t="array" ref="Y823">_xlfn.XLOOKUP(A823,'Video Database'!L:L,'Video Database'!M:M,"")</f>
        <v>Product Overlay</v>
      </c>
    </row>
    <row r="824" ht="22.5" customHeight="1">
      <c r="A824" s="113">
        <f t="shared" si="12"/>
        <v>823</v>
      </c>
      <c r="B824" s="98" t="str">
        <f t="array" ref="B824">_xlfn.XLOOKUP(A824,'Video Database'!L:L,'Video Database'!D:D,"")</f>
        <v>Erin</v>
      </c>
      <c r="C824" s="98" t="str">
        <f t="array" ref="C824">_xlfn.XLOOKUP(A824,'Video Database'!L:L,'Video Database'!E:E,"")</f>
        <v>Account 4</v>
      </c>
      <c r="D824" s="99" t="str">
        <f t="array" ref="D824">_xlfn.XLOOKUP(A824,'Video Database'!L:L,'Video Database'!G:G,"")</f>
        <v>Color Wow Quick Refresh and Styling Bundle</v>
      </c>
      <c r="E824" s="100">
        <f t="array" ref="E824">_xlfn.XLOOKUP(A824,'Video Database'!L:L,'Video Database'!H:H,"")</f>
        <v>0.737</v>
      </c>
      <c r="F824" s="101">
        <v>0.0</v>
      </c>
      <c r="G824" s="87">
        <v>0.0</v>
      </c>
      <c r="H824" s="114">
        <f t="array" ref="H824">_xlfn.XLOOKUP(A824,'Video Database'!L:L,'Video Database'!A:A,"")</f>
        <v>46196</v>
      </c>
      <c r="I824" s="103">
        <v>46201.0</v>
      </c>
      <c r="J824" s="104">
        <v>0.0</v>
      </c>
      <c r="K824" s="105"/>
      <c r="L824" s="105" t="str">
        <f t="shared" si="1"/>
        <v/>
      </c>
      <c r="O824" s="106" t="str">
        <f t="shared" si="2"/>
        <v>#N/A</v>
      </c>
      <c r="P824" s="106" t="str">
        <f t="shared" si="3"/>
        <v>#N/A</v>
      </c>
      <c r="Q824" s="84" t="str">
        <f t="shared" si="4"/>
        <v>#N/A</v>
      </c>
      <c r="R824" s="84" t="str">
        <f t="shared" si="5"/>
        <v>#N/A</v>
      </c>
      <c r="S824" s="107">
        <f t="shared" si="6"/>
        <v>-0.737</v>
      </c>
      <c r="T824" s="108">
        <f t="shared" si="7"/>
        <v>-1</v>
      </c>
      <c r="U824" s="106" t="str">
        <f t="shared" si="8"/>
        <v>#N/A</v>
      </c>
      <c r="V824" s="84" t="str">
        <f t="shared" si="9"/>
        <v/>
      </c>
      <c r="W824" s="109" t="str">
        <f t="shared" si="10"/>
        <v/>
      </c>
      <c r="X824" s="109" t="str">
        <f t="shared" si="11"/>
        <v/>
      </c>
      <c r="Y824" s="110" t="str">
        <f t="array" ref="Y824">_xlfn.XLOOKUP(A824,'Video Database'!L:L,'Video Database'!M:M,"")</f>
        <v>Bottom of Funnel</v>
      </c>
    </row>
    <row r="825" ht="22.5" customHeight="1">
      <c r="A825" s="113">
        <f t="shared" si="12"/>
        <v>824</v>
      </c>
      <c r="B825" s="98" t="str">
        <f t="array" ref="B825">_xlfn.XLOOKUP(A825,'Video Database'!L:L,'Video Database'!D:D,"")</f>
        <v>Erin</v>
      </c>
      <c r="C825" s="98" t="str">
        <f t="array" ref="C825">_xlfn.XLOOKUP(A825,'Video Database'!L:L,'Video Database'!E:E,"")</f>
        <v>Account 1</v>
      </c>
      <c r="D825" s="99" t="str">
        <f t="array" ref="D825">_xlfn.XLOOKUP(A825,'Video Database'!L:L,'Video Database'!G:G,"")</f>
        <v>Color Wow Quick Refresh and Styling Bundle</v>
      </c>
      <c r="E825" s="100">
        <f t="array" ref="E825">_xlfn.XLOOKUP(A825,'Video Database'!L:L,'Video Database'!H:H,"")</f>
        <v>0.7337</v>
      </c>
      <c r="F825" s="101">
        <v>0.0</v>
      </c>
      <c r="G825" s="87">
        <v>0.0</v>
      </c>
      <c r="H825" s="114">
        <f t="array" ref="H825">_xlfn.XLOOKUP(A825,'Video Database'!L:L,'Video Database'!A:A,"")</f>
        <v>46197</v>
      </c>
      <c r="I825" s="103">
        <v>46201.0</v>
      </c>
      <c r="J825" s="104">
        <v>0.0</v>
      </c>
      <c r="K825" s="105"/>
      <c r="L825" s="105" t="str">
        <f t="shared" si="1"/>
        <v/>
      </c>
      <c r="O825" s="106" t="str">
        <f t="shared" si="2"/>
        <v>#N/A</v>
      </c>
      <c r="P825" s="106" t="str">
        <f t="shared" si="3"/>
        <v>#N/A</v>
      </c>
      <c r="Q825" s="84" t="str">
        <f t="shared" si="4"/>
        <v>#N/A</v>
      </c>
      <c r="R825" s="84" t="str">
        <f t="shared" si="5"/>
        <v>#N/A</v>
      </c>
      <c r="S825" s="107">
        <f t="shared" si="6"/>
        <v>-0.7337</v>
      </c>
      <c r="T825" s="108">
        <f t="shared" si="7"/>
        <v>-1</v>
      </c>
      <c r="U825" s="106" t="str">
        <f t="shared" si="8"/>
        <v>#N/A</v>
      </c>
      <c r="V825" s="84" t="str">
        <f t="shared" si="9"/>
        <v/>
      </c>
      <c r="W825" s="109" t="str">
        <f t="shared" si="10"/>
        <v/>
      </c>
      <c r="X825" s="109" t="str">
        <f t="shared" si="11"/>
        <v/>
      </c>
      <c r="Y825" s="110" t="str">
        <f t="array" ref="Y825">_xlfn.XLOOKUP(A825,'Video Database'!L:L,'Video Database'!M:M,"")</f>
        <v>Bottom of Funnel</v>
      </c>
    </row>
    <row r="826" ht="22.5" customHeight="1">
      <c r="A826" s="113">
        <f t="shared" si="12"/>
        <v>825</v>
      </c>
      <c r="B826" s="98" t="str">
        <f t="array" ref="B826">_xlfn.XLOOKUP(A826,'Video Database'!L:L,'Video Database'!D:D,"")</f>
        <v>Erin</v>
      </c>
      <c r="C826" s="98" t="str">
        <f t="array" ref="C826">_xlfn.XLOOKUP(A826,'Video Database'!L:L,'Video Database'!E:E,"")</f>
        <v>Account 1</v>
      </c>
      <c r="D826" s="99" t="str">
        <f t="array" ref="D826">_xlfn.XLOOKUP(A826,'Video Database'!L:L,'Video Database'!G:G,"")</f>
        <v>Color Wow Quick Refresh and Styling Bundle</v>
      </c>
      <c r="E826" s="100">
        <f t="array" ref="E826">_xlfn.XLOOKUP(A826,'Video Database'!L:L,'Video Database'!H:H,"")</f>
        <v>0.7337</v>
      </c>
      <c r="F826" s="101">
        <v>0.0</v>
      </c>
      <c r="G826" s="87">
        <v>0.0</v>
      </c>
      <c r="H826" s="114">
        <f t="array" ref="H826">_xlfn.XLOOKUP(A826,'Video Database'!L:L,'Video Database'!A:A,"")</f>
        <v>46197</v>
      </c>
      <c r="I826" s="103">
        <v>46201.0</v>
      </c>
      <c r="J826" s="104">
        <v>0.0</v>
      </c>
      <c r="K826" s="105"/>
      <c r="L826" s="105" t="str">
        <f t="shared" si="1"/>
        <v/>
      </c>
      <c r="O826" s="106" t="str">
        <f t="shared" si="2"/>
        <v>#N/A</v>
      </c>
      <c r="P826" s="106" t="str">
        <f t="shared" si="3"/>
        <v>#N/A</v>
      </c>
      <c r="Q826" s="84" t="str">
        <f t="shared" si="4"/>
        <v>#N/A</v>
      </c>
      <c r="R826" s="84" t="str">
        <f t="shared" si="5"/>
        <v>#N/A</v>
      </c>
      <c r="S826" s="107">
        <f t="shared" si="6"/>
        <v>-0.7337</v>
      </c>
      <c r="T826" s="108">
        <f t="shared" si="7"/>
        <v>-1</v>
      </c>
      <c r="U826" s="106" t="str">
        <f t="shared" si="8"/>
        <v>#N/A</v>
      </c>
      <c r="V826" s="84" t="str">
        <f t="shared" si="9"/>
        <v/>
      </c>
      <c r="W826" s="109" t="str">
        <f t="shared" si="10"/>
        <v/>
      </c>
      <c r="X826" s="109" t="str">
        <f t="shared" si="11"/>
        <v/>
      </c>
      <c r="Y826" s="110" t="str">
        <f t="array" ref="Y826">_xlfn.XLOOKUP(A826,'Video Database'!L:L,'Video Database'!M:M,"")</f>
        <v>Bottom of Funnel</v>
      </c>
    </row>
    <row r="827" ht="22.5" customHeight="1">
      <c r="A827" s="113">
        <f t="shared" si="12"/>
        <v>826</v>
      </c>
      <c r="B827" s="98" t="str">
        <f t="array" ref="B827">_xlfn.XLOOKUP(A827,'Video Database'!L:L,'Video Database'!D:D,"")</f>
        <v>Erin</v>
      </c>
      <c r="C827" s="98" t="str">
        <f t="array" ref="C827">_xlfn.XLOOKUP(A827,'Video Database'!L:L,'Video Database'!E:E,"")</f>
        <v>Account 1</v>
      </c>
      <c r="D827" s="99" t="str">
        <f t="array" ref="D827">_xlfn.XLOOKUP(A827,'Video Database'!L:L,'Video Database'!G:G,"")</f>
        <v>Color Wow Quick Refresh and Styling Bundle</v>
      </c>
      <c r="E827" s="100">
        <f t="array" ref="E827">_xlfn.XLOOKUP(A827,'Video Database'!L:L,'Video Database'!H:H,"")</f>
        <v>0.7337</v>
      </c>
      <c r="F827" s="101">
        <v>0.0</v>
      </c>
      <c r="G827" s="87">
        <v>0.0</v>
      </c>
      <c r="H827" s="114">
        <f t="array" ref="H827">_xlfn.XLOOKUP(A827,'Video Database'!L:L,'Video Database'!A:A,"")</f>
        <v>46197</v>
      </c>
      <c r="I827" s="103">
        <v>46201.0</v>
      </c>
      <c r="J827" s="104">
        <v>0.0</v>
      </c>
      <c r="K827" s="105"/>
      <c r="L827" s="105" t="str">
        <f t="shared" si="1"/>
        <v/>
      </c>
      <c r="O827" s="106" t="str">
        <f t="shared" si="2"/>
        <v>#N/A</v>
      </c>
      <c r="P827" s="106" t="str">
        <f t="shared" si="3"/>
        <v>#N/A</v>
      </c>
      <c r="Q827" s="84" t="str">
        <f t="shared" si="4"/>
        <v>#N/A</v>
      </c>
      <c r="R827" s="84" t="str">
        <f t="shared" si="5"/>
        <v>#N/A</v>
      </c>
      <c r="S827" s="107">
        <f t="shared" si="6"/>
        <v>-0.7337</v>
      </c>
      <c r="T827" s="108">
        <f t="shared" si="7"/>
        <v>-1</v>
      </c>
      <c r="U827" s="106" t="str">
        <f t="shared" si="8"/>
        <v>#N/A</v>
      </c>
      <c r="V827" s="84" t="str">
        <f t="shared" si="9"/>
        <v/>
      </c>
      <c r="W827" s="109" t="str">
        <f t="shared" si="10"/>
        <v/>
      </c>
      <c r="X827" s="109" t="str">
        <f t="shared" si="11"/>
        <v/>
      </c>
      <c r="Y827" s="110" t="str">
        <f t="array" ref="Y827">_xlfn.XLOOKUP(A827,'Video Database'!L:L,'Video Database'!M:M,"")</f>
        <v>Bottom of Funnel</v>
      </c>
    </row>
    <row r="828" ht="22.5" customHeight="1">
      <c r="A828" s="113">
        <f t="shared" si="12"/>
        <v>827</v>
      </c>
      <c r="B828" s="98" t="str">
        <f t="array" ref="B828">_xlfn.XLOOKUP(A828,'Video Database'!L:L,'Video Database'!D:D,"")</f>
        <v>Erin</v>
      </c>
      <c r="C828" s="98" t="str">
        <f t="array" ref="C828">_xlfn.XLOOKUP(A828,'Video Database'!L:L,'Video Database'!E:E,"")</f>
        <v>Account 1</v>
      </c>
      <c r="D828" s="99" t="str">
        <f t="array" ref="D828">_xlfn.XLOOKUP(A828,'Video Database'!L:L,'Video Database'!G:G,"")</f>
        <v>Color Wow Quick Refresh and Styling Bundle</v>
      </c>
      <c r="E828" s="100">
        <f t="array" ref="E828">_xlfn.XLOOKUP(A828,'Video Database'!L:L,'Video Database'!H:H,"")</f>
        <v>0.7337</v>
      </c>
      <c r="F828" s="101">
        <v>0.0</v>
      </c>
      <c r="G828" s="87">
        <v>0.0</v>
      </c>
      <c r="H828" s="114">
        <f t="array" ref="H828">_xlfn.XLOOKUP(A828,'Video Database'!L:L,'Video Database'!A:A,"")</f>
        <v>46197</v>
      </c>
      <c r="I828" s="103">
        <v>46201.0</v>
      </c>
      <c r="J828" s="104">
        <v>0.0</v>
      </c>
      <c r="K828" s="105"/>
      <c r="L828" s="105" t="str">
        <f t="shared" si="1"/>
        <v/>
      </c>
      <c r="O828" s="106" t="str">
        <f t="shared" si="2"/>
        <v>#N/A</v>
      </c>
      <c r="P828" s="106" t="str">
        <f t="shared" si="3"/>
        <v>#N/A</v>
      </c>
      <c r="Q828" s="84" t="str">
        <f t="shared" si="4"/>
        <v>#N/A</v>
      </c>
      <c r="R828" s="84" t="str">
        <f t="shared" si="5"/>
        <v>#N/A</v>
      </c>
      <c r="S828" s="107">
        <f t="shared" si="6"/>
        <v>-0.7337</v>
      </c>
      <c r="T828" s="108">
        <f t="shared" si="7"/>
        <v>-1</v>
      </c>
      <c r="U828" s="106" t="str">
        <f t="shared" si="8"/>
        <v>#N/A</v>
      </c>
      <c r="V828" s="84" t="str">
        <f t="shared" si="9"/>
        <v/>
      </c>
      <c r="W828" s="109" t="str">
        <f t="shared" si="10"/>
        <v/>
      </c>
      <c r="X828" s="109" t="str">
        <f t="shared" si="11"/>
        <v/>
      </c>
      <c r="Y828" s="110" t="str">
        <f t="array" ref="Y828">_xlfn.XLOOKUP(A828,'Video Database'!L:L,'Video Database'!M:M,"")</f>
        <v>Bottom of Funnel</v>
      </c>
    </row>
    <row r="829" ht="22.5" customHeight="1">
      <c r="A829" s="113">
        <f t="shared" si="12"/>
        <v>828</v>
      </c>
      <c r="B829" s="98" t="str">
        <f t="array" ref="B829">_xlfn.XLOOKUP(A829,'Video Database'!L:L,'Video Database'!D:D,"")</f>
        <v>Erin</v>
      </c>
      <c r="C829" s="98" t="str">
        <f t="array" ref="C829">_xlfn.XLOOKUP(A829,'Video Database'!L:L,'Video Database'!E:E,"")</f>
        <v>Account 1</v>
      </c>
      <c r="D829" s="99" t="str">
        <f t="array" ref="D829">_xlfn.XLOOKUP(A829,'Video Database'!L:L,'Video Database'!G:G,"")</f>
        <v>Medicube Kojic Accid Tumeric Power Duo</v>
      </c>
      <c r="E829" s="100">
        <f t="array" ref="E829">_xlfn.XLOOKUP(A829,'Video Database'!L:L,'Video Database'!H:H,"")</f>
        <v>0.7337</v>
      </c>
      <c r="F829" s="101">
        <v>0.0</v>
      </c>
      <c r="G829" s="87">
        <v>0.0</v>
      </c>
      <c r="H829" s="114">
        <f t="array" ref="H829">_xlfn.XLOOKUP(A829,'Video Database'!L:L,'Video Database'!A:A,"")</f>
        <v>46197</v>
      </c>
      <c r="I829" s="103">
        <v>46201.0</v>
      </c>
      <c r="J829" s="104">
        <v>0.0</v>
      </c>
      <c r="K829" s="105"/>
      <c r="L829" s="105" t="str">
        <f t="shared" si="1"/>
        <v/>
      </c>
      <c r="O829" s="106" t="str">
        <f t="shared" si="2"/>
        <v>#N/A</v>
      </c>
      <c r="P829" s="106" t="str">
        <f t="shared" si="3"/>
        <v>#N/A</v>
      </c>
      <c r="Q829" s="84" t="str">
        <f t="shared" si="4"/>
        <v>#N/A</v>
      </c>
      <c r="R829" s="84" t="str">
        <f t="shared" si="5"/>
        <v>#N/A</v>
      </c>
      <c r="S829" s="107">
        <f t="shared" si="6"/>
        <v>-0.7337</v>
      </c>
      <c r="T829" s="108">
        <f t="shared" si="7"/>
        <v>-1</v>
      </c>
      <c r="U829" s="106" t="str">
        <f t="shared" si="8"/>
        <v>#N/A</v>
      </c>
      <c r="V829" s="84" t="str">
        <f t="shared" si="9"/>
        <v/>
      </c>
      <c r="W829" s="109" t="str">
        <f t="shared" si="10"/>
        <v/>
      </c>
      <c r="X829" s="109" t="str">
        <f t="shared" si="11"/>
        <v/>
      </c>
      <c r="Y829" s="110" t="str">
        <f t="array" ref="Y829">_xlfn.XLOOKUP(A829,'Video Database'!L:L,'Video Database'!M:M,"")</f>
        <v>Bottom of Funnel</v>
      </c>
    </row>
    <row r="830" ht="22.5" customHeight="1">
      <c r="A830" s="113">
        <f t="shared" si="12"/>
        <v>829</v>
      </c>
      <c r="B830" s="98" t="str">
        <f t="array" ref="B830">_xlfn.XLOOKUP(A830,'Video Database'!L:L,'Video Database'!D:D,"")</f>
        <v>Erin</v>
      </c>
      <c r="C830" s="98" t="str">
        <f t="array" ref="C830">_xlfn.XLOOKUP(A830,'Video Database'!L:L,'Video Database'!E:E,"")</f>
        <v>Account 1</v>
      </c>
      <c r="D830" s="99" t="str">
        <f t="array" ref="D830">_xlfn.XLOOKUP(A830,'Video Database'!L:L,'Video Database'!G:G,"")</f>
        <v>Medicube Kojic Accid Tumeric Power Duo</v>
      </c>
      <c r="E830" s="100">
        <f t="array" ref="E830">_xlfn.XLOOKUP(A830,'Video Database'!L:L,'Video Database'!H:H,"")</f>
        <v>0.7337</v>
      </c>
      <c r="F830" s="101">
        <v>0.0</v>
      </c>
      <c r="G830" s="87">
        <v>0.0</v>
      </c>
      <c r="H830" s="114">
        <f t="array" ref="H830">_xlfn.XLOOKUP(A830,'Video Database'!L:L,'Video Database'!A:A,"")</f>
        <v>46197</v>
      </c>
      <c r="I830" s="103">
        <v>46201.0</v>
      </c>
      <c r="J830" s="104">
        <v>0.0</v>
      </c>
      <c r="K830" s="105"/>
      <c r="L830" s="105" t="str">
        <f t="shared" si="1"/>
        <v/>
      </c>
      <c r="O830" s="106" t="str">
        <f t="shared" si="2"/>
        <v>#N/A</v>
      </c>
      <c r="P830" s="106" t="str">
        <f t="shared" si="3"/>
        <v>#N/A</v>
      </c>
      <c r="Q830" s="84" t="str">
        <f t="shared" si="4"/>
        <v>#N/A</v>
      </c>
      <c r="R830" s="84" t="str">
        <f t="shared" si="5"/>
        <v>#N/A</v>
      </c>
      <c r="S830" s="107">
        <f t="shared" si="6"/>
        <v>-0.7337</v>
      </c>
      <c r="T830" s="108">
        <f t="shared" si="7"/>
        <v>-1</v>
      </c>
      <c r="U830" s="106" t="str">
        <f t="shared" si="8"/>
        <v>#N/A</v>
      </c>
      <c r="V830" s="84" t="str">
        <f t="shared" si="9"/>
        <v/>
      </c>
      <c r="W830" s="109" t="str">
        <f t="shared" si="10"/>
        <v/>
      </c>
      <c r="X830" s="109" t="str">
        <f t="shared" si="11"/>
        <v/>
      </c>
      <c r="Y830" s="110" t="str">
        <f t="array" ref="Y830">_xlfn.XLOOKUP(A830,'Video Database'!L:L,'Video Database'!M:M,"")</f>
        <v>Bottom of Funnel</v>
      </c>
    </row>
    <row r="831" ht="22.5" customHeight="1">
      <c r="A831" s="113">
        <f t="shared" si="12"/>
        <v>830</v>
      </c>
      <c r="B831" s="98" t="str">
        <f t="array" ref="B831">_xlfn.XLOOKUP(A831,'Video Database'!L:L,'Video Database'!D:D,"")</f>
        <v>Blakely</v>
      </c>
      <c r="C831" s="98" t="str">
        <f t="array" ref="C831">_xlfn.XLOOKUP(A831,'Video Database'!L:L,'Video Database'!E:E,"")</f>
        <v>Account 1</v>
      </c>
      <c r="D831" s="99" t="str">
        <f t="array" ref="D831">_xlfn.XLOOKUP(A831,'Video Database'!L:L,'Video Database'!G:G,"")</f>
        <v>IRIS Hormone Health Drink Mix</v>
      </c>
      <c r="E831" s="100">
        <f t="array" ref="E831">_xlfn.XLOOKUP(A831,'Video Database'!L:L,'Video Database'!H:H,"")</f>
        <v>0.11</v>
      </c>
      <c r="F831" s="101">
        <v>0.0</v>
      </c>
      <c r="G831" s="87">
        <v>0.0</v>
      </c>
      <c r="H831" s="114">
        <f t="array" ref="H831">_xlfn.XLOOKUP(A831,'Video Database'!L:L,'Video Database'!A:A,"")</f>
        <v>46197</v>
      </c>
      <c r="I831" s="103">
        <v>46201.0</v>
      </c>
      <c r="J831" s="104">
        <v>0.0</v>
      </c>
      <c r="K831" s="105"/>
      <c r="L831" s="105" t="str">
        <f t="shared" si="1"/>
        <v/>
      </c>
      <c r="O831" s="106" t="str">
        <f t="shared" si="2"/>
        <v>#N/A</v>
      </c>
      <c r="P831" s="106" t="str">
        <f t="shared" si="3"/>
        <v>#N/A</v>
      </c>
      <c r="Q831" s="84" t="str">
        <f t="shared" si="4"/>
        <v>#N/A</v>
      </c>
      <c r="R831" s="84" t="str">
        <f t="shared" si="5"/>
        <v>#N/A</v>
      </c>
      <c r="S831" s="107">
        <f t="shared" si="6"/>
        <v>-0.11</v>
      </c>
      <c r="T831" s="108">
        <f t="shared" si="7"/>
        <v>-1</v>
      </c>
      <c r="U831" s="106" t="str">
        <f t="shared" si="8"/>
        <v>#N/A</v>
      </c>
      <c r="V831" s="84" t="str">
        <f t="shared" si="9"/>
        <v/>
      </c>
      <c r="W831" s="109" t="str">
        <f t="shared" si="10"/>
        <v/>
      </c>
      <c r="X831" s="109" t="str">
        <f t="shared" si="11"/>
        <v/>
      </c>
      <c r="Y831" s="110" t="str">
        <f t="array" ref="Y831">_xlfn.XLOOKUP(A831,'Video Database'!L:L,'Video Database'!M:M,"")</f>
        <v>Product Overlay</v>
      </c>
    </row>
    <row r="832" ht="22.5" customHeight="1">
      <c r="A832" s="113">
        <f t="shared" si="12"/>
        <v>831</v>
      </c>
      <c r="B832" s="98" t="str">
        <f t="array" ref="B832">_xlfn.XLOOKUP(A832,'Video Database'!L:L,'Video Database'!D:D,"")</f>
        <v>Erin</v>
      </c>
      <c r="C832" s="98" t="str">
        <f t="array" ref="C832">_xlfn.XLOOKUP(A832,'Video Database'!L:L,'Video Database'!E:E,"")</f>
        <v>Account 1</v>
      </c>
      <c r="D832" s="99" t="str">
        <f t="array" ref="D832">_xlfn.XLOOKUP(A832,'Video Database'!L:L,'Video Database'!G:G,"")</f>
        <v>Medicube Kojic Accid Tumeric Power Duo</v>
      </c>
      <c r="E832" s="100">
        <f t="array" ref="E832">_xlfn.XLOOKUP(A832,'Video Database'!L:L,'Video Database'!H:H,"")</f>
        <v>0.7337</v>
      </c>
      <c r="F832" s="101">
        <v>0.0</v>
      </c>
      <c r="G832" s="87">
        <v>0.0</v>
      </c>
      <c r="H832" s="114">
        <f t="array" ref="H832">_xlfn.XLOOKUP(A832,'Video Database'!L:L,'Video Database'!A:A,"")</f>
        <v>46197</v>
      </c>
      <c r="I832" s="103">
        <v>46201.0</v>
      </c>
      <c r="J832" s="104">
        <v>0.0</v>
      </c>
      <c r="K832" s="105"/>
      <c r="L832" s="105" t="str">
        <f t="shared" si="1"/>
        <v/>
      </c>
      <c r="O832" s="106" t="str">
        <f t="shared" si="2"/>
        <v>#N/A</v>
      </c>
      <c r="P832" s="106" t="str">
        <f t="shared" si="3"/>
        <v>#N/A</v>
      </c>
      <c r="Q832" s="84" t="str">
        <f t="shared" si="4"/>
        <v>#N/A</v>
      </c>
      <c r="R832" s="84" t="str">
        <f t="shared" si="5"/>
        <v>#N/A</v>
      </c>
      <c r="S832" s="107">
        <f t="shared" si="6"/>
        <v>-0.7337</v>
      </c>
      <c r="T832" s="108">
        <f t="shared" si="7"/>
        <v>-1</v>
      </c>
      <c r="U832" s="106" t="str">
        <f t="shared" si="8"/>
        <v>#N/A</v>
      </c>
      <c r="V832" s="84" t="str">
        <f t="shared" si="9"/>
        <v/>
      </c>
      <c r="W832" s="109" t="str">
        <f t="shared" si="10"/>
        <v/>
      </c>
      <c r="X832" s="109" t="str">
        <f t="shared" si="11"/>
        <v/>
      </c>
      <c r="Y832" s="110" t="str">
        <f t="array" ref="Y832">_xlfn.XLOOKUP(A832,'Video Database'!L:L,'Video Database'!M:M,"")</f>
        <v>Bottom of Funnel</v>
      </c>
    </row>
    <row r="833" ht="22.5" customHeight="1">
      <c r="A833" s="113">
        <f t="shared" si="12"/>
        <v>832</v>
      </c>
      <c r="B833" s="98" t="str">
        <f t="array" ref="B833">_xlfn.XLOOKUP(A833,'Video Database'!L:L,'Video Database'!D:D,"")</f>
        <v>Erin</v>
      </c>
      <c r="C833" s="98" t="str">
        <f t="array" ref="C833">_xlfn.XLOOKUP(A833,'Video Database'!L:L,'Video Database'!E:E,"")</f>
        <v>Account 1</v>
      </c>
      <c r="D833" s="99" t="str">
        <f t="array" ref="D833">_xlfn.XLOOKUP(A833,'Video Database'!L:L,'Video Database'!G:G,"")</f>
        <v>Color Wow Quick Refresh and Styling Bundle</v>
      </c>
      <c r="E833" s="100">
        <f t="array" ref="E833">_xlfn.XLOOKUP(A833,'Video Database'!L:L,'Video Database'!H:H,"")</f>
        <v>0.7337</v>
      </c>
      <c r="F833" s="101">
        <v>0.0</v>
      </c>
      <c r="G833" s="87">
        <v>0.0</v>
      </c>
      <c r="H833" s="114">
        <f t="array" ref="H833">_xlfn.XLOOKUP(A833,'Video Database'!L:L,'Video Database'!A:A,"")</f>
        <v>46197</v>
      </c>
      <c r="I833" s="103">
        <v>46201.0</v>
      </c>
      <c r="J833" s="104">
        <v>0.0</v>
      </c>
      <c r="K833" s="105"/>
      <c r="L833" s="105" t="str">
        <f t="shared" si="1"/>
        <v/>
      </c>
      <c r="O833" s="106" t="str">
        <f t="shared" si="2"/>
        <v>#N/A</v>
      </c>
      <c r="P833" s="106" t="str">
        <f t="shared" si="3"/>
        <v>#N/A</v>
      </c>
      <c r="Q833" s="84" t="str">
        <f t="shared" si="4"/>
        <v>#N/A</v>
      </c>
      <c r="R833" s="84" t="str">
        <f t="shared" si="5"/>
        <v>#N/A</v>
      </c>
      <c r="S833" s="107">
        <f t="shared" si="6"/>
        <v>-0.7337</v>
      </c>
      <c r="T833" s="108">
        <f t="shared" si="7"/>
        <v>-1</v>
      </c>
      <c r="U833" s="106" t="str">
        <f t="shared" si="8"/>
        <v>#N/A</v>
      </c>
      <c r="V833" s="84" t="str">
        <f t="shared" si="9"/>
        <v/>
      </c>
      <c r="W833" s="109" t="str">
        <f t="shared" si="10"/>
        <v/>
      </c>
      <c r="X833" s="109" t="str">
        <f t="shared" si="11"/>
        <v/>
      </c>
      <c r="Y833" s="110" t="str">
        <f t="array" ref="Y833">_xlfn.XLOOKUP(A833,'Video Database'!L:L,'Video Database'!M:M,"")</f>
        <v>Bottom of Funnel</v>
      </c>
    </row>
    <row r="834" ht="22.5" customHeight="1">
      <c r="A834" s="113">
        <f t="shared" si="12"/>
        <v>833</v>
      </c>
      <c r="B834" s="98" t="str">
        <f t="array" ref="B834">_xlfn.XLOOKUP(A834,'Video Database'!L:L,'Video Database'!D:D,"")</f>
        <v>Erin</v>
      </c>
      <c r="C834" s="98" t="str">
        <f t="array" ref="C834">_xlfn.XLOOKUP(A834,'Video Database'!L:L,'Video Database'!E:E,"")</f>
        <v>Account 1</v>
      </c>
      <c r="D834" s="99" t="str">
        <f t="array" ref="D834">_xlfn.XLOOKUP(A834,'Video Database'!L:L,'Video Database'!G:G,"")</f>
        <v>Medicube Kojic Accid Tumeric Power Duo</v>
      </c>
      <c r="E834" s="100">
        <f t="array" ref="E834">_xlfn.XLOOKUP(A834,'Video Database'!L:L,'Video Database'!H:H,"")</f>
        <v>0.7337</v>
      </c>
      <c r="F834" s="101">
        <v>0.0</v>
      </c>
      <c r="G834" s="87">
        <v>0.0</v>
      </c>
      <c r="H834" s="114">
        <f t="array" ref="H834">_xlfn.XLOOKUP(A834,'Video Database'!L:L,'Video Database'!A:A,"")</f>
        <v>46197</v>
      </c>
      <c r="I834" s="103">
        <v>46201.0</v>
      </c>
      <c r="J834" s="104">
        <v>0.0</v>
      </c>
      <c r="K834" s="105"/>
      <c r="L834" s="105" t="str">
        <f t="shared" si="1"/>
        <v/>
      </c>
      <c r="O834" s="106" t="str">
        <f t="shared" si="2"/>
        <v>#N/A</v>
      </c>
      <c r="P834" s="106" t="str">
        <f t="shared" si="3"/>
        <v>#N/A</v>
      </c>
      <c r="Q834" s="84" t="str">
        <f t="shared" si="4"/>
        <v>#N/A</v>
      </c>
      <c r="R834" s="84" t="str">
        <f t="shared" si="5"/>
        <v>#N/A</v>
      </c>
      <c r="S834" s="107">
        <f t="shared" si="6"/>
        <v>-0.7337</v>
      </c>
      <c r="T834" s="108">
        <f t="shared" si="7"/>
        <v>-1</v>
      </c>
      <c r="U834" s="106" t="str">
        <f t="shared" si="8"/>
        <v>#N/A</v>
      </c>
      <c r="V834" s="84" t="str">
        <f t="shared" si="9"/>
        <v/>
      </c>
      <c r="W834" s="109" t="str">
        <f t="shared" si="10"/>
        <v/>
      </c>
      <c r="X834" s="109" t="str">
        <f t="shared" si="11"/>
        <v/>
      </c>
      <c r="Y834" s="110" t="str">
        <f t="array" ref="Y834">_xlfn.XLOOKUP(A834,'Video Database'!L:L,'Video Database'!M:M,"")</f>
        <v>Bottom of Funnel</v>
      </c>
    </row>
    <row r="835" ht="22.5" customHeight="1">
      <c r="A835" s="113">
        <f t="shared" si="12"/>
        <v>834</v>
      </c>
      <c r="B835" s="98" t="str">
        <f t="array" ref="B835">_xlfn.XLOOKUP(A835,'Video Database'!L:L,'Video Database'!D:D,"")</f>
        <v>Erin</v>
      </c>
      <c r="C835" s="98" t="str">
        <f t="array" ref="C835">_xlfn.XLOOKUP(A835,'Video Database'!L:L,'Video Database'!E:E,"")</f>
        <v>Account 1</v>
      </c>
      <c r="D835" s="99" t="str">
        <f t="array" ref="D835">_xlfn.XLOOKUP(A835,'Video Database'!L:L,'Video Database'!G:G,"")</f>
        <v>Medicube Kojic Accid Tumeric Power Duo</v>
      </c>
      <c r="E835" s="100">
        <f t="array" ref="E835">_xlfn.XLOOKUP(A835,'Video Database'!L:L,'Video Database'!H:H,"")</f>
        <v>0.7337</v>
      </c>
      <c r="F835" s="101">
        <v>0.0</v>
      </c>
      <c r="G835" s="87">
        <v>0.0</v>
      </c>
      <c r="H835" s="114">
        <f t="array" ref="H835">_xlfn.XLOOKUP(A835,'Video Database'!L:L,'Video Database'!A:A,"")</f>
        <v>46197</v>
      </c>
      <c r="I835" s="103">
        <v>46201.0</v>
      </c>
      <c r="J835" s="104">
        <v>0.0</v>
      </c>
      <c r="K835" s="105"/>
      <c r="L835" s="105" t="str">
        <f t="shared" si="1"/>
        <v/>
      </c>
      <c r="O835" s="106" t="str">
        <f t="shared" si="2"/>
        <v>#N/A</v>
      </c>
      <c r="P835" s="106" t="str">
        <f t="shared" si="3"/>
        <v>#N/A</v>
      </c>
      <c r="Q835" s="84" t="str">
        <f t="shared" si="4"/>
        <v>#N/A</v>
      </c>
      <c r="R835" s="84" t="str">
        <f t="shared" si="5"/>
        <v>#N/A</v>
      </c>
      <c r="S835" s="107">
        <f t="shared" si="6"/>
        <v>-0.7337</v>
      </c>
      <c r="T835" s="108">
        <f t="shared" si="7"/>
        <v>-1</v>
      </c>
      <c r="U835" s="106" t="str">
        <f t="shared" si="8"/>
        <v>#N/A</v>
      </c>
      <c r="V835" s="84" t="str">
        <f t="shared" si="9"/>
        <v/>
      </c>
      <c r="W835" s="109" t="str">
        <f t="shared" si="10"/>
        <v/>
      </c>
      <c r="X835" s="109" t="str">
        <f t="shared" si="11"/>
        <v/>
      </c>
      <c r="Y835" s="110" t="str">
        <f t="array" ref="Y835">_xlfn.XLOOKUP(A835,'Video Database'!L:L,'Video Database'!M:M,"")</f>
        <v>Bottom of Funnel</v>
      </c>
    </row>
    <row r="836" ht="22.5" customHeight="1">
      <c r="A836" s="113">
        <f t="shared" si="12"/>
        <v>835</v>
      </c>
      <c r="B836" s="98" t="str">
        <f t="array" ref="B836">_xlfn.XLOOKUP(A836,'Video Database'!L:L,'Video Database'!D:D,"")</f>
        <v>Blakely</v>
      </c>
      <c r="C836" s="98" t="str">
        <f t="array" ref="C836">_xlfn.XLOOKUP(A836,'Video Database'!L:L,'Video Database'!E:E,"")</f>
        <v>Account 1</v>
      </c>
      <c r="D836" s="99" t="str">
        <f t="array" ref="D836">_xlfn.XLOOKUP(A836,'Video Database'!L:L,'Video Database'!G:G,"")</f>
        <v>Nutricost Caffine Capsules</v>
      </c>
      <c r="E836" s="100">
        <f t="array" ref="E836">_xlfn.XLOOKUP(A836,'Video Database'!L:L,'Video Database'!H:H,"")</f>
        <v>0.11</v>
      </c>
      <c r="F836" s="101">
        <v>0.0</v>
      </c>
      <c r="G836" s="87">
        <v>0.0</v>
      </c>
      <c r="H836" s="114">
        <f t="array" ref="H836">_xlfn.XLOOKUP(A836,'Video Database'!L:L,'Video Database'!A:A,"")</f>
        <v>46197</v>
      </c>
      <c r="I836" s="103">
        <v>46201.0</v>
      </c>
      <c r="J836" s="104">
        <v>0.0</v>
      </c>
      <c r="K836" s="105"/>
      <c r="L836" s="105" t="str">
        <f t="shared" si="1"/>
        <v/>
      </c>
      <c r="O836" s="106" t="str">
        <f t="shared" si="2"/>
        <v>#N/A</v>
      </c>
      <c r="P836" s="106" t="str">
        <f t="shared" si="3"/>
        <v>#N/A</v>
      </c>
      <c r="Q836" s="84" t="str">
        <f t="shared" si="4"/>
        <v>#N/A</v>
      </c>
      <c r="R836" s="84" t="str">
        <f t="shared" si="5"/>
        <v>#N/A</v>
      </c>
      <c r="S836" s="107">
        <f t="shared" si="6"/>
        <v>-0.11</v>
      </c>
      <c r="T836" s="108">
        <f t="shared" si="7"/>
        <v>-1</v>
      </c>
      <c r="U836" s="106" t="str">
        <f t="shared" si="8"/>
        <v>#N/A</v>
      </c>
      <c r="V836" s="84" t="str">
        <f t="shared" si="9"/>
        <v/>
      </c>
      <c r="W836" s="109" t="str">
        <f t="shared" si="10"/>
        <v/>
      </c>
      <c r="X836" s="109" t="str">
        <f t="shared" si="11"/>
        <v/>
      </c>
      <c r="Y836" s="110" t="str">
        <f t="array" ref="Y836">_xlfn.XLOOKUP(A836,'Video Database'!L:L,'Video Database'!M:M,"")</f>
        <v>Bottom of Funnel</v>
      </c>
    </row>
    <row r="837" ht="22.5" customHeight="1">
      <c r="A837" s="113">
        <f t="shared" si="12"/>
        <v>836</v>
      </c>
      <c r="B837" s="98" t="str">
        <f t="array" ref="B837">_xlfn.XLOOKUP(A837,'Video Database'!L:L,'Video Database'!D:D,"")</f>
        <v>Blakely</v>
      </c>
      <c r="C837" s="98" t="str">
        <f t="array" ref="C837">_xlfn.XLOOKUP(A837,'Video Database'!L:L,'Video Database'!E:E,"")</f>
        <v>Account 1</v>
      </c>
      <c r="D837" s="99" t="str">
        <f t="array" ref="D837">_xlfn.XLOOKUP(A837,'Video Database'!L:L,'Video Database'!G:G,"")</f>
        <v>NeilMed Piercing Aftercare Spray XL</v>
      </c>
      <c r="E837" s="100">
        <f t="array" ref="E837">_xlfn.XLOOKUP(A837,'Video Database'!L:L,'Video Database'!H:H,"")</f>
        <v>0.11</v>
      </c>
      <c r="F837" s="101">
        <v>0.0</v>
      </c>
      <c r="G837" s="87">
        <v>0.0</v>
      </c>
      <c r="H837" s="114">
        <f t="array" ref="H837">_xlfn.XLOOKUP(A837,'Video Database'!L:L,'Video Database'!A:A,"")</f>
        <v>46197</v>
      </c>
      <c r="I837" s="103">
        <v>46201.0</v>
      </c>
      <c r="J837" s="104">
        <v>0.0</v>
      </c>
      <c r="K837" s="105"/>
      <c r="L837" s="105" t="str">
        <f t="shared" si="1"/>
        <v/>
      </c>
      <c r="O837" s="106" t="str">
        <f t="shared" si="2"/>
        <v>#N/A</v>
      </c>
      <c r="P837" s="106" t="str">
        <f t="shared" si="3"/>
        <v>#N/A</v>
      </c>
      <c r="Q837" s="84" t="str">
        <f t="shared" si="4"/>
        <v>#N/A</v>
      </c>
      <c r="R837" s="84" t="str">
        <f t="shared" si="5"/>
        <v>#N/A</v>
      </c>
      <c r="S837" s="107">
        <f t="shared" si="6"/>
        <v>-0.11</v>
      </c>
      <c r="T837" s="108">
        <f t="shared" si="7"/>
        <v>-1</v>
      </c>
      <c r="U837" s="106" t="str">
        <f t="shared" si="8"/>
        <v>#N/A</v>
      </c>
      <c r="V837" s="84" t="str">
        <f t="shared" si="9"/>
        <v/>
      </c>
      <c r="W837" s="109" t="str">
        <f t="shared" si="10"/>
        <v/>
      </c>
      <c r="X837" s="109" t="str">
        <f t="shared" si="11"/>
        <v/>
      </c>
      <c r="Y837" s="110" t="str">
        <f t="array" ref="Y837">_xlfn.XLOOKUP(A837,'Video Database'!L:L,'Video Database'!M:M,"")</f>
        <v>Bottom of Funnel</v>
      </c>
    </row>
    <row r="838" ht="22.5" customHeight="1">
      <c r="A838" s="113">
        <f t="shared" si="12"/>
        <v>837</v>
      </c>
      <c r="B838" s="98" t="str">
        <f t="array" ref="B838">_xlfn.XLOOKUP(A838,'Video Database'!L:L,'Video Database'!D:D,"")</f>
        <v>Blakely</v>
      </c>
      <c r="C838" s="98" t="str">
        <f t="array" ref="C838">_xlfn.XLOOKUP(A838,'Video Database'!L:L,'Video Database'!E:E,"")</f>
        <v>Account 1</v>
      </c>
      <c r="D838" s="99" t="str">
        <f t="array" ref="D838">_xlfn.XLOOKUP(A838,'Video Database'!L:L,'Video Database'!G:G,"")</f>
        <v>Ekkovision Lifting Straps (D-ring)</v>
      </c>
      <c r="E838" s="100">
        <f t="array" ref="E838">_xlfn.XLOOKUP(A838,'Video Database'!L:L,'Video Database'!H:H,"")</f>
        <v>0.11</v>
      </c>
      <c r="F838" s="101">
        <v>0.0</v>
      </c>
      <c r="G838" s="87">
        <v>0.0</v>
      </c>
      <c r="H838" s="114">
        <f t="array" ref="H838">_xlfn.XLOOKUP(A838,'Video Database'!L:L,'Video Database'!A:A,"")</f>
        <v>46197</v>
      </c>
      <c r="I838" s="103">
        <v>46201.0</v>
      </c>
      <c r="J838" s="104">
        <v>0.0</v>
      </c>
      <c r="K838" s="105"/>
      <c r="L838" s="105" t="str">
        <f t="shared" si="1"/>
        <v/>
      </c>
      <c r="O838" s="106" t="str">
        <f t="shared" si="2"/>
        <v>#N/A</v>
      </c>
      <c r="P838" s="106" t="str">
        <f t="shared" si="3"/>
        <v>#N/A</v>
      </c>
      <c r="Q838" s="84" t="str">
        <f t="shared" si="4"/>
        <v>#N/A</v>
      </c>
      <c r="R838" s="84" t="str">
        <f t="shared" si="5"/>
        <v>#N/A</v>
      </c>
      <c r="S838" s="107">
        <f t="shared" si="6"/>
        <v>-0.11</v>
      </c>
      <c r="T838" s="108">
        <f t="shared" si="7"/>
        <v>-1</v>
      </c>
      <c r="U838" s="106" t="str">
        <f t="shared" si="8"/>
        <v>#N/A</v>
      </c>
      <c r="V838" s="84" t="str">
        <f t="shared" si="9"/>
        <v/>
      </c>
      <c r="W838" s="109" t="str">
        <f t="shared" si="10"/>
        <v/>
      </c>
      <c r="X838" s="109" t="str">
        <f t="shared" si="11"/>
        <v/>
      </c>
      <c r="Y838" s="110" t="str">
        <f t="array" ref="Y838">_xlfn.XLOOKUP(A838,'Video Database'!L:L,'Video Database'!M:M,"")</f>
        <v>Bottom of Funnel</v>
      </c>
    </row>
    <row r="839" ht="22.5" customHeight="1">
      <c r="A839" s="113">
        <f t="shared" si="12"/>
        <v>838</v>
      </c>
      <c r="B839" s="98" t="str">
        <f t="array" ref="B839">_xlfn.XLOOKUP(A839,'Video Database'!L:L,'Video Database'!D:D,"")</f>
        <v>Blakely</v>
      </c>
      <c r="C839" s="98" t="str">
        <f t="array" ref="C839">_xlfn.XLOOKUP(A839,'Video Database'!L:L,'Video Database'!E:E,"")</f>
        <v>Account 1</v>
      </c>
      <c r="D839" s="99" t="str">
        <f t="array" ref="D839">_xlfn.XLOOKUP(A839,'Video Database'!L:L,'Video Database'!G:G,"")</f>
        <v>JOYMODE Ignite Libido Support</v>
      </c>
      <c r="E839" s="100">
        <f t="array" ref="E839">_xlfn.XLOOKUP(A839,'Video Database'!L:L,'Video Database'!H:H,"")</f>
        <v>0.11</v>
      </c>
      <c r="F839" s="101">
        <v>0.0</v>
      </c>
      <c r="G839" s="87">
        <v>0.0</v>
      </c>
      <c r="H839" s="114">
        <f t="array" ref="H839">_xlfn.XLOOKUP(A839,'Video Database'!L:L,'Video Database'!A:A,"")</f>
        <v>46197</v>
      </c>
      <c r="I839" s="103">
        <v>46201.0</v>
      </c>
      <c r="J839" s="104">
        <v>0.0</v>
      </c>
      <c r="K839" s="105"/>
      <c r="L839" s="105" t="str">
        <f t="shared" si="1"/>
        <v/>
      </c>
      <c r="O839" s="106" t="str">
        <f t="shared" si="2"/>
        <v>#N/A</v>
      </c>
      <c r="P839" s="106" t="str">
        <f t="shared" si="3"/>
        <v>#N/A</v>
      </c>
      <c r="Q839" s="84" t="str">
        <f t="shared" si="4"/>
        <v>#N/A</v>
      </c>
      <c r="R839" s="84" t="str">
        <f t="shared" si="5"/>
        <v>#N/A</v>
      </c>
      <c r="S839" s="107">
        <f t="shared" si="6"/>
        <v>-0.11</v>
      </c>
      <c r="T839" s="108">
        <f t="shared" si="7"/>
        <v>-1</v>
      </c>
      <c r="U839" s="106" t="str">
        <f t="shared" si="8"/>
        <v>#N/A</v>
      </c>
      <c r="V839" s="84" t="str">
        <f t="shared" si="9"/>
        <v/>
      </c>
      <c r="W839" s="109" t="str">
        <f t="shared" si="10"/>
        <v/>
      </c>
      <c r="X839" s="109" t="str">
        <f t="shared" si="11"/>
        <v/>
      </c>
      <c r="Y839" s="110" t="str">
        <f t="array" ref="Y839">_xlfn.XLOOKUP(A839,'Video Database'!L:L,'Video Database'!M:M,"")</f>
        <v>Bottom of Funnel</v>
      </c>
    </row>
    <row r="840" ht="22.5" customHeight="1">
      <c r="A840" s="113">
        <f t="shared" si="12"/>
        <v>839</v>
      </c>
      <c r="B840" s="98" t="str">
        <f t="array" ref="B840">_xlfn.XLOOKUP(A840,'Video Database'!L:L,'Video Database'!D:D,"")</f>
        <v>Blakely</v>
      </c>
      <c r="C840" s="98" t="str">
        <f t="array" ref="C840">_xlfn.XLOOKUP(A840,'Video Database'!L:L,'Video Database'!E:E,"")</f>
        <v>Account 1</v>
      </c>
      <c r="D840" s="99" t="str">
        <f t="array" ref="D840">_xlfn.XLOOKUP(A840,'Video Database'!L:L,'Video Database'!G:G,"")</f>
        <v>Gorilla Mode Base Preworkout</v>
      </c>
      <c r="E840" s="100">
        <f t="array" ref="E840">_xlfn.XLOOKUP(A840,'Video Database'!L:L,'Video Database'!H:H,"")</f>
        <v>0.11</v>
      </c>
      <c r="F840" s="101">
        <v>0.0</v>
      </c>
      <c r="G840" s="87">
        <v>0.0</v>
      </c>
      <c r="H840" s="114">
        <f t="array" ref="H840">_xlfn.XLOOKUP(A840,'Video Database'!L:L,'Video Database'!A:A,"")</f>
        <v>46197</v>
      </c>
      <c r="I840" s="103">
        <v>46201.0</v>
      </c>
      <c r="J840" s="104">
        <v>0.0</v>
      </c>
      <c r="K840" s="105"/>
      <c r="L840" s="105" t="str">
        <f t="shared" si="1"/>
        <v/>
      </c>
      <c r="O840" s="106" t="str">
        <f t="shared" si="2"/>
        <v>#N/A</v>
      </c>
      <c r="P840" s="106" t="str">
        <f t="shared" si="3"/>
        <v>#N/A</v>
      </c>
      <c r="Q840" s="84" t="str">
        <f t="shared" si="4"/>
        <v>#N/A</v>
      </c>
      <c r="R840" s="84" t="str">
        <f t="shared" si="5"/>
        <v>#N/A</v>
      </c>
      <c r="S840" s="107">
        <f t="shared" si="6"/>
        <v>-0.11</v>
      </c>
      <c r="T840" s="108">
        <f t="shared" si="7"/>
        <v>-1</v>
      </c>
      <c r="U840" s="106" t="str">
        <f t="shared" si="8"/>
        <v>#N/A</v>
      </c>
      <c r="V840" s="84" t="str">
        <f t="shared" si="9"/>
        <v/>
      </c>
      <c r="W840" s="109" t="str">
        <f t="shared" si="10"/>
        <v/>
      </c>
      <c r="X840" s="109" t="str">
        <f t="shared" si="11"/>
        <v/>
      </c>
      <c r="Y840" s="110" t="str">
        <f t="array" ref="Y840">_xlfn.XLOOKUP(A840,'Video Database'!L:L,'Video Database'!M:M,"")</f>
        <v>Bottom of Funnel</v>
      </c>
    </row>
    <row r="841" ht="22.5" customHeight="1">
      <c r="A841" s="113">
        <f t="shared" si="12"/>
        <v>840</v>
      </c>
      <c r="B841" s="98" t="str">
        <f t="array" ref="B841">_xlfn.XLOOKUP(A841,'Video Database'!L:L,'Video Database'!D:D,"")</f>
        <v>Blakely</v>
      </c>
      <c r="C841" s="98" t="str">
        <f t="array" ref="C841">_xlfn.XLOOKUP(A841,'Video Database'!L:L,'Video Database'!E:E,"")</f>
        <v>Account 1</v>
      </c>
      <c r="D841" s="99" t="str">
        <f t="array" ref="D841">_xlfn.XLOOKUP(A841,'Video Database'!L:L,'Video Database'!G:G,"")</f>
        <v>BetterAlt Shilajit Honey Sticks</v>
      </c>
      <c r="E841" s="100">
        <f t="array" ref="E841">_xlfn.XLOOKUP(A841,'Video Database'!L:L,'Video Database'!H:H,"")</f>
        <v>0.11</v>
      </c>
      <c r="F841" s="101">
        <v>0.0</v>
      </c>
      <c r="G841" s="87">
        <v>0.0</v>
      </c>
      <c r="H841" s="114">
        <f t="array" ref="H841">_xlfn.XLOOKUP(A841,'Video Database'!L:L,'Video Database'!A:A,"")</f>
        <v>46197</v>
      </c>
      <c r="I841" s="103">
        <v>46201.0</v>
      </c>
      <c r="J841" s="104">
        <v>0.0</v>
      </c>
      <c r="K841" s="105"/>
      <c r="L841" s="105" t="str">
        <f t="shared" si="1"/>
        <v/>
      </c>
      <c r="O841" s="106" t="str">
        <f t="shared" si="2"/>
        <v>#N/A</v>
      </c>
      <c r="P841" s="106" t="str">
        <f t="shared" si="3"/>
        <v>#N/A</v>
      </c>
      <c r="Q841" s="84" t="str">
        <f t="shared" si="4"/>
        <v>#N/A</v>
      </c>
      <c r="R841" s="84" t="str">
        <f t="shared" si="5"/>
        <v>#N/A</v>
      </c>
      <c r="S841" s="107">
        <f t="shared" si="6"/>
        <v>-0.11</v>
      </c>
      <c r="T841" s="108">
        <f t="shared" si="7"/>
        <v>-1</v>
      </c>
      <c r="U841" s="106" t="str">
        <f t="shared" si="8"/>
        <v>#N/A</v>
      </c>
      <c r="V841" s="84" t="str">
        <f t="shared" si="9"/>
        <v/>
      </c>
      <c r="W841" s="109" t="str">
        <f t="shared" si="10"/>
        <v/>
      </c>
      <c r="X841" s="109" t="str">
        <f t="shared" si="11"/>
        <v/>
      </c>
      <c r="Y841" s="110" t="str">
        <f t="array" ref="Y841">_xlfn.XLOOKUP(A841,'Video Database'!L:L,'Video Database'!M:M,"")</f>
        <v>Product Overlay</v>
      </c>
    </row>
    <row r="842" ht="22.5" customHeight="1">
      <c r="A842" s="113">
        <f t="shared" si="12"/>
        <v>841</v>
      </c>
      <c r="B842" s="98" t="str">
        <f t="array" ref="B842">_xlfn.XLOOKUP(A842,'Video Database'!L:L,'Video Database'!D:D,"")</f>
        <v>Blakely</v>
      </c>
      <c r="C842" s="98" t="str">
        <f t="array" ref="C842">_xlfn.XLOOKUP(A842,'Video Database'!L:L,'Video Database'!E:E,"")</f>
        <v>Account 1</v>
      </c>
      <c r="D842" s="99" t="str">
        <f t="array" ref="D842">_xlfn.XLOOKUP(A842,'Video Database'!L:L,'Video Database'!G:G,"")</f>
        <v>RAW Nutrition Bum Essential Preworkout</v>
      </c>
      <c r="E842" s="100">
        <f t="array" ref="E842">_xlfn.XLOOKUP(A842,'Video Database'!L:L,'Video Database'!H:H,"")</f>
        <v>0.11</v>
      </c>
      <c r="F842" s="101">
        <v>0.0</v>
      </c>
      <c r="G842" s="87">
        <v>0.0</v>
      </c>
      <c r="H842" s="114">
        <f t="array" ref="H842">_xlfn.XLOOKUP(A842,'Video Database'!L:L,'Video Database'!A:A,"")</f>
        <v>46197</v>
      </c>
      <c r="I842" s="103">
        <v>46201.0</v>
      </c>
      <c r="J842" s="104">
        <v>0.0</v>
      </c>
      <c r="K842" s="105"/>
      <c r="L842" s="105" t="str">
        <f t="shared" si="1"/>
        <v/>
      </c>
      <c r="O842" s="106" t="str">
        <f t="shared" si="2"/>
        <v>#N/A</v>
      </c>
      <c r="P842" s="106" t="str">
        <f t="shared" si="3"/>
        <v>#N/A</v>
      </c>
      <c r="Q842" s="84" t="str">
        <f t="shared" si="4"/>
        <v>#N/A</v>
      </c>
      <c r="R842" s="84" t="str">
        <f t="shared" si="5"/>
        <v>#N/A</v>
      </c>
      <c r="S842" s="107">
        <f t="shared" si="6"/>
        <v>-0.11</v>
      </c>
      <c r="T842" s="108">
        <f t="shared" si="7"/>
        <v>-1</v>
      </c>
      <c r="U842" s="106" t="str">
        <f t="shared" si="8"/>
        <v>#N/A</v>
      </c>
      <c r="V842" s="84" t="str">
        <f t="shared" si="9"/>
        <v/>
      </c>
      <c r="W842" s="109" t="str">
        <f t="shared" si="10"/>
        <v/>
      </c>
      <c r="X842" s="109" t="str">
        <f t="shared" si="11"/>
        <v/>
      </c>
      <c r="Y842" s="110" t="str">
        <f t="array" ref="Y842">_xlfn.XLOOKUP(A842,'Video Database'!L:L,'Video Database'!M:M,"")</f>
        <v>Bottom of Funnel</v>
      </c>
    </row>
    <row r="843" ht="22.5" customHeight="1">
      <c r="A843" s="113">
        <f t="shared" si="12"/>
        <v>842</v>
      </c>
      <c r="B843" s="98" t="str">
        <f t="array" ref="B843">_xlfn.XLOOKUP(A843,'Video Database'!L:L,'Video Database'!D:D,"")</f>
        <v>Blakely</v>
      </c>
      <c r="C843" s="98" t="str">
        <f t="array" ref="C843">_xlfn.XLOOKUP(A843,'Video Database'!L:L,'Video Database'!E:E,"")</f>
        <v>Account 1</v>
      </c>
      <c r="D843" s="99" t="str">
        <f t="array" ref="D843">_xlfn.XLOOKUP(A843,'Video Database'!L:L,'Video Database'!G:G,"")</f>
        <v>tarte CC Color-Correct Tinted Serum</v>
      </c>
      <c r="E843" s="100">
        <f t="array" ref="E843">_xlfn.XLOOKUP(A843,'Video Database'!L:L,'Video Database'!H:H,"")</f>
        <v>0.11</v>
      </c>
      <c r="F843" s="101">
        <v>0.0</v>
      </c>
      <c r="G843" s="87">
        <v>0.0</v>
      </c>
      <c r="H843" s="114">
        <f t="array" ref="H843">_xlfn.XLOOKUP(A843,'Video Database'!L:L,'Video Database'!A:A,"")</f>
        <v>46197</v>
      </c>
      <c r="I843" s="103">
        <v>46201.0</v>
      </c>
      <c r="J843" s="104">
        <v>0.0</v>
      </c>
      <c r="K843" s="105"/>
      <c r="L843" s="105" t="str">
        <f t="shared" si="1"/>
        <v/>
      </c>
      <c r="O843" s="106" t="str">
        <f t="shared" si="2"/>
        <v>#N/A</v>
      </c>
      <c r="P843" s="106" t="str">
        <f t="shared" si="3"/>
        <v>#N/A</v>
      </c>
      <c r="Q843" s="84" t="str">
        <f t="shared" si="4"/>
        <v>#N/A</v>
      </c>
      <c r="R843" s="84" t="str">
        <f t="shared" si="5"/>
        <v>#N/A</v>
      </c>
      <c r="S843" s="107">
        <f t="shared" si="6"/>
        <v>-0.11</v>
      </c>
      <c r="T843" s="108">
        <f t="shared" si="7"/>
        <v>-1</v>
      </c>
      <c r="U843" s="106" t="str">
        <f t="shared" si="8"/>
        <v>#N/A</v>
      </c>
      <c r="V843" s="84" t="str">
        <f t="shared" si="9"/>
        <v/>
      </c>
      <c r="W843" s="109" t="str">
        <f t="shared" si="10"/>
        <v/>
      </c>
      <c r="X843" s="109" t="str">
        <f t="shared" si="11"/>
        <v/>
      </c>
      <c r="Y843" s="110" t="str">
        <f t="array" ref="Y843">_xlfn.XLOOKUP(A843,'Video Database'!L:L,'Video Database'!M:M,"")</f>
        <v>Product Overlay</v>
      </c>
    </row>
    <row r="844" ht="22.5" customHeight="1">
      <c r="A844" s="113">
        <f t="shared" si="12"/>
        <v>843</v>
      </c>
      <c r="B844" s="98" t="str">
        <f t="array" ref="B844">_xlfn.XLOOKUP(A844,'Video Database'!L:L,'Video Database'!D:D,"")</f>
        <v>Erin</v>
      </c>
      <c r="C844" s="98" t="str">
        <f t="array" ref="C844">_xlfn.XLOOKUP(A844,'Video Database'!L:L,'Video Database'!E:E,"")</f>
        <v>Account 1</v>
      </c>
      <c r="D844" s="99" t="str">
        <f t="array" ref="D844">_xlfn.XLOOKUP(A844,'Video Database'!L:L,'Video Database'!G:G,"")</f>
        <v>Medicube Kojic Accid Tumeric Power Duo</v>
      </c>
      <c r="E844" s="100">
        <f t="array" ref="E844">_xlfn.XLOOKUP(A844,'Video Database'!L:L,'Video Database'!H:H,"")</f>
        <v>0.7337</v>
      </c>
      <c r="F844" s="101">
        <v>0.0</v>
      </c>
      <c r="G844" s="87">
        <v>0.0</v>
      </c>
      <c r="H844" s="114">
        <f t="array" ref="H844">_xlfn.XLOOKUP(A844,'Video Database'!L:L,'Video Database'!A:A,"")</f>
        <v>46197</v>
      </c>
      <c r="I844" s="103">
        <v>46201.0</v>
      </c>
      <c r="J844" s="104">
        <v>0.0</v>
      </c>
      <c r="K844" s="105"/>
      <c r="L844" s="105" t="str">
        <f t="shared" si="1"/>
        <v/>
      </c>
      <c r="O844" s="106" t="str">
        <f t="shared" si="2"/>
        <v>#N/A</v>
      </c>
      <c r="P844" s="106" t="str">
        <f t="shared" si="3"/>
        <v>#N/A</v>
      </c>
      <c r="Q844" s="84" t="str">
        <f t="shared" si="4"/>
        <v>#N/A</v>
      </c>
      <c r="R844" s="84" t="str">
        <f t="shared" si="5"/>
        <v>#N/A</v>
      </c>
      <c r="S844" s="107">
        <f t="shared" si="6"/>
        <v>-0.7337</v>
      </c>
      <c r="T844" s="108">
        <f t="shared" si="7"/>
        <v>-1</v>
      </c>
      <c r="U844" s="106" t="str">
        <f t="shared" si="8"/>
        <v>#N/A</v>
      </c>
      <c r="V844" s="84" t="str">
        <f t="shared" si="9"/>
        <v/>
      </c>
      <c r="W844" s="109" t="str">
        <f t="shared" si="10"/>
        <v/>
      </c>
      <c r="X844" s="109" t="str">
        <f t="shared" si="11"/>
        <v/>
      </c>
      <c r="Y844" s="110" t="str">
        <f t="array" ref="Y844">_xlfn.XLOOKUP(A844,'Video Database'!L:L,'Video Database'!M:M,"")</f>
        <v>Bottom of Funnel</v>
      </c>
    </row>
    <row r="845" ht="22.5" customHeight="1">
      <c r="A845" s="113">
        <f t="shared" si="12"/>
        <v>844</v>
      </c>
      <c r="B845" s="98" t="str">
        <f t="array" ref="B845">_xlfn.XLOOKUP(A845,'Video Database'!L:L,'Video Database'!D:D,"")</f>
        <v>Blakely</v>
      </c>
      <c r="C845" s="98" t="str">
        <f t="array" ref="C845">_xlfn.XLOOKUP(A845,'Video Database'!L:L,'Video Database'!E:E,"")</f>
        <v>Account 1</v>
      </c>
      <c r="D845" s="99" t="str">
        <f t="array" ref="D845">_xlfn.XLOOKUP(A845,'Video Database'!L:L,'Video Database'!G:G,"")</f>
        <v>Camellia Deep Collagen Lifting Gel Mask</v>
      </c>
      <c r="E845" s="100">
        <f t="array" ref="E845">_xlfn.XLOOKUP(A845,'Video Database'!L:L,'Video Database'!H:H,"")</f>
        <v>0.11</v>
      </c>
      <c r="F845" s="101">
        <v>0.0</v>
      </c>
      <c r="G845" s="87">
        <v>0.0</v>
      </c>
      <c r="H845" s="114">
        <f t="array" ref="H845">_xlfn.XLOOKUP(A845,'Video Database'!L:L,'Video Database'!A:A,"")</f>
        <v>46197</v>
      </c>
      <c r="I845" s="103">
        <v>46201.0</v>
      </c>
      <c r="J845" s="104">
        <v>0.0</v>
      </c>
      <c r="K845" s="105"/>
      <c r="L845" s="105" t="str">
        <f t="shared" si="1"/>
        <v/>
      </c>
      <c r="O845" s="106" t="str">
        <f t="shared" si="2"/>
        <v>#N/A</v>
      </c>
      <c r="P845" s="106" t="str">
        <f t="shared" si="3"/>
        <v>#N/A</v>
      </c>
      <c r="Q845" s="84" t="str">
        <f t="shared" si="4"/>
        <v>#N/A</v>
      </c>
      <c r="R845" s="84" t="str">
        <f t="shared" si="5"/>
        <v>#N/A</v>
      </c>
      <c r="S845" s="107">
        <f t="shared" si="6"/>
        <v>-0.11</v>
      </c>
      <c r="T845" s="108">
        <f t="shared" si="7"/>
        <v>-1</v>
      </c>
      <c r="U845" s="106" t="str">
        <f t="shared" si="8"/>
        <v>#N/A</v>
      </c>
      <c r="V845" s="84" t="str">
        <f t="shared" si="9"/>
        <v/>
      </c>
      <c r="W845" s="109" t="str">
        <f t="shared" si="10"/>
        <v/>
      </c>
      <c r="X845" s="109" t="str">
        <f t="shared" si="11"/>
        <v/>
      </c>
      <c r="Y845" s="110" t="str">
        <f t="array" ref="Y845">_xlfn.XLOOKUP(A845,'Video Database'!L:L,'Video Database'!M:M,"")</f>
        <v>Bottom of Funnel</v>
      </c>
    </row>
    <row r="846" ht="22.5" customHeight="1">
      <c r="A846" s="113">
        <f t="shared" si="12"/>
        <v>845</v>
      </c>
      <c r="B846" s="98" t="str">
        <f t="array" ref="B846">_xlfn.XLOOKUP(A846,'Video Database'!L:L,'Video Database'!D:D,"")</f>
        <v>Erin</v>
      </c>
      <c r="C846" s="98" t="str">
        <f t="array" ref="C846">_xlfn.XLOOKUP(A846,'Video Database'!L:L,'Video Database'!E:E,"")</f>
        <v>Account 1</v>
      </c>
      <c r="D846" s="99" t="str">
        <f t="array" ref="D846">_xlfn.XLOOKUP(A846,'Video Database'!L:L,'Video Database'!G:G,"")</f>
        <v>Color Wow Quick Refresh and Styling Bundle</v>
      </c>
      <c r="E846" s="100">
        <f t="array" ref="E846">_xlfn.XLOOKUP(A846,'Video Database'!L:L,'Video Database'!H:H,"")</f>
        <v>0.7337</v>
      </c>
      <c r="F846" s="101">
        <v>0.0</v>
      </c>
      <c r="G846" s="87">
        <v>0.0</v>
      </c>
      <c r="H846" s="114">
        <f t="array" ref="H846">_xlfn.XLOOKUP(A846,'Video Database'!L:L,'Video Database'!A:A,"")</f>
        <v>46197</v>
      </c>
      <c r="I846" s="103">
        <v>46201.0</v>
      </c>
      <c r="J846" s="104">
        <v>0.0</v>
      </c>
      <c r="K846" s="105"/>
      <c r="L846" s="105" t="str">
        <f t="shared" si="1"/>
        <v/>
      </c>
      <c r="O846" s="106" t="str">
        <f t="shared" si="2"/>
        <v>#N/A</v>
      </c>
      <c r="P846" s="106" t="str">
        <f t="shared" si="3"/>
        <v>#N/A</v>
      </c>
      <c r="Q846" s="84" t="str">
        <f t="shared" si="4"/>
        <v>#N/A</v>
      </c>
      <c r="R846" s="84" t="str">
        <f t="shared" si="5"/>
        <v>#N/A</v>
      </c>
      <c r="S846" s="107">
        <f t="shared" si="6"/>
        <v>-0.7337</v>
      </c>
      <c r="T846" s="108">
        <f t="shared" si="7"/>
        <v>-1</v>
      </c>
      <c r="U846" s="106" t="str">
        <f t="shared" si="8"/>
        <v>#N/A</v>
      </c>
      <c r="V846" s="84" t="str">
        <f t="shared" si="9"/>
        <v/>
      </c>
      <c r="W846" s="109" t="str">
        <f t="shared" si="10"/>
        <v/>
      </c>
      <c r="X846" s="109" t="str">
        <f t="shared" si="11"/>
        <v/>
      </c>
      <c r="Y846" s="110" t="str">
        <f t="array" ref="Y846">_xlfn.XLOOKUP(A846,'Video Database'!L:L,'Video Database'!M:M,"")</f>
        <v>Bottom of Funnel</v>
      </c>
    </row>
    <row r="847" ht="22.5" customHeight="1">
      <c r="A847" s="113">
        <f t="shared" si="12"/>
        <v>846</v>
      </c>
      <c r="B847" s="98" t="str">
        <f t="array" ref="B847">_xlfn.XLOOKUP(A847,'Video Database'!L:L,'Video Database'!D:D,"")</f>
        <v>Erin</v>
      </c>
      <c r="C847" s="98" t="str">
        <f t="array" ref="C847">_xlfn.XLOOKUP(A847,'Video Database'!L:L,'Video Database'!E:E,"")</f>
        <v>Account 2</v>
      </c>
      <c r="D847" s="99" t="str">
        <f t="array" ref="D847">_xlfn.XLOOKUP(A847,'Video Database'!L:L,'Video Database'!G:G,"")</f>
        <v>Color Wow Quick Refresh and Styling Bundle</v>
      </c>
      <c r="E847" s="100">
        <f t="array" ref="E847">_xlfn.XLOOKUP(A847,'Video Database'!L:L,'Video Database'!H:H,"")</f>
        <v>0.7337</v>
      </c>
      <c r="F847" s="101">
        <v>0.0</v>
      </c>
      <c r="G847" s="87">
        <v>0.0</v>
      </c>
      <c r="H847" s="114">
        <f t="array" ref="H847">_xlfn.XLOOKUP(A847,'Video Database'!L:L,'Video Database'!A:A,"")</f>
        <v>46197</v>
      </c>
      <c r="I847" s="103">
        <v>46201.0</v>
      </c>
      <c r="J847" s="104">
        <v>0.0</v>
      </c>
      <c r="K847" s="105"/>
      <c r="L847" s="105" t="str">
        <f t="shared" si="1"/>
        <v/>
      </c>
      <c r="O847" s="106" t="str">
        <f t="shared" si="2"/>
        <v>#N/A</v>
      </c>
      <c r="P847" s="106" t="str">
        <f t="shared" si="3"/>
        <v>#N/A</v>
      </c>
      <c r="Q847" s="84" t="str">
        <f t="shared" si="4"/>
        <v>#N/A</v>
      </c>
      <c r="R847" s="84" t="str">
        <f t="shared" si="5"/>
        <v>#N/A</v>
      </c>
      <c r="S847" s="107">
        <f t="shared" si="6"/>
        <v>-0.7337</v>
      </c>
      <c r="T847" s="108">
        <f t="shared" si="7"/>
        <v>-1</v>
      </c>
      <c r="U847" s="106" t="str">
        <f t="shared" si="8"/>
        <v>#N/A</v>
      </c>
      <c r="V847" s="84" t="str">
        <f t="shared" si="9"/>
        <v/>
      </c>
      <c r="W847" s="109" t="str">
        <f t="shared" si="10"/>
        <v/>
      </c>
      <c r="X847" s="109" t="str">
        <f t="shared" si="11"/>
        <v/>
      </c>
      <c r="Y847" s="110" t="str">
        <f t="array" ref="Y847">_xlfn.XLOOKUP(A847,'Video Database'!L:L,'Video Database'!M:M,"")</f>
        <v>Bottom of Funnel</v>
      </c>
    </row>
    <row r="848" ht="22.5" customHeight="1">
      <c r="A848" s="113">
        <f t="shared" si="12"/>
        <v>847</v>
      </c>
      <c r="B848" s="98" t="str">
        <f t="array" ref="B848">_xlfn.XLOOKUP(A848,'Video Database'!L:L,'Video Database'!D:D,"")</f>
        <v>Erin</v>
      </c>
      <c r="C848" s="98" t="str">
        <f t="array" ref="C848">_xlfn.XLOOKUP(A848,'Video Database'!L:L,'Video Database'!E:E,"")</f>
        <v>Account 2</v>
      </c>
      <c r="D848" s="99" t="str">
        <f t="array" ref="D848">_xlfn.XLOOKUP(A848,'Video Database'!L:L,'Video Database'!G:G,"")</f>
        <v>Color Wow Quick Refresh and Styling Bundle</v>
      </c>
      <c r="E848" s="100">
        <f t="array" ref="E848">_xlfn.XLOOKUP(A848,'Video Database'!L:L,'Video Database'!H:H,"")</f>
        <v>0.7337</v>
      </c>
      <c r="F848" s="101">
        <v>0.0</v>
      </c>
      <c r="G848" s="87">
        <v>0.0</v>
      </c>
      <c r="H848" s="114">
        <f t="array" ref="H848">_xlfn.XLOOKUP(A848,'Video Database'!L:L,'Video Database'!A:A,"")</f>
        <v>46197</v>
      </c>
      <c r="I848" s="103">
        <v>46201.0</v>
      </c>
      <c r="J848" s="104">
        <v>0.0</v>
      </c>
      <c r="K848" s="105"/>
      <c r="L848" s="105" t="str">
        <f t="shared" si="1"/>
        <v/>
      </c>
      <c r="O848" s="106" t="str">
        <f t="shared" si="2"/>
        <v>#N/A</v>
      </c>
      <c r="P848" s="106" t="str">
        <f t="shared" si="3"/>
        <v>#N/A</v>
      </c>
      <c r="Q848" s="84" t="str">
        <f t="shared" si="4"/>
        <v>#N/A</v>
      </c>
      <c r="R848" s="84" t="str">
        <f t="shared" si="5"/>
        <v>#N/A</v>
      </c>
      <c r="S848" s="107">
        <f t="shared" si="6"/>
        <v>-0.7337</v>
      </c>
      <c r="T848" s="108">
        <f t="shared" si="7"/>
        <v>-1</v>
      </c>
      <c r="U848" s="106" t="str">
        <f t="shared" si="8"/>
        <v>#N/A</v>
      </c>
      <c r="V848" s="84" t="str">
        <f t="shared" si="9"/>
        <v/>
      </c>
      <c r="W848" s="109" t="str">
        <f t="shared" si="10"/>
        <v/>
      </c>
      <c r="X848" s="109" t="str">
        <f t="shared" si="11"/>
        <v/>
      </c>
      <c r="Y848" s="110" t="str">
        <f t="array" ref="Y848">_xlfn.XLOOKUP(A848,'Video Database'!L:L,'Video Database'!M:M,"")</f>
        <v>Bottom of Funnel</v>
      </c>
    </row>
    <row r="849" ht="22.5" customHeight="1">
      <c r="A849" s="113">
        <f t="shared" si="12"/>
        <v>848</v>
      </c>
      <c r="B849" s="98" t="str">
        <f t="array" ref="B849">_xlfn.XLOOKUP(A849,'Video Database'!L:L,'Video Database'!D:D,"")</f>
        <v>Erin</v>
      </c>
      <c r="C849" s="98" t="str">
        <f t="array" ref="C849">_xlfn.XLOOKUP(A849,'Video Database'!L:L,'Video Database'!E:E,"")</f>
        <v>Account 2</v>
      </c>
      <c r="D849" s="99" t="str">
        <f t="array" ref="D849">_xlfn.XLOOKUP(A849,'Video Database'!L:L,'Video Database'!G:G,"")</f>
        <v>Medicube Kojic Accid Tumeric Power Duo</v>
      </c>
      <c r="E849" s="100">
        <f t="array" ref="E849">_xlfn.XLOOKUP(A849,'Video Database'!L:L,'Video Database'!H:H,"")</f>
        <v>0.7337</v>
      </c>
      <c r="F849" s="101">
        <v>0.0</v>
      </c>
      <c r="G849" s="87">
        <v>0.0</v>
      </c>
      <c r="H849" s="114">
        <f t="array" ref="H849">_xlfn.XLOOKUP(A849,'Video Database'!L:L,'Video Database'!A:A,"")</f>
        <v>46197</v>
      </c>
      <c r="I849" s="103">
        <v>46201.0</v>
      </c>
      <c r="J849" s="104">
        <v>0.0</v>
      </c>
      <c r="K849" s="105"/>
      <c r="L849" s="105" t="str">
        <f t="shared" si="1"/>
        <v/>
      </c>
      <c r="O849" s="106" t="str">
        <f t="shared" si="2"/>
        <v>#N/A</v>
      </c>
      <c r="P849" s="106" t="str">
        <f t="shared" si="3"/>
        <v>#N/A</v>
      </c>
      <c r="Q849" s="84" t="str">
        <f t="shared" si="4"/>
        <v>#N/A</v>
      </c>
      <c r="R849" s="84" t="str">
        <f t="shared" si="5"/>
        <v>#N/A</v>
      </c>
      <c r="S849" s="107">
        <f t="shared" si="6"/>
        <v>-0.7337</v>
      </c>
      <c r="T849" s="108">
        <f t="shared" si="7"/>
        <v>-1</v>
      </c>
      <c r="U849" s="106" t="str">
        <f t="shared" si="8"/>
        <v>#N/A</v>
      </c>
      <c r="V849" s="84" t="str">
        <f t="shared" si="9"/>
        <v/>
      </c>
      <c r="W849" s="109" t="str">
        <f t="shared" si="10"/>
        <v/>
      </c>
      <c r="X849" s="109" t="str">
        <f t="shared" si="11"/>
        <v/>
      </c>
      <c r="Y849" s="110" t="str">
        <f t="array" ref="Y849">_xlfn.XLOOKUP(A849,'Video Database'!L:L,'Video Database'!M:M,"")</f>
        <v>Bottom of Funnel</v>
      </c>
    </row>
    <row r="850" ht="22.5" customHeight="1">
      <c r="A850" s="113">
        <f t="shared" si="12"/>
        <v>849</v>
      </c>
      <c r="B850" s="98" t="str">
        <f t="array" ref="B850">_xlfn.XLOOKUP(A850,'Video Database'!L:L,'Video Database'!D:D,"")</f>
        <v>Erin</v>
      </c>
      <c r="C850" s="98" t="str">
        <f t="array" ref="C850">_xlfn.XLOOKUP(A850,'Video Database'!L:L,'Video Database'!E:E,"")</f>
        <v>Account 2</v>
      </c>
      <c r="D850" s="99" t="str">
        <f t="array" ref="D850">_xlfn.XLOOKUP(A850,'Video Database'!L:L,'Video Database'!G:G,"")</f>
        <v>Medicube Kojic Accid Tumeric Power Duo</v>
      </c>
      <c r="E850" s="100">
        <f t="array" ref="E850">_xlfn.XLOOKUP(A850,'Video Database'!L:L,'Video Database'!H:H,"")</f>
        <v>0.7337</v>
      </c>
      <c r="F850" s="101">
        <v>0.0</v>
      </c>
      <c r="G850" s="87">
        <v>0.0</v>
      </c>
      <c r="H850" s="114">
        <f t="array" ref="H850">_xlfn.XLOOKUP(A850,'Video Database'!L:L,'Video Database'!A:A,"")</f>
        <v>46197</v>
      </c>
      <c r="I850" s="103">
        <v>46201.0</v>
      </c>
      <c r="J850" s="104">
        <v>0.0</v>
      </c>
      <c r="K850" s="105"/>
      <c r="L850" s="105" t="str">
        <f t="shared" si="1"/>
        <v/>
      </c>
      <c r="O850" s="106" t="str">
        <f t="shared" si="2"/>
        <v>#N/A</v>
      </c>
      <c r="P850" s="106" t="str">
        <f t="shared" si="3"/>
        <v>#N/A</v>
      </c>
      <c r="Q850" s="84" t="str">
        <f t="shared" si="4"/>
        <v>#N/A</v>
      </c>
      <c r="R850" s="84" t="str">
        <f t="shared" si="5"/>
        <v>#N/A</v>
      </c>
      <c r="S850" s="107">
        <f t="shared" si="6"/>
        <v>-0.7337</v>
      </c>
      <c r="T850" s="108">
        <f t="shared" si="7"/>
        <v>-1</v>
      </c>
      <c r="U850" s="106" t="str">
        <f t="shared" si="8"/>
        <v>#N/A</v>
      </c>
      <c r="V850" s="84" t="str">
        <f t="shared" si="9"/>
        <v/>
      </c>
      <c r="W850" s="109" t="str">
        <f t="shared" si="10"/>
        <v/>
      </c>
      <c r="X850" s="109" t="str">
        <f t="shared" si="11"/>
        <v/>
      </c>
      <c r="Y850" s="110" t="str">
        <f t="array" ref="Y850">_xlfn.XLOOKUP(A850,'Video Database'!L:L,'Video Database'!M:M,"")</f>
        <v>Bottom of Funnel</v>
      </c>
    </row>
    <row r="851" ht="22.5" customHeight="1">
      <c r="A851" s="113">
        <f t="shared" si="12"/>
        <v>850</v>
      </c>
      <c r="B851" s="98" t="str">
        <f t="array" ref="B851">_xlfn.XLOOKUP(A851,'Video Database'!L:L,'Video Database'!D:D,"")</f>
        <v>Erin</v>
      </c>
      <c r="C851" s="98" t="str">
        <f t="array" ref="C851">_xlfn.XLOOKUP(A851,'Video Database'!L:L,'Video Database'!E:E,"")</f>
        <v>Account 2</v>
      </c>
      <c r="D851" s="99" t="str">
        <f t="array" ref="D851">_xlfn.XLOOKUP(A851,'Video Database'!L:L,'Video Database'!G:G,"")</f>
        <v>Color Wow Quick Refresh and Styling Bundle</v>
      </c>
      <c r="E851" s="100">
        <f t="array" ref="E851">_xlfn.XLOOKUP(A851,'Video Database'!L:L,'Video Database'!H:H,"")</f>
        <v>0.7337</v>
      </c>
      <c r="F851" s="101">
        <v>0.0</v>
      </c>
      <c r="G851" s="87">
        <v>0.0</v>
      </c>
      <c r="H851" s="114">
        <f t="array" ref="H851">_xlfn.XLOOKUP(A851,'Video Database'!L:L,'Video Database'!A:A,"")</f>
        <v>46197</v>
      </c>
      <c r="I851" s="103">
        <v>46201.0</v>
      </c>
      <c r="J851" s="104">
        <v>0.0</v>
      </c>
      <c r="K851" s="105"/>
      <c r="L851" s="105" t="str">
        <f t="shared" si="1"/>
        <v/>
      </c>
      <c r="O851" s="106" t="str">
        <f t="shared" si="2"/>
        <v>#N/A</v>
      </c>
      <c r="P851" s="106" t="str">
        <f t="shared" si="3"/>
        <v>#N/A</v>
      </c>
      <c r="Q851" s="84" t="str">
        <f t="shared" si="4"/>
        <v>#N/A</v>
      </c>
      <c r="R851" s="84" t="str">
        <f t="shared" si="5"/>
        <v>#N/A</v>
      </c>
      <c r="S851" s="107">
        <f t="shared" si="6"/>
        <v>-0.7337</v>
      </c>
      <c r="T851" s="108">
        <f t="shared" si="7"/>
        <v>-1</v>
      </c>
      <c r="U851" s="106" t="str">
        <f t="shared" si="8"/>
        <v>#N/A</v>
      </c>
      <c r="V851" s="84" t="str">
        <f t="shared" si="9"/>
        <v/>
      </c>
      <c r="W851" s="109" t="str">
        <f t="shared" si="10"/>
        <v/>
      </c>
      <c r="X851" s="109" t="str">
        <f t="shared" si="11"/>
        <v/>
      </c>
      <c r="Y851" s="110" t="str">
        <f t="array" ref="Y851">_xlfn.XLOOKUP(A851,'Video Database'!L:L,'Video Database'!M:M,"")</f>
        <v>Bottom of Funnel</v>
      </c>
    </row>
    <row r="852" ht="22.5" customHeight="1">
      <c r="A852" s="113">
        <f t="shared" si="12"/>
        <v>851</v>
      </c>
      <c r="B852" s="98" t="str">
        <f t="array" ref="B852">_xlfn.XLOOKUP(A852,'Video Database'!L:L,'Video Database'!D:D,"")</f>
        <v>Erin</v>
      </c>
      <c r="C852" s="98" t="str">
        <f t="array" ref="C852">_xlfn.XLOOKUP(A852,'Video Database'!L:L,'Video Database'!E:E,"")</f>
        <v>Account 2</v>
      </c>
      <c r="D852" s="99" t="str">
        <f t="array" ref="D852">_xlfn.XLOOKUP(A852,'Video Database'!L:L,'Video Database'!G:G,"")</f>
        <v>Medicube Kojic Accid Tumeric Power Duo</v>
      </c>
      <c r="E852" s="100">
        <f t="array" ref="E852">_xlfn.XLOOKUP(A852,'Video Database'!L:L,'Video Database'!H:H,"")</f>
        <v>0.7337</v>
      </c>
      <c r="F852" s="101">
        <v>0.0</v>
      </c>
      <c r="G852" s="87">
        <v>0.0</v>
      </c>
      <c r="H852" s="114">
        <f t="array" ref="H852">_xlfn.XLOOKUP(A852,'Video Database'!L:L,'Video Database'!A:A,"")</f>
        <v>46197</v>
      </c>
      <c r="I852" s="103">
        <v>46201.0</v>
      </c>
      <c r="J852" s="104">
        <v>0.0</v>
      </c>
      <c r="K852" s="105"/>
      <c r="L852" s="105" t="str">
        <f t="shared" si="1"/>
        <v/>
      </c>
      <c r="O852" s="106" t="str">
        <f t="shared" si="2"/>
        <v>#N/A</v>
      </c>
      <c r="P852" s="106" t="str">
        <f t="shared" si="3"/>
        <v>#N/A</v>
      </c>
      <c r="Q852" s="84" t="str">
        <f t="shared" si="4"/>
        <v>#N/A</v>
      </c>
      <c r="R852" s="84" t="str">
        <f t="shared" si="5"/>
        <v>#N/A</v>
      </c>
      <c r="S852" s="107">
        <f t="shared" si="6"/>
        <v>-0.7337</v>
      </c>
      <c r="T852" s="108">
        <f t="shared" si="7"/>
        <v>-1</v>
      </c>
      <c r="U852" s="106" t="str">
        <f t="shared" si="8"/>
        <v>#N/A</v>
      </c>
      <c r="V852" s="84" t="str">
        <f t="shared" si="9"/>
        <v/>
      </c>
      <c r="W852" s="109" t="str">
        <f t="shared" si="10"/>
        <v/>
      </c>
      <c r="X852" s="109" t="str">
        <f t="shared" si="11"/>
        <v/>
      </c>
      <c r="Y852" s="110" t="str">
        <f t="array" ref="Y852">_xlfn.XLOOKUP(A852,'Video Database'!L:L,'Video Database'!M:M,"")</f>
        <v>Bottom of Funnel</v>
      </c>
    </row>
    <row r="853" ht="22.5" customHeight="1">
      <c r="A853" s="113">
        <f t="shared" si="12"/>
        <v>852</v>
      </c>
      <c r="B853" s="98" t="str">
        <f t="array" ref="B853">_xlfn.XLOOKUP(A853,'Video Database'!L:L,'Video Database'!D:D,"")</f>
        <v>Erin</v>
      </c>
      <c r="C853" s="98" t="str">
        <f t="array" ref="C853">_xlfn.XLOOKUP(A853,'Video Database'!L:L,'Video Database'!E:E,"")</f>
        <v>Account 2</v>
      </c>
      <c r="D853" s="99" t="str">
        <f t="array" ref="D853">_xlfn.XLOOKUP(A853,'Video Database'!L:L,'Video Database'!G:G,"")</f>
        <v>Medicube Kojic Accid Tumeric Power Duo</v>
      </c>
      <c r="E853" s="100">
        <f t="array" ref="E853">_xlfn.XLOOKUP(A853,'Video Database'!L:L,'Video Database'!H:H,"")</f>
        <v>0.7337</v>
      </c>
      <c r="F853" s="101">
        <v>0.0</v>
      </c>
      <c r="G853" s="87">
        <v>0.0</v>
      </c>
      <c r="H853" s="114">
        <f t="array" ref="H853">_xlfn.XLOOKUP(A853,'Video Database'!L:L,'Video Database'!A:A,"")</f>
        <v>46197</v>
      </c>
      <c r="I853" s="103">
        <v>46201.0</v>
      </c>
      <c r="J853" s="104">
        <v>0.0</v>
      </c>
      <c r="K853" s="105"/>
      <c r="L853" s="105" t="str">
        <f t="shared" si="1"/>
        <v/>
      </c>
      <c r="O853" s="106" t="str">
        <f t="shared" si="2"/>
        <v>#N/A</v>
      </c>
      <c r="P853" s="106" t="str">
        <f t="shared" si="3"/>
        <v>#N/A</v>
      </c>
      <c r="Q853" s="84" t="str">
        <f t="shared" si="4"/>
        <v>#N/A</v>
      </c>
      <c r="R853" s="84" t="str">
        <f t="shared" si="5"/>
        <v>#N/A</v>
      </c>
      <c r="S853" s="107">
        <f t="shared" si="6"/>
        <v>-0.7337</v>
      </c>
      <c r="T853" s="108">
        <f t="shared" si="7"/>
        <v>-1</v>
      </c>
      <c r="U853" s="106" t="str">
        <f t="shared" si="8"/>
        <v>#N/A</v>
      </c>
      <c r="V853" s="84" t="str">
        <f t="shared" si="9"/>
        <v/>
      </c>
      <c r="W853" s="109" t="str">
        <f t="shared" si="10"/>
        <v/>
      </c>
      <c r="X853" s="109" t="str">
        <f t="shared" si="11"/>
        <v/>
      </c>
      <c r="Y853" s="110" t="str">
        <f t="array" ref="Y853">_xlfn.XLOOKUP(A853,'Video Database'!L:L,'Video Database'!M:M,"")</f>
        <v>Bottom of Funnel</v>
      </c>
    </row>
    <row r="854" ht="22.5" customHeight="1">
      <c r="A854" s="113">
        <f t="shared" si="12"/>
        <v>853</v>
      </c>
      <c r="B854" s="98" t="str">
        <f t="array" ref="B854">_xlfn.XLOOKUP(A854,'Video Database'!L:L,'Video Database'!D:D,"")</f>
        <v>Erin</v>
      </c>
      <c r="C854" s="98" t="str">
        <f t="array" ref="C854">_xlfn.XLOOKUP(A854,'Video Database'!L:L,'Video Database'!E:E,"")</f>
        <v>Account 2</v>
      </c>
      <c r="D854" s="99" t="str">
        <f t="array" ref="D854">_xlfn.XLOOKUP(A854,'Video Database'!L:L,'Video Database'!G:G,"")</f>
        <v>Color Wow Quick Refresh and Styling Bundle</v>
      </c>
      <c r="E854" s="100">
        <f t="array" ref="E854">_xlfn.XLOOKUP(A854,'Video Database'!L:L,'Video Database'!H:H,"")</f>
        <v>0.7337</v>
      </c>
      <c r="F854" s="101">
        <v>0.0</v>
      </c>
      <c r="G854" s="87">
        <v>0.0</v>
      </c>
      <c r="H854" s="114">
        <f t="array" ref="H854">_xlfn.XLOOKUP(A854,'Video Database'!L:L,'Video Database'!A:A,"")</f>
        <v>46197</v>
      </c>
      <c r="I854" s="103">
        <v>46201.0</v>
      </c>
      <c r="J854" s="104">
        <v>0.0</v>
      </c>
      <c r="K854" s="105"/>
      <c r="L854" s="105" t="str">
        <f t="shared" si="1"/>
        <v/>
      </c>
      <c r="O854" s="106" t="str">
        <f t="shared" si="2"/>
        <v>#N/A</v>
      </c>
      <c r="P854" s="106" t="str">
        <f t="shared" si="3"/>
        <v>#N/A</v>
      </c>
      <c r="Q854" s="84" t="str">
        <f t="shared" si="4"/>
        <v>#N/A</v>
      </c>
      <c r="R854" s="84" t="str">
        <f t="shared" si="5"/>
        <v>#N/A</v>
      </c>
      <c r="S854" s="107">
        <f t="shared" si="6"/>
        <v>-0.7337</v>
      </c>
      <c r="T854" s="108">
        <f t="shared" si="7"/>
        <v>-1</v>
      </c>
      <c r="U854" s="106" t="str">
        <f t="shared" si="8"/>
        <v>#N/A</v>
      </c>
      <c r="V854" s="84" t="str">
        <f t="shared" si="9"/>
        <v/>
      </c>
      <c r="W854" s="109" t="str">
        <f t="shared" si="10"/>
        <v/>
      </c>
      <c r="X854" s="109" t="str">
        <f t="shared" si="11"/>
        <v/>
      </c>
      <c r="Y854" s="110" t="str">
        <f t="array" ref="Y854">_xlfn.XLOOKUP(A854,'Video Database'!L:L,'Video Database'!M:M,"")</f>
        <v>Bottom of Funnel</v>
      </c>
    </row>
    <row r="855" ht="22.5" customHeight="1">
      <c r="A855" s="113">
        <f t="shared" si="12"/>
        <v>854</v>
      </c>
      <c r="B855" s="98" t="str">
        <f t="array" ref="B855">_xlfn.XLOOKUP(A855,'Video Database'!L:L,'Video Database'!D:D,"")</f>
        <v>Blakely</v>
      </c>
      <c r="C855" s="98" t="str">
        <f t="array" ref="C855">_xlfn.XLOOKUP(A855,'Video Database'!L:L,'Video Database'!E:E,"")</f>
        <v>Account 2</v>
      </c>
      <c r="D855" s="99" t="str">
        <f t="array" ref="D855">_xlfn.XLOOKUP(A855,'Video Database'!L:L,'Video Database'!G:G,"")</f>
        <v>COSRX US The Copper Peptide Serum</v>
      </c>
      <c r="E855" s="100">
        <f t="array" ref="E855">_xlfn.XLOOKUP(A855,'Video Database'!L:L,'Video Database'!H:H,"")</f>
        <v>0.11</v>
      </c>
      <c r="F855" s="101">
        <v>0.0</v>
      </c>
      <c r="G855" s="87">
        <v>0.0</v>
      </c>
      <c r="H855" s="114">
        <f t="array" ref="H855">_xlfn.XLOOKUP(A855,'Video Database'!L:L,'Video Database'!A:A,"")</f>
        <v>46197</v>
      </c>
      <c r="I855" s="103">
        <v>46201.0</v>
      </c>
      <c r="J855" s="104">
        <v>0.0</v>
      </c>
      <c r="K855" s="105"/>
      <c r="L855" s="105" t="str">
        <f t="shared" si="1"/>
        <v/>
      </c>
      <c r="O855" s="106" t="str">
        <f t="shared" si="2"/>
        <v>#N/A</v>
      </c>
      <c r="P855" s="106" t="str">
        <f t="shared" si="3"/>
        <v>#N/A</v>
      </c>
      <c r="Q855" s="84" t="str">
        <f t="shared" si="4"/>
        <v>#N/A</v>
      </c>
      <c r="R855" s="84" t="str">
        <f t="shared" si="5"/>
        <v>#N/A</v>
      </c>
      <c r="S855" s="107">
        <f t="shared" si="6"/>
        <v>-0.11</v>
      </c>
      <c r="T855" s="108">
        <f t="shared" si="7"/>
        <v>-1</v>
      </c>
      <c r="U855" s="106" t="str">
        <f t="shared" si="8"/>
        <v>#N/A</v>
      </c>
      <c r="V855" s="84" t="str">
        <f t="shared" si="9"/>
        <v/>
      </c>
      <c r="W855" s="109" t="str">
        <f t="shared" si="10"/>
        <v/>
      </c>
      <c r="X855" s="109" t="str">
        <f t="shared" si="11"/>
        <v/>
      </c>
      <c r="Y855" s="110" t="str">
        <f t="array" ref="Y855">_xlfn.XLOOKUP(A855,'Video Database'!L:L,'Video Database'!M:M,"")</f>
        <v>Product Overlay</v>
      </c>
    </row>
    <row r="856" ht="22.5" customHeight="1">
      <c r="A856" s="113">
        <f t="shared" si="12"/>
        <v>855</v>
      </c>
      <c r="B856" s="98" t="str">
        <f t="array" ref="B856">_xlfn.XLOOKUP(A856,'Video Database'!L:L,'Video Database'!D:D,"")</f>
        <v>Erin</v>
      </c>
      <c r="C856" s="98" t="str">
        <f t="array" ref="C856">_xlfn.XLOOKUP(A856,'Video Database'!L:L,'Video Database'!E:E,"")</f>
        <v>Account 2</v>
      </c>
      <c r="D856" s="99" t="str">
        <f t="array" ref="D856">_xlfn.XLOOKUP(A856,'Video Database'!L:L,'Video Database'!G:G,"")</f>
        <v>Medicube Kojic Accid Tumeric Power Duo</v>
      </c>
      <c r="E856" s="100">
        <f t="array" ref="E856">_xlfn.XLOOKUP(A856,'Video Database'!L:L,'Video Database'!H:H,"")</f>
        <v>0.7337</v>
      </c>
      <c r="F856" s="101">
        <v>0.0</v>
      </c>
      <c r="G856" s="87">
        <v>0.0</v>
      </c>
      <c r="H856" s="114">
        <f t="array" ref="H856">_xlfn.XLOOKUP(A856,'Video Database'!L:L,'Video Database'!A:A,"")</f>
        <v>46197</v>
      </c>
      <c r="I856" s="103">
        <v>46201.0</v>
      </c>
      <c r="J856" s="104">
        <v>0.0</v>
      </c>
      <c r="K856" s="105"/>
      <c r="L856" s="105" t="str">
        <f t="shared" si="1"/>
        <v/>
      </c>
      <c r="O856" s="106" t="str">
        <f t="shared" si="2"/>
        <v>#N/A</v>
      </c>
      <c r="P856" s="106" t="str">
        <f t="shared" si="3"/>
        <v>#N/A</v>
      </c>
      <c r="Q856" s="84" t="str">
        <f t="shared" si="4"/>
        <v>#N/A</v>
      </c>
      <c r="R856" s="84" t="str">
        <f t="shared" si="5"/>
        <v>#N/A</v>
      </c>
      <c r="S856" s="107">
        <f t="shared" si="6"/>
        <v>-0.7337</v>
      </c>
      <c r="T856" s="108">
        <f t="shared" si="7"/>
        <v>-1</v>
      </c>
      <c r="U856" s="106" t="str">
        <f t="shared" si="8"/>
        <v>#N/A</v>
      </c>
      <c r="V856" s="84" t="str">
        <f t="shared" si="9"/>
        <v/>
      </c>
      <c r="W856" s="109" t="str">
        <f t="shared" si="10"/>
        <v/>
      </c>
      <c r="X856" s="109" t="str">
        <f t="shared" si="11"/>
        <v/>
      </c>
      <c r="Y856" s="110" t="str">
        <f t="array" ref="Y856">_xlfn.XLOOKUP(A856,'Video Database'!L:L,'Video Database'!M:M,"")</f>
        <v>Bottom of Funnel</v>
      </c>
    </row>
    <row r="857" ht="22.5" customHeight="1">
      <c r="A857" s="113">
        <f t="shared" si="12"/>
        <v>856</v>
      </c>
      <c r="B857" s="98" t="str">
        <f t="array" ref="B857">_xlfn.XLOOKUP(A857,'Video Database'!L:L,'Video Database'!D:D,"")</f>
        <v>Erin</v>
      </c>
      <c r="C857" s="98" t="str">
        <f t="array" ref="C857">_xlfn.XLOOKUP(A857,'Video Database'!L:L,'Video Database'!E:E,"")</f>
        <v>Account 2</v>
      </c>
      <c r="D857" s="99" t="str">
        <f t="array" ref="D857">_xlfn.XLOOKUP(A857,'Video Database'!L:L,'Video Database'!G:G,"")</f>
        <v>Color Wow Quick Refresh and Styling Bundle</v>
      </c>
      <c r="E857" s="100">
        <f t="array" ref="E857">_xlfn.XLOOKUP(A857,'Video Database'!L:L,'Video Database'!H:H,"")</f>
        <v>0.7337</v>
      </c>
      <c r="F857" s="101">
        <v>0.0</v>
      </c>
      <c r="G857" s="87">
        <v>0.0</v>
      </c>
      <c r="H857" s="114">
        <f t="array" ref="H857">_xlfn.XLOOKUP(A857,'Video Database'!L:L,'Video Database'!A:A,"")</f>
        <v>46197</v>
      </c>
      <c r="I857" s="103">
        <v>46201.0</v>
      </c>
      <c r="J857" s="104">
        <v>0.0</v>
      </c>
      <c r="K857" s="105"/>
      <c r="L857" s="105" t="str">
        <f t="shared" si="1"/>
        <v/>
      </c>
      <c r="O857" s="106" t="str">
        <f t="shared" si="2"/>
        <v>#N/A</v>
      </c>
      <c r="P857" s="106" t="str">
        <f t="shared" si="3"/>
        <v>#N/A</v>
      </c>
      <c r="Q857" s="84" t="str">
        <f t="shared" si="4"/>
        <v>#N/A</v>
      </c>
      <c r="R857" s="84" t="str">
        <f t="shared" si="5"/>
        <v>#N/A</v>
      </c>
      <c r="S857" s="107">
        <f t="shared" si="6"/>
        <v>-0.7337</v>
      </c>
      <c r="T857" s="108">
        <f t="shared" si="7"/>
        <v>-1</v>
      </c>
      <c r="U857" s="106" t="str">
        <f t="shared" si="8"/>
        <v>#N/A</v>
      </c>
      <c r="V857" s="84" t="str">
        <f t="shared" si="9"/>
        <v/>
      </c>
      <c r="W857" s="109" t="str">
        <f t="shared" si="10"/>
        <v/>
      </c>
      <c r="X857" s="109" t="str">
        <f t="shared" si="11"/>
        <v/>
      </c>
      <c r="Y857" s="110" t="str">
        <f t="array" ref="Y857">_xlfn.XLOOKUP(A857,'Video Database'!L:L,'Video Database'!M:M,"")</f>
        <v>Bottom of Funnel</v>
      </c>
    </row>
    <row r="858" ht="22.5" customHeight="1">
      <c r="A858" s="113">
        <f t="shared" si="12"/>
        <v>857</v>
      </c>
      <c r="B858" s="98" t="str">
        <f t="array" ref="B858">_xlfn.XLOOKUP(A858,'Video Database'!L:L,'Video Database'!D:D,"")</f>
        <v>Blakely</v>
      </c>
      <c r="C858" s="98" t="str">
        <f t="array" ref="C858">_xlfn.XLOOKUP(A858,'Video Database'!L:L,'Video Database'!E:E,"")</f>
        <v>Account 2</v>
      </c>
      <c r="D858" s="99" t="str">
        <f t="array" ref="D858">_xlfn.XLOOKUP(A858,'Video Database'!L:L,'Video Database'!G:G,"")</f>
        <v>COSRX US The Copper Peptide Serum</v>
      </c>
      <c r="E858" s="100">
        <f t="array" ref="E858">_xlfn.XLOOKUP(A858,'Video Database'!L:L,'Video Database'!H:H,"")</f>
        <v>0.11</v>
      </c>
      <c r="F858" s="101">
        <v>0.0</v>
      </c>
      <c r="G858" s="87">
        <v>0.0</v>
      </c>
      <c r="H858" s="114">
        <f t="array" ref="H858">_xlfn.XLOOKUP(A858,'Video Database'!L:L,'Video Database'!A:A,"")</f>
        <v>46197</v>
      </c>
      <c r="I858" s="103">
        <v>46201.0</v>
      </c>
      <c r="J858" s="104">
        <v>0.0</v>
      </c>
      <c r="K858" s="105"/>
      <c r="L858" s="105" t="str">
        <f t="shared" si="1"/>
        <v/>
      </c>
      <c r="O858" s="106" t="str">
        <f t="shared" si="2"/>
        <v>#N/A</v>
      </c>
      <c r="P858" s="106" t="str">
        <f t="shared" si="3"/>
        <v>#N/A</v>
      </c>
      <c r="Q858" s="84" t="str">
        <f t="shared" si="4"/>
        <v>#N/A</v>
      </c>
      <c r="R858" s="84" t="str">
        <f t="shared" si="5"/>
        <v>#N/A</v>
      </c>
      <c r="S858" s="107">
        <f t="shared" si="6"/>
        <v>-0.11</v>
      </c>
      <c r="T858" s="108">
        <f t="shared" si="7"/>
        <v>-1</v>
      </c>
      <c r="U858" s="106" t="str">
        <f t="shared" si="8"/>
        <v>#N/A</v>
      </c>
      <c r="V858" s="84" t="str">
        <f t="shared" si="9"/>
        <v/>
      </c>
      <c r="W858" s="109" t="str">
        <f t="shared" si="10"/>
        <v/>
      </c>
      <c r="X858" s="109" t="str">
        <f t="shared" si="11"/>
        <v/>
      </c>
      <c r="Y858" s="110" t="str">
        <f t="array" ref="Y858">_xlfn.XLOOKUP(A858,'Video Database'!L:L,'Video Database'!M:M,"")</f>
        <v>Product Overlay</v>
      </c>
    </row>
    <row r="859" ht="22.5" customHeight="1">
      <c r="A859" s="113">
        <f t="shared" si="12"/>
        <v>858</v>
      </c>
      <c r="B859" s="98" t="str">
        <f t="array" ref="B859">_xlfn.XLOOKUP(A859,'Video Database'!L:L,'Video Database'!D:D,"")</f>
        <v>Blakely</v>
      </c>
      <c r="C859" s="98" t="str">
        <f t="array" ref="C859">_xlfn.XLOOKUP(A859,'Video Database'!L:L,'Video Database'!E:E,"")</f>
        <v>Account 2</v>
      </c>
      <c r="D859" s="99" t="str">
        <f t="array" ref="D859">_xlfn.XLOOKUP(A859,'Video Database'!L:L,'Video Database'!G:G,"")</f>
        <v>NeilMed Piercing Aftercare Spray XL</v>
      </c>
      <c r="E859" s="100">
        <f t="array" ref="E859">_xlfn.XLOOKUP(A859,'Video Database'!L:L,'Video Database'!H:H,"")</f>
        <v>0.11</v>
      </c>
      <c r="F859" s="101">
        <v>0.0</v>
      </c>
      <c r="G859" s="87">
        <v>0.0</v>
      </c>
      <c r="H859" s="114">
        <f t="array" ref="H859">_xlfn.XLOOKUP(A859,'Video Database'!L:L,'Video Database'!A:A,"")</f>
        <v>46197</v>
      </c>
      <c r="I859" s="103">
        <v>46201.0</v>
      </c>
      <c r="J859" s="104">
        <v>0.0</v>
      </c>
      <c r="K859" s="105"/>
      <c r="L859" s="105" t="str">
        <f t="shared" si="1"/>
        <v/>
      </c>
      <c r="O859" s="106" t="str">
        <f t="shared" si="2"/>
        <v>#N/A</v>
      </c>
      <c r="P859" s="106" t="str">
        <f t="shared" si="3"/>
        <v>#N/A</v>
      </c>
      <c r="Q859" s="84" t="str">
        <f t="shared" si="4"/>
        <v>#N/A</v>
      </c>
      <c r="R859" s="84" t="str">
        <f t="shared" si="5"/>
        <v>#N/A</v>
      </c>
      <c r="S859" s="107">
        <f t="shared" si="6"/>
        <v>-0.11</v>
      </c>
      <c r="T859" s="108">
        <f t="shared" si="7"/>
        <v>-1</v>
      </c>
      <c r="U859" s="106" t="str">
        <f t="shared" si="8"/>
        <v>#N/A</v>
      </c>
      <c r="V859" s="84" t="str">
        <f t="shared" si="9"/>
        <v/>
      </c>
      <c r="W859" s="109" t="str">
        <f t="shared" si="10"/>
        <v/>
      </c>
      <c r="X859" s="109" t="str">
        <f t="shared" si="11"/>
        <v/>
      </c>
      <c r="Y859" s="110" t="str">
        <f t="array" ref="Y859">_xlfn.XLOOKUP(A859,'Video Database'!L:L,'Video Database'!M:M,"")</f>
        <v>Product Overlay</v>
      </c>
    </row>
    <row r="860" ht="22.5" customHeight="1">
      <c r="A860" s="113">
        <f t="shared" si="12"/>
        <v>859</v>
      </c>
      <c r="B860" s="98" t="str">
        <f t="array" ref="B860">_xlfn.XLOOKUP(A860,'Video Database'!L:L,'Video Database'!D:D,"")</f>
        <v>Blakely</v>
      </c>
      <c r="C860" s="98" t="str">
        <f t="array" ref="C860">_xlfn.XLOOKUP(A860,'Video Database'!L:L,'Video Database'!E:E,"")</f>
        <v>Account 2</v>
      </c>
      <c r="D860" s="99" t="str">
        <f t="array" ref="D860">_xlfn.XLOOKUP(A860,'Video Database'!L:L,'Video Database'!G:G,"")</f>
        <v>Nutricost Caffine Capsules</v>
      </c>
      <c r="E860" s="100">
        <f t="array" ref="E860">_xlfn.XLOOKUP(A860,'Video Database'!L:L,'Video Database'!H:H,"")</f>
        <v>0.11</v>
      </c>
      <c r="F860" s="101">
        <v>0.0</v>
      </c>
      <c r="G860" s="87">
        <v>0.0</v>
      </c>
      <c r="H860" s="114">
        <f t="array" ref="H860">_xlfn.XLOOKUP(A860,'Video Database'!L:L,'Video Database'!A:A,"")</f>
        <v>46197</v>
      </c>
      <c r="I860" s="103">
        <v>46201.0</v>
      </c>
      <c r="J860" s="104">
        <v>0.0</v>
      </c>
      <c r="K860" s="105"/>
      <c r="L860" s="105" t="str">
        <f t="shared" si="1"/>
        <v/>
      </c>
      <c r="O860" s="106" t="str">
        <f t="shared" si="2"/>
        <v>#N/A</v>
      </c>
      <c r="P860" s="106" t="str">
        <f t="shared" si="3"/>
        <v>#N/A</v>
      </c>
      <c r="Q860" s="84" t="str">
        <f t="shared" si="4"/>
        <v>#N/A</v>
      </c>
      <c r="R860" s="84" t="str">
        <f t="shared" si="5"/>
        <v>#N/A</v>
      </c>
      <c r="S860" s="107">
        <f t="shared" si="6"/>
        <v>-0.11</v>
      </c>
      <c r="T860" s="108">
        <f t="shared" si="7"/>
        <v>-1</v>
      </c>
      <c r="U860" s="106" t="str">
        <f t="shared" si="8"/>
        <v>#N/A</v>
      </c>
      <c r="V860" s="84" t="str">
        <f t="shared" si="9"/>
        <v/>
      </c>
      <c r="W860" s="109" t="str">
        <f t="shared" si="10"/>
        <v/>
      </c>
      <c r="X860" s="109" t="str">
        <f t="shared" si="11"/>
        <v/>
      </c>
      <c r="Y860" s="110" t="str">
        <f t="array" ref="Y860">_xlfn.XLOOKUP(A860,'Video Database'!L:L,'Video Database'!M:M,"")</f>
        <v>Product Overlay</v>
      </c>
    </row>
    <row r="861" ht="22.5" customHeight="1">
      <c r="A861" s="113">
        <f t="shared" si="12"/>
        <v>860</v>
      </c>
      <c r="B861" s="98" t="str">
        <f t="array" ref="B861">_xlfn.XLOOKUP(A861,'Video Database'!L:L,'Video Database'!D:D,"")</f>
        <v>Blakely</v>
      </c>
      <c r="C861" s="98" t="str">
        <f t="array" ref="C861">_xlfn.XLOOKUP(A861,'Video Database'!L:L,'Video Database'!E:E,"")</f>
        <v>Account 2</v>
      </c>
      <c r="D861" s="99" t="str">
        <f t="array" ref="D861">_xlfn.XLOOKUP(A861,'Video Database'!L:L,'Video Database'!G:G,"")</f>
        <v>Gorilla Mode Base Preworkout</v>
      </c>
      <c r="E861" s="100">
        <f t="array" ref="E861">_xlfn.XLOOKUP(A861,'Video Database'!L:L,'Video Database'!H:H,"")</f>
        <v>0.11</v>
      </c>
      <c r="F861" s="101">
        <v>0.0</v>
      </c>
      <c r="G861" s="87">
        <v>0.0</v>
      </c>
      <c r="H861" s="114">
        <f t="array" ref="H861">_xlfn.XLOOKUP(A861,'Video Database'!L:L,'Video Database'!A:A,"")</f>
        <v>46197</v>
      </c>
      <c r="I861" s="103">
        <v>46201.0</v>
      </c>
      <c r="J861" s="104">
        <v>0.0</v>
      </c>
      <c r="K861" s="105"/>
      <c r="L861" s="105" t="str">
        <f t="shared" si="1"/>
        <v/>
      </c>
      <c r="O861" s="106" t="str">
        <f t="shared" si="2"/>
        <v>#N/A</v>
      </c>
      <c r="P861" s="106" t="str">
        <f t="shared" si="3"/>
        <v>#N/A</v>
      </c>
      <c r="Q861" s="84" t="str">
        <f t="shared" si="4"/>
        <v>#N/A</v>
      </c>
      <c r="R861" s="84" t="str">
        <f t="shared" si="5"/>
        <v>#N/A</v>
      </c>
      <c r="S861" s="107">
        <f t="shared" si="6"/>
        <v>-0.11</v>
      </c>
      <c r="T861" s="108">
        <f t="shared" si="7"/>
        <v>-1</v>
      </c>
      <c r="U861" s="106" t="str">
        <f t="shared" si="8"/>
        <v>#N/A</v>
      </c>
      <c r="V861" s="84" t="str">
        <f t="shared" si="9"/>
        <v/>
      </c>
      <c r="W861" s="109" t="str">
        <f t="shared" si="10"/>
        <v/>
      </c>
      <c r="X861" s="109" t="str">
        <f t="shared" si="11"/>
        <v/>
      </c>
      <c r="Y861" s="110" t="str">
        <f t="array" ref="Y861">_xlfn.XLOOKUP(A861,'Video Database'!L:L,'Video Database'!M:M,"")</f>
        <v>Product Overlay</v>
      </c>
    </row>
    <row r="862" ht="22.5" customHeight="1">
      <c r="A862" s="113">
        <f t="shared" si="12"/>
        <v>861</v>
      </c>
      <c r="B862" s="98" t="str">
        <f t="array" ref="B862">_xlfn.XLOOKUP(A862,'Video Database'!L:L,'Video Database'!D:D,"")</f>
        <v>Blakely</v>
      </c>
      <c r="C862" s="98" t="str">
        <f t="array" ref="C862">_xlfn.XLOOKUP(A862,'Video Database'!L:L,'Video Database'!E:E,"")</f>
        <v>Account 2</v>
      </c>
      <c r="D862" s="99" t="str">
        <f t="array" ref="D862">_xlfn.XLOOKUP(A862,'Video Database'!L:L,'Video Database'!G:G,"")</f>
        <v>Ekkovision Lifting Straps (D-ring)</v>
      </c>
      <c r="E862" s="100">
        <f t="array" ref="E862">_xlfn.XLOOKUP(A862,'Video Database'!L:L,'Video Database'!H:H,"")</f>
        <v>0.11</v>
      </c>
      <c r="F862" s="101">
        <v>0.0</v>
      </c>
      <c r="G862" s="87">
        <v>0.0</v>
      </c>
      <c r="H862" s="114">
        <f t="array" ref="H862">_xlfn.XLOOKUP(A862,'Video Database'!L:L,'Video Database'!A:A,"")</f>
        <v>46197</v>
      </c>
      <c r="I862" s="103">
        <v>46201.0</v>
      </c>
      <c r="J862" s="104">
        <v>0.0</v>
      </c>
      <c r="K862" s="105"/>
      <c r="L862" s="105" t="str">
        <f t="shared" si="1"/>
        <v/>
      </c>
      <c r="O862" s="106" t="str">
        <f t="shared" si="2"/>
        <v>#N/A</v>
      </c>
      <c r="P862" s="106" t="str">
        <f t="shared" si="3"/>
        <v>#N/A</v>
      </c>
      <c r="Q862" s="84" t="str">
        <f t="shared" si="4"/>
        <v>#N/A</v>
      </c>
      <c r="R862" s="84" t="str">
        <f t="shared" si="5"/>
        <v>#N/A</v>
      </c>
      <c r="S862" s="107">
        <f t="shared" si="6"/>
        <v>-0.11</v>
      </c>
      <c r="T862" s="108">
        <f t="shared" si="7"/>
        <v>-1</v>
      </c>
      <c r="U862" s="106" t="str">
        <f t="shared" si="8"/>
        <v>#N/A</v>
      </c>
      <c r="V862" s="84" t="str">
        <f t="shared" si="9"/>
        <v/>
      </c>
      <c r="W862" s="109" t="str">
        <f t="shared" si="10"/>
        <v/>
      </c>
      <c r="X862" s="109" t="str">
        <f t="shared" si="11"/>
        <v/>
      </c>
      <c r="Y862" s="110" t="str">
        <f t="array" ref="Y862">_xlfn.XLOOKUP(A862,'Video Database'!L:L,'Video Database'!M:M,"")</f>
        <v>Product Overlay</v>
      </c>
    </row>
    <row r="863" ht="22.5" customHeight="1">
      <c r="A863" s="113">
        <f t="shared" si="12"/>
        <v>862</v>
      </c>
      <c r="B863" s="98" t="str">
        <f t="array" ref="B863">_xlfn.XLOOKUP(A863,'Video Database'!L:L,'Video Database'!D:D,"")</f>
        <v>Erin</v>
      </c>
      <c r="C863" s="98" t="str">
        <f t="array" ref="C863">_xlfn.XLOOKUP(A863,'Video Database'!L:L,'Video Database'!E:E,"")</f>
        <v>Account 2</v>
      </c>
      <c r="D863" s="99" t="str">
        <f t="array" ref="D863">_xlfn.XLOOKUP(A863,'Video Database'!L:L,'Video Database'!G:G,"")</f>
        <v>Camellia Deep Collagen Lifting Gel Mask</v>
      </c>
      <c r="E863" s="100">
        <f t="array" ref="E863">_xlfn.XLOOKUP(A863,'Video Database'!L:L,'Video Database'!H:H,"")</f>
        <v>0.7337</v>
      </c>
      <c r="F863" s="101">
        <v>0.0</v>
      </c>
      <c r="G863" s="87">
        <v>0.0</v>
      </c>
      <c r="H863" s="114">
        <f t="array" ref="H863">_xlfn.XLOOKUP(A863,'Video Database'!L:L,'Video Database'!A:A,"")</f>
        <v>46197</v>
      </c>
      <c r="I863" s="103">
        <v>46201.0</v>
      </c>
      <c r="J863" s="104">
        <v>0.0</v>
      </c>
      <c r="K863" s="105"/>
      <c r="L863" s="105" t="str">
        <f t="shared" si="1"/>
        <v/>
      </c>
      <c r="O863" s="106" t="str">
        <f t="shared" si="2"/>
        <v>#N/A</v>
      </c>
      <c r="P863" s="106" t="str">
        <f t="shared" si="3"/>
        <v>#N/A</v>
      </c>
      <c r="Q863" s="84" t="str">
        <f t="shared" si="4"/>
        <v>#N/A</v>
      </c>
      <c r="R863" s="84" t="str">
        <f t="shared" si="5"/>
        <v>#N/A</v>
      </c>
      <c r="S863" s="107">
        <f t="shared" si="6"/>
        <v>-0.7337</v>
      </c>
      <c r="T863" s="108">
        <f t="shared" si="7"/>
        <v>-1</v>
      </c>
      <c r="U863" s="106" t="str">
        <f t="shared" si="8"/>
        <v>#N/A</v>
      </c>
      <c r="V863" s="84" t="str">
        <f t="shared" si="9"/>
        <v/>
      </c>
      <c r="W863" s="109" t="str">
        <f t="shared" si="10"/>
        <v/>
      </c>
      <c r="X863" s="109" t="str">
        <f t="shared" si="11"/>
        <v/>
      </c>
      <c r="Y863" s="110" t="str">
        <f t="array" ref="Y863">_xlfn.XLOOKUP(A863,'Video Database'!L:L,'Video Database'!M:M,"")</f>
        <v>Bottom of Funnel</v>
      </c>
    </row>
    <row r="864" ht="22.5" customHeight="1">
      <c r="A864" s="113">
        <f t="shared" si="12"/>
        <v>863</v>
      </c>
      <c r="B864" s="98" t="str">
        <f t="array" ref="B864">_xlfn.XLOOKUP(A864,'Video Database'!L:L,'Video Database'!D:D,"")</f>
        <v>Blakely</v>
      </c>
      <c r="C864" s="98" t="str">
        <f t="array" ref="C864">_xlfn.XLOOKUP(A864,'Video Database'!L:L,'Video Database'!E:E,"")</f>
        <v>Account 2</v>
      </c>
      <c r="D864" s="99" t="str">
        <f t="array" ref="D864">_xlfn.XLOOKUP(A864,'Video Database'!L:L,'Video Database'!G:G,"")</f>
        <v>RAW Nutrition Bum Essential Preworkout</v>
      </c>
      <c r="E864" s="100">
        <f t="array" ref="E864">_xlfn.XLOOKUP(A864,'Video Database'!L:L,'Video Database'!H:H,"")</f>
        <v>0.11</v>
      </c>
      <c r="F864" s="101">
        <v>0.0</v>
      </c>
      <c r="G864" s="87">
        <v>0.0</v>
      </c>
      <c r="H864" s="114">
        <f t="array" ref="H864">_xlfn.XLOOKUP(A864,'Video Database'!L:L,'Video Database'!A:A,"")</f>
        <v>46197</v>
      </c>
      <c r="I864" s="103">
        <v>46201.0</v>
      </c>
      <c r="J864" s="104">
        <v>0.0</v>
      </c>
      <c r="K864" s="105"/>
      <c r="L864" s="105" t="str">
        <f t="shared" si="1"/>
        <v/>
      </c>
      <c r="O864" s="106" t="str">
        <f t="shared" si="2"/>
        <v>#N/A</v>
      </c>
      <c r="P864" s="106" t="str">
        <f t="shared" si="3"/>
        <v>#N/A</v>
      </c>
      <c r="Q864" s="84" t="str">
        <f t="shared" si="4"/>
        <v>#N/A</v>
      </c>
      <c r="R864" s="84" t="str">
        <f t="shared" si="5"/>
        <v>#N/A</v>
      </c>
      <c r="S864" s="107">
        <f t="shared" si="6"/>
        <v>-0.11</v>
      </c>
      <c r="T864" s="108">
        <f t="shared" si="7"/>
        <v>-1</v>
      </c>
      <c r="U864" s="106" t="str">
        <f t="shared" si="8"/>
        <v>#N/A</v>
      </c>
      <c r="V864" s="84" t="str">
        <f t="shared" si="9"/>
        <v/>
      </c>
      <c r="W864" s="109" t="str">
        <f t="shared" si="10"/>
        <v/>
      </c>
      <c r="X864" s="109" t="str">
        <f t="shared" si="11"/>
        <v/>
      </c>
      <c r="Y864" s="110" t="str">
        <f t="array" ref="Y864">_xlfn.XLOOKUP(A864,'Video Database'!L:L,'Video Database'!M:M,"")</f>
        <v>Product Overlay</v>
      </c>
    </row>
    <row r="865" ht="22.5" customHeight="1">
      <c r="A865" s="113">
        <f t="shared" si="12"/>
        <v>864</v>
      </c>
      <c r="B865" s="98" t="str">
        <f t="array" ref="B865">_xlfn.XLOOKUP(A865,'Video Database'!L:L,'Video Database'!D:D,"")</f>
        <v>Blakely</v>
      </c>
      <c r="C865" s="98" t="str">
        <f t="array" ref="C865">_xlfn.XLOOKUP(A865,'Video Database'!L:L,'Video Database'!E:E,"")</f>
        <v>Account 3</v>
      </c>
      <c r="D865" s="99" t="str">
        <f t="array" ref="D865">_xlfn.XLOOKUP(A865,'Video Database'!L:L,'Video Database'!G:G,"")</f>
        <v>Portable Magnetic Phone Mount</v>
      </c>
      <c r="E865" s="100">
        <f t="array" ref="E865">_xlfn.XLOOKUP(A865,'Video Database'!L:L,'Video Database'!H:H,"")</f>
        <v>0.11</v>
      </c>
      <c r="F865" s="101">
        <v>0.0</v>
      </c>
      <c r="G865" s="87">
        <v>0.0</v>
      </c>
      <c r="H865" s="114">
        <f t="array" ref="H865">_xlfn.XLOOKUP(A865,'Video Database'!L:L,'Video Database'!A:A,"")</f>
        <v>46197</v>
      </c>
      <c r="I865" s="103">
        <v>46201.0</v>
      </c>
      <c r="J865" s="104">
        <v>0.0</v>
      </c>
      <c r="K865" s="105"/>
      <c r="L865" s="105" t="str">
        <f t="shared" si="1"/>
        <v/>
      </c>
      <c r="O865" s="106" t="str">
        <f t="shared" si="2"/>
        <v>#N/A</v>
      </c>
      <c r="P865" s="106" t="str">
        <f t="shared" si="3"/>
        <v>#N/A</v>
      </c>
      <c r="Q865" s="84" t="str">
        <f t="shared" si="4"/>
        <v>#N/A</v>
      </c>
      <c r="R865" s="84" t="str">
        <f t="shared" si="5"/>
        <v>#N/A</v>
      </c>
      <c r="S865" s="107">
        <f t="shared" si="6"/>
        <v>-0.11</v>
      </c>
      <c r="T865" s="108">
        <f t="shared" si="7"/>
        <v>-1</v>
      </c>
      <c r="U865" s="106" t="str">
        <f t="shared" si="8"/>
        <v>#N/A</v>
      </c>
      <c r="V865" s="84" t="str">
        <f t="shared" si="9"/>
        <v/>
      </c>
      <c r="W865" s="109" t="str">
        <f t="shared" si="10"/>
        <v/>
      </c>
      <c r="X865" s="109" t="str">
        <f t="shared" si="11"/>
        <v/>
      </c>
      <c r="Y865" s="110" t="str">
        <f t="array" ref="Y865">_xlfn.XLOOKUP(A865,'Video Database'!L:L,'Video Database'!M:M,"")</f>
        <v>Product Overlay</v>
      </c>
    </row>
    <row r="866" ht="22.5" customHeight="1">
      <c r="A866" s="113">
        <f t="shared" si="12"/>
        <v>865</v>
      </c>
      <c r="B866" s="98" t="str">
        <f t="array" ref="B866">_xlfn.XLOOKUP(A866,'Video Database'!L:L,'Video Database'!D:D,"")</f>
        <v>Erin</v>
      </c>
      <c r="C866" s="98" t="str">
        <f t="array" ref="C866">_xlfn.XLOOKUP(A866,'Video Database'!L:L,'Video Database'!E:E,"")</f>
        <v>Account 3</v>
      </c>
      <c r="D866" s="99" t="str">
        <f t="array" ref="D866">_xlfn.XLOOKUP(A866,'Video Database'!L:L,'Video Database'!G:G,"")</f>
        <v>Medicube Kojic Accid Tumeric Power Duo</v>
      </c>
      <c r="E866" s="100">
        <f t="array" ref="E866">_xlfn.XLOOKUP(A866,'Video Database'!L:L,'Video Database'!H:H,"")</f>
        <v>0.7337</v>
      </c>
      <c r="F866" s="101">
        <v>0.0</v>
      </c>
      <c r="G866" s="87">
        <v>0.0</v>
      </c>
      <c r="H866" s="114">
        <f t="array" ref="H866">_xlfn.XLOOKUP(A866,'Video Database'!L:L,'Video Database'!A:A,"")</f>
        <v>46197</v>
      </c>
      <c r="I866" s="103">
        <v>46201.0</v>
      </c>
      <c r="J866" s="104">
        <v>0.0</v>
      </c>
      <c r="K866" s="105"/>
      <c r="L866" s="105" t="str">
        <f t="shared" si="1"/>
        <v/>
      </c>
      <c r="O866" s="106" t="str">
        <f t="shared" si="2"/>
        <v>#N/A</v>
      </c>
      <c r="P866" s="106" t="str">
        <f t="shared" si="3"/>
        <v>#N/A</v>
      </c>
      <c r="Q866" s="84" t="str">
        <f t="shared" si="4"/>
        <v>#N/A</v>
      </c>
      <c r="R866" s="84" t="str">
        <f t="shared" si="5"/>
        <v>#N/A</v>
      </c>
      <c r="S866" s="107">
        <f t="shared" si="6"/>
        <v>-0.7337</v>
      </c>
      <c r="T866" s="108">
        <f t="shared" si="7"/>
        <v>-1</v>
      </c>
      <c r="U866" s="106" t="str">
        <f t="shared" si="8"/>
        <v>#N/A</v>
      </c>
      <c r="V866" s="84" t="str">
        <f t="shared" si="9"/>
        <v/>
      </c>
      <c r="W866" s="109" t="str">
        <f t="shared" si="10"/>
        <v/>
      </c>
      <c r="X866" s="109" t="str">
        <f t="shared" si="11"/>
        <v/>
      </c>
      <c r="Y866" s="110" t="str">
        <f t="array" ref="Y866">_xlfn.XLOOKUP(A866,'Video Database'!L:L,'Video Database'!M:M,"")</f>
        <v>Bottom of Funnel</v>
      </c>
    </row>
    <row r="867" ht="22.5" customHeight="1">
      <c r="A867" s="113">
        <f t="shared" si="12"/>
        <v>866</v>
      </c>
      <c r="B867" s="98" t="str">
        <f t="array" ref="B867">_xlfn.XLOOKUP(A867,'Video Database'!L:L,'Video Database'!D:D,"")</f>
        <v>Erin</v>
      </c>
      <c r="C867" s="98" t="str">
        <f t="array" ref="C867">_xlfn.XLOOKUP(A867,'Video Database'!L:L,'Video Database'!E:E,"")</f>
        <v>Account 3</v>
      </c>
      <c r="D867" s="99" t="str">
        <f t="array" ref="D867">_xlfn.XLOOKUP(A867,'Video Database'!L:L,'Video Database'!G:G,"")</f>
        <v>Color Wow Quick Refresh and Styling Bundle</v>
      </c>
      <c r="E867" s="100">
        <f t="array" ref="E867">_xlfn.XLOOKUP(A867,'Video Database'!L:L,'Video Database'!H:H,"")</f>
        <v>0.7337</v>
      </c>
      <c r="F867" s="101">
        <v>0.0</v>
      </c>
      <c r="G867" s="87">
        <v>0.0</v>
      </c>
      <c r="H867" s="114">
        <f t="array" ref="H867">_xlfn.XLOOKUP(A867,'Video Database'!L:L,'Video Database'!A:A,"")</f>
        <v>46197</v>
      </c>
      <c r="I867" s="103">
        <v>46201.0</v>
      </c>
      <c r="J867" s="104">
        <v>0.0</v>
      </c>
      <c r="K867" s="105"/>
      <c r="L867" s="105" t="str">
        <f t="shared" si="1"/>
        <v/>
      </c>
      <c r="O867" s="106" t="str">
        <f t="shared" si="2"/>
        <v>#N/A</v>
      </c>
      <c r="P867" s="106" t="str">
        <f t="shared" si="3"/>
        <v>#N/A</v>
      </c>
      <c r="Q867" s="84" t="str">
        <f t="shared" si="4"/>
        <v>#N/A</v>
      </c>
      <c r="R867" s="84" t="str">
        <f t="shared" si="5"/>
        <v>#N/A</v>
      </c>
      <c r="S867" s="107">
        <f t="shared" si="6"/>
        <v>-0.7337</v>
      </c>
      <c r="T867" s="108">
        <f t="shared" si="7"/>
        <v>-1</v>
      </c>
      <c r="U867" s="106" t="str">
        <f t="shared" si="8"/>
        <v>#N/A</v>
      </c>
      <c r="V867" s="84" t="str">
        <f t="shared" si="9"/>
        <v/>
      </c>
      <c r="W867" s="109" t="str">
        <f t="shared" si="10"/>
        <v/>
      </c>
      <c r="X867" s="109" t="str">
        <f t="shared" si="11"/>
        <v/>
      </c>
      <c r="Y867" s="110" t="str">
        <f t="array" ref="Y867">_xlfn.XLOOKUP(A867,'Video Database'!L:L,'Video Database'!M:M,"")</f>
        <v>Bottom of Funnel</v>
      </c>
    </row>
    <row r="868" ht="22.5" customHeight="1">
      <c r="A868" s="113">
        <f t="shared" si="12"/>
        <v>867</v>
      </c>
      <c r="B868" s="98" t="str">
        <f t="array" ref="B868">_xlfn.XLOOKUP(A868,'Video Database'!L:L,'Video Database'!D:D,"")</f>
        <v>Blakely</v>
      </c>
      <c r="C868" s="98" t="str">
        <f t="array" ref="C868">_xlfn.XLOOKUP(A868,'Video Database'!L:L,'Video Database'!E:E,"")</f>
        <v>Account 3</v>
      </c>
      <c r="D868" s="99" t="str">
        <f t="array" ref="D868">_xlfn.XLOOKUP(A868,'Video Database'!L:L,'Video Database'!G:G,"")</f>
        <v>Beast Bites Creatine Gummies</v>
      </c>
      <c r="E868" s="100">
        <f t="array" ref="E868">_xlfn.XLOOKUP(A868,'Video Database'!L:L,'Video Database'!H:H,"")</f>
        <v>0.11</v>
      </c>
      <c r="F868" s="101">
        <v>0.0</v>
      </c>
      <c r="G868" s="87">
        <v>0.0</v>
      </c>
      <c r="H868" s="114">
        <f t="array" ref="H868">_xlfn.XLOOKUP(A868,'Video Database'!L:L,'Video Database'!A:A,"")</f>
        <v>46197</v>
      </c>
      <c r="I868" s="103">
        <v>46201.0</v>
      </c>
      <c r="J868" s="104">
        <v>0.0</v>
      </c>
      <c r="K868" s="105"/>
      <c r="L868" s="105" t="str">
        <f t="shared" si="1"/>
        <v/>
      </c>
      <c r="O868" s="106" t="str">
        <f t="shared" si="2"/>
        <v>#N/A</v>
      </c>
      <c r="P868" s="106" t="str">
        <f t="shared" si="3"/>
        <v>#N/A</v>
      </c>
      <c r="Q868" s="84" t="str">
        <f t="shared" si="4"/>
        <v>#N/A</v>
      </c>
      <c r="R868" s="84" t="str">
        <f t="shared" si="5"/>
        <v>#N/A</v>
      </c>
      <c r="S868" s="107">
        <f t="shared" si="6"/>
        <v>-0.11</v>
      </c>
      <c r="T868" s="108">
        <f t="shared" si="7"/>
        <v>-1</v>
      </c>
      <c r="U868" s="106" t="str">
        <f t="shared" si="8"/>
        <v>#N/A</v>
      </c>
      <c r="V868" s="84" t="str">
        <f t="shared" si="9"/>
        <v/>
      </c>
      <c r="W868" s="109" t="str">
        <f t="shared" si="10"/>
        <v/>
      </c>
      <c r="X868" s="109" t="str">
        <f t="shared" si="11"/>
        <v/>
      </c>
      <c r="Y868" s="110" t="str">
        <f t="array" ref="Y868">_xlfn.XLOOKUP(A868,'Video Database'!L:L,'Video Database'!M:M,"")</f>
        <v>Product Overlay</v>
      </c>
    </row>
    <row r="869" ht="22.5" customHeight="1">
      <c r="A869" s="113">
        <f t="shared" si="12"/>
        <v>868</v>
      </c>
      <c r="B869" s="98" t="str">
        <f t="array" ref="B869">_xlfn.XLOOKUP(A869,'Video Database'!L:L,'Video Database'!D:D,"")</f>
        <v>Blakely</v>
      </c>
      <c r="C869" s="98" t="str">
        <f t="array" ref="C869">_xlfn.XLOOKUP(A869,'Video Database'!L:L,'Video Database'!E:E,"")</f>
        <v>Account 3</v>
      </c>
      <c r="D869" s="99" t="str">
        <f t="array" ref="D869">_xlfn.XLOOKUP(A869,'Video Database'!L:L,'Video Database'!G:G,"")</f>
        <v>Beast Bites Creatine Gummies</v>
      </c>
      <c r="E869" s="100">
        <f t="array" ref="E869">_xlfn.XLOOKUP(A869,'Video Database'!L:L,'Video Database'!H:H,"")</f>
        <v>0.11</v>
      </c>
      <c r="F869" s="101">
        <v>0.0</v>
      </c>
      <c r="G869" s="87">
        <v>0.0</v>
      </c>
      <c r="H869" s="114">
        <f t="array" ref="H869">_xlfn.XLOOKUP(A869,'Video Database'!L:L,'Video Database'!A:A,"")</f>
        <v>46197</v>
      </c>
      <c r="I869" s="103">
        <v>46201.0</v>
      </c>
      <c r="J869" s="104">
        <v>0.0</v>
      </c>
      <c r="K869" s="105"/>
      <c r="L869" s="105" t="str">
        <f t="shared" si="1"/>
        <v/>
      </c>
      <c r="O869" s="106" t="str">
        <f t="shared" si="2"/>
        <v>#N/A</v>
      </c>
      <c r="P869" s="106" t="str">
        <f t="shared" si="3"/>
        <v>#N/A</v>
      </c>
      <c r="Q869" s="84" t="str">
        <f t="shared" si="4"/>
        <v>#N/A</v>
      </c>
      <c r="R869" s="84" t="str">
        <f t="shared" si="5"/>
        <v>#N/A</v>
      </c>
      <c r="S869" s="107">
        <f t="shared" si="6"/>
        <v>-0.11</v>
      </c>
      <c r="T869" s="108">
        <f t="shared" si="7"/>
        <v>-1</v>
      </c>
      <c r="U869" s="106" t="str">
        <f t="shared" si="8"/>
        <v>#N/A</v>
      </c>
      <c r="V869" s="84" t="str">
        <f t="shared" si="9"/>
        <v/>
      </c>
      <c r="W869" s="109" t="str">
        <f t="shared" si="10"/>
        <v/>
      </c>
      <c r="X869" s="109" t="str">
        <f t="shared" si="11"/>
        <v/>
      </c>
      <c r="Y869" s="110" t="str">
        <f t="array" ref="Y869">_xlfn.XLOOKUP(A869,'Video Database'!L:L,'Video Database'!M:M,"")</f>
        <v>Product Overlay</v>
      </c>
    </row>
    <row r="870" ht="22.5" customHeight="1">
      <c r="A870" s="113">
        <f t="shared" si="12"/>
        <v>869</v>
      </c>
      <c r="B870" s="98" t="str">
        <f t="array" ref="B870">_xlfn.XLOOKUP(A870,'Video Database'!L:L,'Video Database'!D:D,"")</f>
        <v>Erin</v>
      </c>
      <c r="C870" s="98" t="str">
        <f t="array" ref="C870">_xlfn.XLOOKUP(A870,'Video Database'!L:L,'Video Database'!E:E,"")</f>
        <v>Account 3</v>
      </c>
      <c r="D870" s="99" t="str">
        <f t="array" ref="D870">_xlfn.XLOOKUP(A870,'Video Database'!L:L,'Video Database'!G:G,"")</f>
        <v>Medicube Kojic Accid Tumeric Power Duo</v>
      </c>
      <c r="E870" s="100">
        <f t="array" ref="E870">_xlfn.XLOOKUP(A870,'Video Database'!L:L,'Video Database'!H:H,"")</f>
        <v>0.7337</v>
      </c>
      <c r="F870" s="101">
        <v>0.0</v>
      </c>
      <c r="G870" s="87">
        <v>0.0</v>
      </c>
      <c r="H870" s="114">
        <f t="array" ref="H870">_xlfn.XLOOKUP(A870,'Video Database'!L:L,'Video Database'!A:A,"")</f>
        <v>46197</v>
      </c>
      <c r="I870" s="103">
        <v>46201.0</v>
      </c>
      <c r="J870" s="104">
        <v>0.0</v>
      </c>
      <c r="K870" s="105"/>
      <c r="L870" s="105" t="str">
        <f t="shared" si="1"/>
        <v/>
      </c>
      <c r="O870" s="106" t="str">
        <f t="shared" si="2"/>
        <v>#N/A</v>
      </c>
      <c r="P870" s="106" t="str">
        <f t="shared" si="3"/>
        <v>#N/A</v>
      </c>
      <c r="Q870" s="84" t="str">
        <f t="shared" si="4"/>
        <v>#N/A</v>
      </c>
      <c r="R870" s="84" t="str">
        <f t="shared" si="5"/>
        <v>#N/A</v>
      </c>
      <c r="S870" s="107">
        <f t="shared" si="6"/>
        <v>-0.7337</v>
      </c>
      <c r="T870" s="108">
        <f t="shared" si="7"/>
        <v>-1</v>
      </c>
      <c r="U870" s="106" t="str">
        <f t="shared" si="8"/>
        <v>#N/A</v>
      </c>
      <c r="V870" s="84" t="str">
        <f t="shared" si="9"/>
        <v/>
      </c>
      <c r="W870" s="109" t="str">
        <f t="shared" si="10"/>
        <v/>
      </c>
      <c r="X870" s="109" t="str">
        <f t="shared" si="11"/>
        <v/>
      </c>
      <c r="Y870" s="110" t="str">
        <f t="array" ref="Y870">_xlfn.XLOOKUP(A870,'Video Database'!L:L,'Video Database'!M:M,"")</f>
        <v>Bottom of Funnel</v>
      </c>
    </row>
    <row r="871" ht="22.5" customHeight="1">
      <c r="A871" s="113">
        <f t="shared" si="12"/>
        <v>870</v>
      </c>
      <c r="B871" s="98" t="str">
        <f t="array" ref="B871">_xlfn.XLOOKUP(A871,'Video Database'!L:L,'Video Database'!D:D,"")</f>
        <v>Erin</v>
      </c>
      <c r="C871" s="98" t="str">
        <f t="array" ref="C871">_xlfn.XLOOKUP(A871,'Video Database'!L:L,'Video Database'!E:E,"")</f>
        <v>Account 3</v>
      </c>
      <c r="D871" s="99" t="str">
        <f t="array" ref="D871">_xlfn.XLOOKUP(A871,'Video Database'!L:L,'Video Database'!G:G,"")</f>
        <v>Medicube Kojic Accid Tumeric Power Duo</v>
      </c>
      <c r="E871" s="100">
        <f t="array" ref="E871">_xlfn.XLOOKUP(A871,'Video Database'!L:L,'Video Database'!H:H,"")</f>
        <v>0.7337</v>
      </c>
      <c r="F871" s="101">
        <v>0.0</v>
      </c>
      <c r="G871" s="87">
        <v>0.0</v>
      </c>
      <c r="H871" s="114">
        <f t="array" ref="H871">_xlfn.XLOOKUP(A871,'Video Database'!L:L,'Video Database'!A:A,"")</f>
        <v>46197</v>
      </c>
      <c r="I871" s="103">
        <v>46201.0</v>
      </c>
      <c r="J871" s="104">
        <v>0.0</v>
      </c>
      <c r="K871" s="105"/>
      <c r="L871" s="105" t="str">
        <f t="shared" si="1"/>
        <v/>
      </c>
      <c r="O871" s="106" t="str">
        <f t="shared" si="2"/>
        <v>#N/A</v>
      </c>
      <c r="P871" s="106" t="str">
        <f t="shared" si="3"/>
        <v>#N/A</v>
      </c>
      <c r="Q871" s="84" t="str">
        <f t="shared" si="4"/>
        <v>#N/A</v>
      </c>
      <c r="R871" s="84" t="str">
        <f t="shared" si="5"/>
        <v>#N/A</v>
      </c>
      <c r="S871" s="107">
        <f t="shared" si="6"/>
        <v>-0.7337</v>
      </c>
      <c r="T871" s="108">
        <f t="shared" si="7"/>
        <v>-1</v>
      </c>
      <c r="U871" s="106" t="str">
        <f t="shared" si="8"/>
        <v>#N/A</v>
      </c>
      <c r="V871" s="84" t="str">
        <f t="shared" si="9"/>
        <v/>
      </c>
      <c r="W871" s="109" t="str">
        <f t="shared" si="10"/>
        <v/>
      </c>
      <c r="X871" s="109" t="str">
        <f t="shared" si="11"/>
        <v/>
      </c>
      <c r="Y871" s="110" t="str">
        <f t="array" ref="Y871">_xlfn.XLOOKUP(A871,'Video Database'!L:L,'Video Database'!M:M,"")</f>
        <v>Bottom of Funnel</v>
      </c>
    </row>
    <row r="872" ht="22.5" customHeight="1">
      <c r="A872" s="113">
        <f t="shared" si="12"/>
        <v>871</v>
      </c>
      <c r="B872" s="98" t="str">
        <f t="array" ref="B872">_xlfn.XLOOKUP(A872,'Video Database'!L:L,'Video Database'!D:D,"")</f>
        <v>Erin</v>
      </c>
      <c r="C872" s="98" t="str">
        <f t="array" ref="C872">_xlfn.XLOOKUP(A872,'Video Database'!L:L,'Video Database'!E:E,"")</f>
        <v>Account 3</v>
      </c>
      <c r="D872" s="99" t="str">
        <f t="array" ref="D872">_xlfn.XLOOKUP(A872,'Video Database'!L:L,'Video Database'!G:G,"")</f>
        <v>Color Wow Quick Refresh and Styling Bundle</v>
      </c>
      <c r="E872" s="100">
        <f t="array" ref="E872">_xlfn.XLOOKUP(A872,'Video Database'!L:L,'Video Database'!H:H,"")</f>
        <v>0.7337</v>
      </c>
      <c r="F872" s="101">
        <v>0.0</v>
      </c>
      <c r="G872" s="87">
        <v>0.0</v>
      </c>
      <c r="H872" s="114">
        <f t="array" ref="H872">_xlfn.XLOOKUP(A872,'Video Database'!L:L,'Video Database'!A:A,"")</f>
        <v>46197</v>
      </c>
      <c r="I872" s="103">
        <v>46201.0</v>
      </c>
      <c r="J872" s="104">
        <v>0.0</v>
      </c>
      <c r="K872" s="105"/>
      <c r="L872" s="105" t="str">
        <f t="shared" si="1"/>
        <v/>
      </c>
      <c r="O872" s="106" t="str">
        <f t="shared" si="2"/>
        <v>#N/A</v>
      </c>
      <c r="P872" s="106" t="str">
        <f t="shared" si="3"/>
        <v>#N/A</v>
      </c>
      <c r="Q872" s="84" t="str">
        <f t="shared" si="4"/>
        <v>#N/A</v>
      </c>
      <c r="R872" s="84" t="str">
        <f t="shared" si="5"/>
        <v>#N/A</v>
      </c>
      <c r="S872" s="107">
        <f t="shared" si="6"/>
        <v>-0.7337</v>
      </c>
      <c r="T872" s="108">
        <f t="shared" si="7"/>
        <v>-1</v>
      </c>
      <c r="U872" s="106" t="str">
        <f t="shared" si="8"/>
        <v>#N/A</v>
      </c>
      <c r="V872" s="84" t="str">
        <f t="shared" si="9"/>
        <v/>
      </c>
      <c r="W872" s="109" t="str">
        <f t="shared" si="10"/>
        <v/>
      </c>
      <c r="X872" s="109" t="str">
        <f t="shared" si="11"/>
        <v/>
      </c>
      <c r="Y872" s="110" t="str">
        <f t="array" ref="Y872">_xlfn.XLOOKUP(A872,'Video Database'!L:L,'Video Database'!M:M,"")</f>
        <v>Bottom of Funnel</v>
      </c>
    </row>
    <row r="873" ht="22.5" customHeight="1">
      <c r="A873" s="113">
        <f t="shared" si="12"/>
        <v>872</v>
      </c>
      <c r="B873" s="98" t="str">
        <f t="array" ref="B873">_xlfn.XLOOKUP(A873,'Video Database'!L:L,'Video Database'!D:D,"")</f>
        <v>Erin</v>
      </c>
      <c r="C873" s="98" t="str">
        <f t="array" ref="C873">_xlfn.XLOOKUP(A873,'Video Database'!L:L,'Video Database'!E:E,"")</f>
        <v>Account 3</v>
      </c>
      <c r="D873" s="99" t="str">
        <f t="array" ref="D873">_xlfn.XLOOKUP(A873,'Video Database'!L:L,'Video Database'!G:G,"")</f>
        <v>Color Wow Quick Refresh and Styling Bundle</v>
      </c>
      <c r="E873" s="100">
        <f t="array" ref="E873">_xlfn.XLOOKUP(A873,'Video Database'!L:L,'Video Database'!H:H,"")</f>
        <v>0.7337</v>
      </c>
      <c r="F873" s="101">
        <v>0.0</v>
      </c>
      <c r="G873" s="87">
        <v>0.0</v>
      </c>
      <c r="H873" s="114">
        <f t="array" ref="H873">_xlfn.XLOOKUP(A873,'Video Database'!L:L,'Video Database'!A:A,"")</f>
        <v>46197</v>
      </c>
      <c r="I873" s="103">
        <v>46201.0</v>
      </c>
      <c r="J873" s="104">
        <v>0.0</v>
      </c>
      <c r="K873" s="105"/>
      <c r="L873" s="105" t="str">
        <f t="shared" si="1"/>
        <v/>
      </c>
      <c r="O873" s="106" t="str">
        <f t="shared" si="2"/>
        <v>#N/A</v>
      </c>
      <c r="P873" s="106" t="str">
        <f t="shared" si="3"/>
        <v>#N/A</v>
      </c>
      <c r="Q873" s="84" t="str">
        <f t="shared" si="4"/>
        <v>#N/A</v>
      </c>
      <c r="R873" s="84" t="str">
        <f t="shared" si="5"/>
        <v>#N/A</v>
      </c>
      <c r="S873" s="107">
        <f t="shared" si="6"/>
        <v>-0.7337</v>
      </c>
      <c r="T873" s="108">
        <f t="shared" si="7"/>
        <v>-1</v>
      </c>
      <c r="U873" s="106" t="str">
        <f t="shared" si="8"/>
        <v>#N/A</v>
      </c>
      <c r="V873" s="84" t="str">
        <f t="shared" si="9"/>
        <v/>
      </c>
      <c r="W873" s="109" t="str">
        <f t="shared" si="10"/>
        <v/>
      </c>
      <c r="X873" s="109" t="str">
        <f t="shared" si="11"/>
        <v/>
      </c>
      <c r="Y873" s="110" t="str">
        <f t="array" ref="Y873">_xlfn.XLOOKUP(A873,'Video Database'!L:L,'Video Database'!M:M,"")</f>
        <v>Bottom of Funnel</v>
      </c>
    </row>
    <row r="874" ht="22.5" customHeight="1">
      <c r="A874" s="113">
        <f t="shared" si="12"/>
        <v>873</v>
      </c>
      <c r="B874" s="98" t="str">
        <f t="array" ref="B874">_xlfn.XLOOKUP(A874,'Video Database'!L:L,'Video Database'!D:D,"")</f>
        <v>Erin</v>
      </c>
      <c r="C874" s="98" t="str">
        <f t="array" ref="C874">_xlfn.XLOOKUP(A874,'Video Database'!L:L,'Video Database'!E:E,"")</f>
        <v>Account 3</v>
      </c>
      <c r="D874" s="99" t="str">
        <f t="array" ref="D874">_xlfn.XLOOKUP(A874,'Video Database'!L:L,'Video Database'!G:G,"")</f>
        <v>Color Wow Quick Refresh and Styling Bundle</v>
      </c>
      <c r="E874" s="100">
        <f t="array" ref="E874">_xlfn.XLOOKUP(A874,'Video Database'!L:L,'Video Database'!H:H,"")</f>
        <v>0.7337</v>
      </c>
      <c r="F874" s="101">
        <v>0.0</v>
      </c>
      <c r="G874" s="87">
        <v>0.0</v>
      </c>
      <c r="H874" s="114">
        <f t="array" ref="H874">_xlfn.XLOOKUP(A874,'Video Database'!L:L,'Video Database'!A:A,"")</f>
        <v>46197</v>
      </c>
      <c r="I874" s="103">
        <v>46201.0</v>
      </c>
      <c r="J874" s="104">
        <v>0.0</v>
      </c>
      <c r="K874" s="105"/>
      <c r="L874" s="105" t="str">
        <f t="shared" si="1"/>
        <v/>
      </c>
      <c r="O874" s="106" t="str">
        <f t="shared" si="2"/>
        <v>#N/A</v>
      </c>
      <c r="P874" s="106" t="str">
        <f t="shared" si="3"/>
        <v>#N/A</v>
      </c>
      <c r="Q874" s="84" t="str">
        <f t="shared" si="4"/>
        <v>#N/A</v>
      </c>
      <c r="R874" s="84" t="str">
        <f t="shared" si="5"/>
        <v>#N/A</v>
      </c>
      <c r="S874" s="107">
        <f t="shared" si="6"/>
        <v>-0.7337</v>
      </c>
      <c r="T874" s="108">
        <f t="shared" si="7"/>
        <v>-1</v>
      </c>
      <c r="U874" s="106" t="str">
        <f t="shared" si="8"/>
        <v>#N/A</v>
      </c>
      <c r="V874" s="84" t="str">
        <f t="shared" si="9"/>
        <v/>
      </c>
      <c r="W874" s="109" t="str">
        <f t="shared" si="10"/>
        <v/>
      </c>
      <c r="X874" s="109" t="str">
        <f t="shared" si="11"/>
        <v/>
      </c>
      <c r="Y874" s="110" t="str">
        <f t="array" ref="Y874">_xlfn.XLOOKUP(A874,'Video Database'!L:L,'Video Database'!M:M,"")</f>
        <v>Bottom of Funnel</v>
      </c>
    </row>
    <row r="875" ht="22.5" customHeight="1">
      <c r="A875" s="113">
        <f t="shared" si="12"/>
        <v>874</v>
      </c>
      <c r="B875" s="98" t="str">
        <f t="array" ref="B875">_xlfn.XLOOKUP(A875,'Video Database'!L:L,'Video Database'!D:D,"")</f>
        <v>Erin</v>
      </c>
      <c r="C875" s="98" t="str">
        <f t="array" ref="C875">_xlfn.XLOOKUP(A875,'Video Database'!L:L,'Video Database'!E:E,"")</f>
        <v>Account 3</v>
      </c>
      <c r="D875" s="99" t="str">
        <f t="array" ref="D875">_xlfn.XLOOKUP(A875,'Video Database'!L:L,'Video Database'!G:G,"")</f>
        <v>Color Wow Quick Refresh and Styling Bundle</v>
      </c>
      <c r="E875" s="100">
        <f t="array" ref="E875">_xlfn.XLOOKUP(A875,'Video Database'!L:L,'Video Database'!H:H,"")</f>
        <v>0.7337</v>
      </c>
      <c r="F875" s="101">
        <v>0.0</v>
      </c>
      <c r="G875" s="87">
        <v>0.0</v>
      </c>
      <c r="H875" s="114">
        <f t="array" ref="H875">_xlfn.XLOOKUP(A875,'Video Database'!L:L,'Video Database'!A:A,"")</f>
        <v>46197</v>
      </c>
      <c r="I875" s="103">
        <v>46201.0</v>
      </c>
      <c r="J875" s="104">
        <v>0.0</v>
      </c>
      <c r="K875" s="105"/>
      <c r="L875" s="105" t="str">
        <f t="shared" si="1"/>
        <v/>
      </c>
      <c r="O875" s="106" t="str">
        <f t="shared" si="2"/>
        <v>#N/A</v>
      </c>
      <c r="P875" s="106" t="str">
        <f t="shared" si="3"/>
        <v>#N/A</v>
      </c>
      <c r="Q875" s="84" t="str">
        <f t="shared" si="4"/>
        <v>#N/A</v>
      </c>
      <c r="R875" s="84" t="str">
        <f t="shared" si="5"/>
        <v>#N/A</v>
      </c>
      <c r="S875" s="107">
        <f t="shared" si="6"/>
        <v>-0.7337</v>
      </c>
      <c r="T875" s="108">
        <f t="shared" si="7"/>
        <v>-1</v>
      </c>
      <c r="U875" s="106" t="str">
        <f t="shared" si="8"/>
        <v>#N/A</v>
      </c>
      <c r="V875" s="84" t="str">
        <f t="shared" si="9"/>
        <v/>
      </c>
      <c r="W875" s="109" t="str">
        <f t="shared" si="10"/>
        <v/>
      </c>
      <c r="X875" s="109" t="str">
        <f t="shared" si="11"/>
        <v/>
      </c>
      <c r="Y875" s="110" t="str">
        <f t="array" ref="Y875">_xlfn.XLOOKUP(A875,'Video Database'!L:L,'Video Database'!M:M,"")</f>
        <v>Bottom of Funnel</v>
      </c>
    </row>
    <row r="876" ht="22.5" customHeight="1">
      <c r="A876" s="113">
        <f t="shared" si="12"/>
        <v>875</v>
      </c>
      <c r="B876" s="98" t="str">
        <f t="array" ref="B876">_xlfn.XLOOKUP(A876,'Video Database'!L:L,'Video Database'!D:D,"")</f>
        <v>Erin</v>
      </c>
      <c r="C876" s="98" t="str">
        <f t="array" ref="C876">_xlfn.XLOOKUP(A876,'Video Database'!L:L,'Video Database'!E:E,"")</f>
        <v>Account 3</v>
      </c>
      <c r="D876" s="99" t="str">
        <f t="array" ref="D876">_xlfn.XLOOKUP(A876,'Video Database'!L:L,'Video Database'!G:G,"")</f>
        <v>Medicube Kojic Accid Tumeric Power Duo</v>
      </c>
      <c r="E876" s="100">
        <f t="array" ref="E876">_xlfn.XLOOKUP(A876,'Video Database'!L:L,'Video Database'!H:H,"")</f>
        <v>0.7337</v>
      </c>
      <c r="F876" s="101">
        <v>0.0</v>
      </c>
      <c r="G876" s="87">
        <v>0.0</v>
      </c>
      <c r="H876" s="114">
        <f t="array" ref="H876">_xlfn.XLOOKUP(A876,'Video Database'!L:L,'Video Database'!A:A,"")</f>
        <v>46197</v>
      </c>
      <c r="I876" s="103">
        <v>46201.0</v>
      </c>
      <c r="J876" s="104">
        <v>0.0</v>
      </c>
      <c r="K876" s="105"/>
      <c r="L876" s="105" t="str">
        <f t="shared" si="1"/>
        <v/>
      </c>
      <c r="O876" s="106" t="str">
        <f t="shared" si="2"/>
        <v>#N/A</v>
      </c>
      <c r="P876" s="106" t="str">
        <f t="shared" si="3"/>
        <v>#N/A</v>
      </c>
      <c r="Q876" s="84" t="str">
        <f t="shared" si="4"/>
        <v>#N/A</v>
      </c>
      <c r="R876" s="84" t="str">
        <f t="shared" si="5"/>
        <v>#N/A</v>
      </c>
      <c r="S876" s="107">
        <f t="shared" si="6"/>
        <v>-0.7337</v>
      </c>
      <c r="T876" s="108">
        <f t="shared" si="7"/>
        <v>-1</v>
      </c>
      <c r="U876" s="106" t="str">
        <f t="shared" si="8"/>
        <v>#N/A</v>
      </c>
      <c r="V876" s="84" t="str">
        <f t="shared" si="9"/>
        <v/>
      </c>
      <c r="W876" s="109" t="str">
        <f t="shared" si="10"/>
        <v/>
      </c>
      <c r="X876" s="109" t="str">
        <f t="shared" si="11"/>
        <v/>
      </c>
      <c r="Y876" s="110" t="str">
        <f t="array" ref="Y876">_xlfn.XLOOKUP(A876,'Video Database'!L:L,'Video Database'!M:M,"")</f>
        <v>Bottom of Funnel</v>
      </c>
    </row>
    <row r="877" ht="22.5" customHeight="1">
      <c r="A877" s="113">
        <f t="shared" si="12"/>
        <v>876</v>
      </c>
      <c r="B877" s="98" t="str">
        <f t="array" ref="B877">_xlfn.XLOOKUP(A877,'Video Database'!L:L,'Video Database'!D:D,"")</f>
        <v>Erin</v>
      </c>
      <c r="C877" s="98" t="str">
        <f t="array" ref="C877">_xlfn.XLOOKUP(A877,'Video Database'!L:L,'Video Database'!E:E,"")</f>
        <v>Account 3</v>
      </c>
      <c r="D877" s="99" t="str">
        <f t="array" ref="D877">_xlfn.XLOOKUP(A877,'Video Database'!L:L,'Video Database'!G:G,"")</f>
        <v>Medicube Kojic Accid Tumeric Power Duo</v>
      </c>
      <c r="E877" s="100">
        <f t="array" ref="E877">_xlfn.XLOOKUP(A877,'Video Database'!L:L,'Video Database'!H:H,"")</f>
        <v>0.7337</v>
      </c>
      <c r="F877" s="101">
        <v>0.0</v>
      </c>
      <c r="G877" s="87">
        <v>0.0</v>
      </c>
      <c r="H877" s="114">
        <f t="array" ref="H877">_xlfn.XLOOKUP(A877,'Video Database'!L:L,'Video Database'!A:A,"")</f>
        <v>46197</v>
      </c>
      <c r="I877" s="103">
        <v>46201.0</v>
      </c>
      <c r="J877" s="104">
        <v>0.0</v>
      </c>
      <c r="K877" s="105"/>
      <c r="L877" s="105" t="str">
        <f t="shared" si="1"/>
        <v/>
      </c>
      <c r="O877" s="106" t="str">
        <f t="shared" si="2"/>
        <v>#N/A</v>
      </c>
      <c r="P877" s="106" t="str">
        <f t="shared" si="3"/>
        <v>#N/A</v>
      </c>
      <c r="Q877" s="84" t="str">
        <f t="shared" si="4"/>
        <v>#N/A</v>
      </c>
      <c r="R877" s="84" t="str">
        <f t="shared" si="5"/>
        <v>#N/A</v>
      </c>
      <c r="S877" s="107">
        <f t="shared" si="6"/>
        <v>-0.7337</v>
      </c>
      <c r="T877" s="108">
        <f t="shared" si="7"/>
        <v>-1</v>
      </c>
      <c r="U877" s="106" t="str">
        <f t="shared" si="8"/>
        <v>#N/A</v>
      </c>
      <c r="V877" s="84" t="str">
        <f t="shared" si="9"/>
        <v/>
      </c>
      <c r="W877" s="109" t="str">
        <f t="shared" si="10"/>
        <v/>
      </c>
      <c r="X877" s="109" t="str">
        <f t="shared" si="11"/>
        <v/>
      </c>
      <c r="Y877" s="110" t="str">
        <f t="array" ref="Y877">_xlfn.XLOOKUP(A877,'Video Database'!L:L,'Video Database'!M:M,"")</f>
        <v>Bottom of Funnel</v>
      </c>
    </row>
    <row r="878" ht="22.5" customHeight="1">
      <c r="A878" s="113">
        <f t="shared" si="12"/>
        <v>877</v>
      </c>
      <c r="B878" s="98" t="str">
        <f t="array" ref="B878">_xlfn.XLOOKUP(A878,'Video Database'!L:L,'Video Database'!D:D,"")</f>
        <v>Blakely</v>
      </c>
      <c r="C878" s="98" t="str">
        <f t="array" ref="C878">_xlfn.XLOOKUP(A878,'Video Database'!L:L,'Video Database'!E:E,"")</f>
        <v>Account 3</v>
      </c>
      <c r="D878" s="99" t="str">
        <f t="array" ref="D878">_xlfn.XLOOKUP(A878,'Video Database'!L:L,'Video Database'!G:G,"")</f>
        <v>NeilMed Piercing Aftercare Spray XL</v>
      </c>
      <c r="E878" s="100">
        <f t="array" ref="E878">_xlfn.XLOOKUP(A878,'Video Database'!L:L,'Video Database'!H:H,"")</f>
        <v>0.11</v>
      </c>
      <c r="F878" s="101">
        <v>0.0</v>
      </c>
      <c r="G878" s="87">
        <v>0.0</v>
      </c>
      <c r="H878" s="114">
        <f t="array" ref="H878">_xlfn.XLOOKUP(A878,'Video Database'!L:L,'Video Database'!A:A,"")</f>
        <v>46197</v>
      </c>
      <c r="I878" s="103">
        <v>46201.0</v>
      </c>
      <c r="J878" s="104">
        <v>0.0</v>
      </c>
      <c r="K878" s="105"/>
      <c r="L878" s="105" t="str">
        <f t="shared" si="1"/>
        <v/>
      </c>
      <c r="O878" s="106" t="str">
        <f t="shared" si="2"/>
        <v>#N/A</v>
      </c>
      <c r="P878" s="106" t="str">
        <f t="shared" si="3"/>
        <v>#N/A</v>
      </c>
      <c r="Q878" s="84" t="str">
        <f t="shared" si="4"/>
        <v>#N/A</v>
      </c>
      <c r="R878" s="84" t="str">
        <f t="shared" si="5"/>
        <v>#N/A</v>
      </c>
      <c r="S878" s="107">
        <f t="shared" si="6"/>
        <v>-0.11</v>
      </c>
      <c r="T878" s="108">
        <f t="shared" si="7"/>
        <v>-1</v>
      </c>
      <c r="U878" s="106" t="str">
        <f t="shared" si="8"/>
        <v>#N/A</v>
      </c>
      <c r="V878" s="84" t="str">
        <f t="shared" si="9"/>
        <v/>
      </c>
      <c r="W878" s="109" t="str">
        <f t="shared" si="10"/>
        <v/>
      </c>
      <c r="X878" s="109" t="str">
        <f t="shared" si="11"/>
        <v/>
      </c>
      <c r="Y878" s="110" t="str">
        <f t="array" ref="Y878">_xlfn.XLOOKUP(A878,'Video Database'!L:L,'Video Database'!M:M,"")</f>
        <v>Bottom of Funnel</v>
      </c>
    </row>
    <row r="879" ht="22.5" customHeight="1">
      <c r="A879" s="113">
        <f t="shared" si="12"/>
        <v>878</v>
      </c>
      <c r="B879" s="98" t="str">
        <f t="array" ref="B879">_xlfn.XLOOKUP(A879,'Video Database'!L:L,'Video Database'!D:D,"")</f>
        <v>Erin</v>
      </c>
      <c r="C879" s="98" t="str">
        <f t="array" ref="C879">_xlfn.XLOOKUP(A879,'Video Database'!L:L,'Video Database'!E:E,"")</f>
        <v>Account 3</v>
      </c>
      <c r="D879" s="99" t="str">
        <f t="array" ref="D879">_xlfn.XLOOKUP(A879,'Video Database'!L:L,'Video Database'!G:G,"")</f>
        <v>Camellia Deep Collagen Lifting Gel Mask</v>
      </c>
      <c r="E879" s="100">
        <f t="array" ref="E879">_xlfn.XLOOKUP(A879,'Video Database'!L:L,'Video Database'!H:H,"")</f>
        <v>0.7337</v>
      </c>
      <c r="F879" s="101">
        <v>0.0</v>
      </c>
      <c r="G879" s="87">
        <v>0.0</v>
      </c>
      <c r="H879" s="114">
        <f t="array" ref="H879">_xlfn.XLOOKUP(A879,'Video Database'!L:L,'Video Database'!A:A,"")</f>
        <v>46197</v>
      </c>
      <c r="I879" s="103">
        <v>46201.0</v>
      </c>
      <c r="J879" s="104">
        <v>0.0</v>
      </c>
      <c r="K879" s="105"/>
      <c r="L879" s="105" t="str">
        <f t="shared" si="1"/>
        <v/>
      </c>
      <c r="O879" s="106" t="str">
        <f t="shared" si="2"/>
        <v>#N/A</v>
      </c>
      <c r="P879" s="106" t="str">
        <f t="shared" si="3"/>
        <v>#N/A</v>
      </c>
      <c r="Q879" s="84" t="str">
        <f t="shared" si="4"/>
        <v>#N/A</v>
      </c>
      <c r="R879" s="84" t="str">
        <f t="shared" si="5"/>
        <v>#N/A</v>
      </c>
      <c r="S879" s="107">
        <f t="shared" si="6"/>
        <v>-0.7337</v>
      </c>
      <c r="T879" s="108">
        <f t="shared" si="7"/>
        <v>-1</v>
      </c>
      <c r="U879" s="106" t="str">
        <f t="shared" si="8"/>
        <v>#N/A</v>
      </c>
      <c r="V879" s="84" t="str">
        <f t="shared" si="9"/>
        <v/>
      </c>
      <c r="W879" s="109" t="str">
        <f t="shared" si="10"/>
        <v/>
      </c>
      <c r="X879" s="109" t="str">
        <f t="shared" si="11"/>
        <v/>
      </c>
      <c r="Y879" s="110" t="str">
        <f t="array" ref="Y879">_xlfn.XLOOKUP(A879,'Video Database'!L:L,'Video Database'!M:M,"")</f>
        <v>Bottom of Funnel</v>
      </c>
    </row>
    <row r="880" ht="22.5" customHeight="1">
      <c r="A880" s="113">
        <f t="shared" si="12"/>
        <v>879</v>
      </c>
      <c r="B880" s="98" t="str">
        <f t="array" ref="B880">_xlfn.XLOOKUP(A880,'Video Database'!L:L,'Video Database'!D:D,"")</f>
        <v>Blakely</v>
      </c>
      <c r="C880" s="98" t="str">
        <f t="array" ref="C880">_xlfn.XLOOKUP(A880,'Video Database'!L:L,'Video Database'!E:E,"")</f>
        <v>Account 3</v>
      </c>
      <c r="D880" s="99" t="str">
        <f t="array" ref="D880">_xlfn.XLOOKUP(A880,'Video Database'!L:L,'Video Database'!G:G,"")</f>
        <v>Ekkovision Lifting Straps (D-ring)</v>
      </c>
      <c r="E880" s="100">
        <f t="array" ref="E880">_xlfn.XLOOKUP(A880,'Video Database'!L:L,'Video Database'!H:H,"")</f>
        <v>0.11</v>
      </c>
      <c r="F880" s="101">
        <v>0.0</v>
      </c>
      <c r="G880" s="87">
        <v>0.0</v>
      </c>
      <c r="H880" s="114">
        <f t="array" ref="H880">_xlfn.XLOOKUP(A880,'Video Database'!L:L,'Video Database'!A:A,"")</f>
        <v>46197</v>
      </c>
      <c r="I880" s="103">
        <v>46201.0</v>
      </c>
      <c r="J880" s="104">
        <v>0.0</v>
      </c>
      <c r="K880" s="105"/>
      <c r="L880" s="105" t="str">
        <f t="shared" si="1"/>
        <v/>
      </c>
      <c r="O880" s="106" t="str">
        <f t="shared" si="2"/>
        <v>#N/A</v>
      </c>
      <c r="P880" s="106" t="str">
        <f t="shared" si="3"/>
        <v>#N/A</v>
      </c>
      <c r="Q880" s="84" t="str">
        <f t="shared" si="4"/>
        <v>#N/A</v>
      </c>
      <c r="R880" s="84" t="str">
        <f t="shared" si="5"/>
        <v>#N/A</v>
      </c>
      <c r="S880" s="107">
        <f t="shared" si="6"/>
        <v>-0.11</v>
      </c>
      <c r="T880" s="108">
        <f t="shared" si="7"/>
        <v>-1</v>
      </c>
      <c r="U880" s="106" t="str">
        <f t="shared" si="8"/>
        <v>#N/A</v>
      </c>
      <c r="V880" s="84" t="str">
        <f t="shared" si="9"/>
        <v/>
      </c>
      <c r="W880" s="109" t="str">
        <f t="shared" si="10"/>
        <v/>
      </c>
      <c r="X880" s="109" t="str">
        <f t="shared" si="11"/>
        <v/>
      </c>
      <c r="Y880" s="110" t="str">
        <f t="array" ref="Y880">_xlfn.XLOOKUP(A880,'Video Database'!L:L,'Video Database'!M:M,"")</f>
        <v>Product Overlay</v>
      </c>
    </row>
    <row r="881" ht="22.5" customHeight="1">
      <c r="A881" s="113">
        <f t="shared" si="12"/>
        <v>880</v>
      </c>
      <c r="B881" s="98" t="str">
        <f t="array" ref="B881">_xlfn.XLOOKUP(A881,'Video Database'!L:L,'Video Database'!D:D,"")</f>
        <v>Blakely</v>
      </c>
      <c r="C881" s="98" t="str">
        <f t="array" ref="C881">_xlfn.XLOOKUP(A881,'Video Database'!L:L,'Video Database'!E:E,"")</f>
        <v>Account 3</v>
      </c>
      <c r="D881" s="99" t="str">
        <f t="array" ref="D881">_xlfn.XLOOKUP(A881,'Video Database'!L:L,'Video Database'!G:G,"")</f>
        <v>IRIS Hormone Health Drink Mix</v>
      </c>
      <c r="E881" s="100">
        <f t="array" ref="E881">_xlfn.XLOOKUP(A881,'Video Database'!L:L,'Video Database'!H:H,"")</f>
        <v>0.11</v>
      </c>
      <c r="F881" s="101">
        <v>0.0</v>
      </c>
      <c r="G881" s="87">
        <v>0.0</v>
      </c>
      <c r="H881" s="114">
        <f t="array" ref="H881">_xlfn.XLOOKUP(A881,'Video Database'!L:L,'Video Database'!A:A,"")</f>
        <v>46197</v>
      </c>
      <c r="I881" s="103">
        <v>46201.0</v>
      </c>
      <c r="J881" s="104">
        <v>0.0</v>
      </c>
      <c r="K881" s="105"/>
      <c r="L881" s="105" t="str">
        <f t="shared" si="1"/>
        <v/>
      </c>
      <c r="O881" s="106" t="str">
        <f t="shared" si="2"/>
        <v>#N/A</v>
      </c>
      <c r="P881" s="106" t="str">
        <f t="shared" si="3"/>
        <v>#N/A</v>
      </c>
      <c r="Q881" s="84" t="str">
        <f t="shared" si="4"/>
        <v>#N/A</v>
      </c>
      <c r="R881" s="84" t="str">
        <f t="shared" si="5"/>
        <v>#N/A</v>
      </c>
      <c r="S881" s="107">
        <f t="shared" si="6"/>
        <v>-0.11</v>
      </c>
      <c r="T881" s="108">
        <f t="shared" si="7"/>
        <v>-1</v>
      </c>
      <c r="U881" s="106" t="str">
        <f t="shared" si="8"/>
        <v>#N/A</v>
      </c>
      <c r="V881" s="84" t="str">
        <f t="shared" si="9"/>
        <v/>
      </c>
      <c r="W881" s="109" t="str">
        <f t="shared" si="10"/>
        <v/>
      </c>
      <c r="X881" s="109" t="str">
        <f t="shared" si="11"/>
        <v/>
      </c>
      <c r="Y881" s="110" t="str">
        <f t="array" ref="Y881">_xlfn.XLOOKUP(A881,'Video Database'!L:L,'Video Database'!M:M,"")</f>
        <v>Product Overlay</v>
      </c>
    </row>
    <row r="882" ht="22.5" customHeight="1">
      <c r="A882" s="113">
        <f t="shared" si="12"/>
        <v>881</v>
      </c>
      <c r="B882" s="98" t="str">
        <f t="array" ref="B882">_xlfn.XLOOKUP(A882,'Video Database'!L:L,'Video Database'!D:D,"")</f>
        <v>Blakely</v>
      </c>
      <c r="C882" s="98" t="str">
        <f t="array" ref="C882">_xlfn.XLOOKUP(A882,'Video Database'!L:L,'Video Database'!E:E,"")</f>
        <v>Account 3</v>
      </c>
      <c r="D882" s="99" t="str">
        <f t="array" ref="D882">_xlfn.XLOOKUP(A882,'Video Database'!L:L,'Video Database'!G:G,"")</f>
        <v>Gorilla Mode Base Preworkout</v>
      </c>
      <c r="E882" s="100">
        <f t="array" ref="E882">_xlfn.XLOOKUP(A882,'Video Database'!L:L,'Video Database'!H:H,"")</f>
        <v>0.11</v>
      </c>
      <c r="F882" s="101">
        <v>0.0</v>
      </c>
      <c r="G882" s="87">
        <v>0.0</v>
      </c>
      <c r="H882" s="114">
        <f t="array" ref="H882">_xlfn.XLOOKUP(A882,'Video Database'!L:L,'Video Database'!A:A,"")</f>
        <v>46197</v>
      </c>
      <c r="I882" s="103">
        <v>46201.0</v>
      </c>
      <c r="J882" s="104">
        <v>0.0</v>
      </c>
      <c r="K882" s="105"/>
      <c r="L882" s="105" t="str">
        <f t="shared" si="1"/>
        <v/>
      </c>
      <c r="O882" s="106" t="str">
        <f t="shared" si="2"/>
        <v>#N/A</v>
      </c>
      <c r="P882" s="106" t="str">
        <f t="shared" si="3"/>
        <v>#N/A</v>
      </c>
      <c r="Q882" s="84" t="str">
        <f t="shared" si="4"/>
        <v>#N/A</v>
      </c>
      <c r="R882" s="84" t="str">
        <f t="shared" si="5"/>
        <v>#N/A</v>
      </c>
      <c r="S882" s="107">
        <f t="shared" si="6"/>
        <v>-0.11</v>
      </c>
      <c r="T882" s="108">
        <f t="shared" si="7"/>
        <v>-1</v>
      </c>
      <c r="U882" s="106" t="str">
        <f t="shared" si="8"/>
        <v>#N/A</v>
      </c>
      <c r="V882" s="84" t="str">
        <f t="shared" si="9"/>
        <v/>
      </c>
      <c r="W882" s="109" t="str">
        <f t="shared" si="10"/>
        <v/>
      </c>
      <c r="X882" s="109" t="str">
        <f t="shared" si="11"/>
        <v/>
      </c>
      <c r="Y882" s="110" t="str">
        <f t="array" ref="Y882">_xlfn.XLOOKUP(A882,'Video Database'!L:L,'Video Database'!M:M,"")</f>
        <v>Bottom of Funnel</v>
      </c>
    </row>
    <row r="883" ht="22.5" customHeight="1">
      <c r="A883" s="113">
        <f t="shared" si="12"/>
        <v>882</v>
      </c>
      <c r="B883" s="98" t="str">
        <f t="array" ref="B883">_xlfn.XLOOKUP(A883,'Video Database'!L:L,'Video Database'!D:D,"")</f>
        <v>Blakely</v>
      </c>
      <c r="C883" s="98" t="str">
        <f t="array" ref="C883">_xlfn.XLOOKUP(A883,'Video Database'!L:L,'Video Database'!E:E,"")</f>
        <v>Account 3</v>
      </c>
      <c r="D883" s="99" t="str">
        <f t="array" ref="D883">_xlfn.XLOOKUP(A883,'Video Database'!L:L,'Video Database'!G:G,"")</f>
        <v>RAW Nutrition Bum Essential Preworkout</v>
      </c>
      <c r="E883" s="100">
        <f t="array" ref="E883">_xlfn.XLOOKUP(A883,'Video Database'!L:L,'Video Database'!H:H,"")</f>
        <v>0.11</v>
      </c>
      <c r="F883" s="101">
        <v>0.0</v>
      </c>
      <c r="G883" s="87">
        <v>0.0</v>
      </c>
      <c r="H883" s="114">
        <f t="array" ref="H883">_xlfn.XLOOKUP(A883,'Video Database'!L:L,'Video Database'!A:A,"")</f>
        <v>46197</v>
      </c>
      <c r="I883" s="103">
        <v>46201.0</v>
      </c>
      <c r="J883" s="104">
        <v>0.0</v>
      </c>
      <c r="K883" s="105"/>
      <c r="L883" s="105" t="str">
        <f t="shared" si="1"/>
        <v/>
      </c>
      <c r="O883" s="106" t="str">
        <f t="shared" si="2"/>
        <v>#N/A</v>
      </c>
      <c r="P883" s="106" t="str">
        <f t="shared" si="3"/>
        <v>#N/A</v>
      </c>
      <c r="Q883" s="84" t="str">
        <f t="shared" si="4"/>
        <v>#N/A</v>
      </c>
      <c r="R883" s="84" t="str">
        <f t="shared" si="5"/>
        <v>#N/A</v>
      </c>
      <c r="S883" s="107">
        <f t="shared" si="6"/>
        <v>-0.11</v>
      </c>
      <c r="T883" s="108">
        <f t="shared" si="7"/>
        <v>-1</v>
      </c>
      <c r="U883" s="106" t="str">
        <f t="shared" si="8"/>
        <v>#N/A</v>
      </c>
      <c r="V883" s="84" t="str">
        <f t="shared" si="9"/>
        <v/>
      </c>
      <c r="W883" s="109" t="str">
        <f t="shared" si="10"/>
        <v/>
      </c>
      <c r="X883" s="109" t="str">
        <f t="shared" si="11"/>
        <v/>
      </c>
      <c r="Y883" s="110" t="str">
        <f t="array" ref="Y883">_xlfn.XLOOKUP(A883,'Video Database'!L:L,'Video Database'!M:M,"")</f>
        <v>Product Overlay</v>
      </c>
    </row>
    <row r="884" ht="22.5" customHeight="1">
      <c r="A884" s="113">
        <f t="shared" si="12"/>
        <v>883</v>
      </c>
      <c r="B884" s="98" t="str">
        <f t="array" ref="B884">_xlfn.XLOOKUP(A884,'Video Database'!L:L,'Video Database'!D:D,"")</f>
        <v>Blakely</v>
      </c>
      <c r="C884" s="98" t="str">
        <f t="array" ref="C884">_xlfn.XLOOKUP(A884,'Video Database'!L:L,'Video Database'!E:E,"")</f>
        <v>Account 3</v>
      </c>
      <c r="D884" s="99" t="str">
        <f t="array" ref="D884">_xlfn.XLOOKUP(A884,'Video Database'!L:L,'Video Database'!G:G,"")</f>
        <v>Nutricost Caffine Capsules</v>
      </c>
      <c r="E884" s="100">
        <f t="array" ref="E884">_xlfn.XLOOKUP(A884,'Video Database'!L:L,'Video Database'!H:H,"")</f>
        <v>0.11</v>
      </c>
      <c r="F884" s="101">
        <v>0.0</v>
      </c>
      <c r="G884" s="87">
        <v>0.0</v>
      </c>
      <c r="H884" s="114">
        <f t="array" ref="H884">_xlfn.XLOOKUP(A884,'Video Database'!L:L,'Video Database'!A:A,"")</f>
        <v>46197</v>
      </c>
      <c r="I884" s="103">
        <v>46201.0</v>
      </c>
      <c r="J884" s="104">
        <v>0.0</v>
      </c>
      <c r="K884" s="105"/>
      <c r="L884" s="105" t="str">
        <f t="shared" si="1"/>
        <v/>
      </c>
      <c r="O884" s="106" t="str">
        <f t="shared" si="2"/>
        <v>#N/A</v>
      </c>
      <c r="P884" s="106" t="str">
        <f t="shared" si="3"/>
        <v>#N/A</v>
      </c>
      <c r="Q884" s="84" t="str">
        <f t="shared" si="4"/>
        <v>#N/A</v>
      </c>
      <c r="R884" s="84" t="str">
        <f t="shared" si="5"/>
        <v>#N/A</v>
      </c>
      <c r="S884" s="107">
        <f t="shared" si="6"/>
        <v>-0.11</v>
      </c>
      <c r="T884" s="108">
        <f t="shared" si="7"/>
        <v>-1</v>
      </c>
      <c r="U884" s="106" t="str">
        <f t="shared" si="8"/>
        <v>#N/A</v>
      </c>
      <c r="V884" s="84" t="str">
        <f t="shared" si="9"/>
        <v/>
      </c>
      <c r="W884" s="109" t="str">
        <f t="shared" si="10"/>
        <v/>
      </c>
      <c r="X884" s="109" t="str">
        <f t="shared" si="11"/>
        <v/>
      </c>
      <c r="Y884" s="110" t="str">
        <f t="array" ref="Y884">_xlfn.XLOOKUP(A884,'Video Database'!L:L,'Video Database'!M:M,"")</f>
        <v>Product Overlay</v>
      </c>
    </row>
    <row r="885" ht="22.5" customHeight="1">
      <c r="A885" s="113">
        <f t="shared" si="12"/>
        <v>884</v>
      </c>
      <c r="B885" s="98" t="str">
        <f t="array" ref="B885">_xlfn.XLOOKUP(A885,'Video Database'!L:L,'Video Database'!D:D,"")</f>
        <v>Brittney</v>
      </c>
      <c r="C885" s="98" t="str">
        <f t="array" ref="C885">_xlfn.XLOOKUP(A885,'Video Database'!L:L,'Video Database'!E:E,"")</f>
        <v>Account 4</v>
      </c>
      <c r="D885" s="99" t="str">
        <f t="array" ref="D885">_xlfn.XLOOKUP(A885,'Video Database'!L:L,'Video Database'!G:G,"")</f>
        <v>Gruns Greens Popsicle Firecracker Gummies</v>
      </c>
      <c r="E885" s="100">
        <f t="array" ref="E885">_xlfn.XLOOKUP(A885,'Video Database'!L:L,'Video Database'!H:H,"")</f>
        <v>0.11</v>
      </c>
      <c r="F885" s="101">
        <v>0.0</v>
      </c>
      <c r="G885" s="87">
        <v>0.0</v>
      </c>
      <c r="H885" s="114">
        <f t="array" ref="H885">_xlfn.XLOOKUP(A885,'Video Database'!L:L,'Video Database'!A:A,"")</f>
        <v>46197</v>
      </c>
      <c r="I885" s="103">
        <v>46201.0</v>
      </c>
      <c r="J885" s="104">
        <v>0.0</v>
      </c>
      <c r="K885" s="105"/>
      <c r="L885" s="105" t="str">
        <f t="shared" si="1"/>
        <v/>
      </c>
      <c r="O885" s="106" t="str">
        <f t="shared" si="2"/>
        <v>#N/A</v>
      </c>
      <c r="P885" s="106" t="str">
        <f t="shared" si="3"/>
        <v>#N/A</v>
      </c>
      <c r="Q885" s="84" t="str">
        <f t="shared" si="4"/>
        <v>#N/A</v>
      </c>
      <c r="R885" s="84" t="str">
        <f t="shared" si="5"/>
        <v>#N/A</v>
      </c>
      <c r="S885" s="107">
        <f t="shared" si="6"/>
        <v>-0.11</v>
      </c>
      <c r="T885" s="108">
        <f t="shared" si="7"/>
        <v>-1</v>
      </c>
      <c r="U885" s="106" t="str">
        <f t="shared" si="8"/>
        <v>#N/A</v>
      </c>
      <c r="V885" s="84" t="str">
        <f t="shared" si="9"/>
        <v/>
      </c>
      <c r="W885" s="109" t="str">
        <f t="shared" si="10"/>
        <v/>
      </c>
      <c r="X885" s="109" t="str">
        <f t="shared" si="11"/>
        <v/>
      </c>
      <c r="Y885" s="110" t="str">
        <f t="array" ref="Y885">_xlfn.XLOOKUP(A885,'Video Database'!L:L,'Video Database'!M:M,"")</f>
        <v>Product Overlay</v>
      </c>
    </row>
    <row r="886" ht="22.5" customHeight="1">
      <c r="A886" s="113">
        <f t="shared" si="12"/>
        <v>885</v>
      </c>
      <c r="B886" s="98" t="str">
        <f t="array" ref="B886">_xlfn.XLOOKUP(A886,'Video Database'!L:L,'Video Database'!D:D,"")</f>
        <v>Brittney</v>
      </c>
      <c r="C886" s="98" t="str">
        <f t="array" ref="C886">_xlfn.XLOOKUP(A886,'Video Database'!L:L,'Video Database'!E:E,"")</f>
        <v>Account 4</v>
      </c>
      <c r="D886" s="99" t="str">
        <f t="array" ref="D886">_xlfn.XLOOKUP(A886,'Video Database'!L:L,'Video Database'!G:G,"")</f>
        <v>Gruns Greens Popsicle Firecracker Gummies</v>
      </c>
      <c r="E886" s="100">
        <f t="array" ref="E886">_xlfn.XLOOKUP(A886,'Video Database'!L:L,'Video Database'!H:H,"")</f>
        <v>0.11</v>
      </c>
      <c r="F886" s="101">
        <v>0.0</v>
      </c>
      <c r="G886" s="87">
        <v>0.0</v>
      </c>
      <c r="H886" s="114">
        <f t="array" ref="H886">_xlfn.XLOOKUP(A886,'Video Database'!L:L,'Video Database'!A:A,"")</f>
        <v>46197</v>
      </c>
      <c r="I886" s="103">
        <v>46201.0</v>
      </c>
      <c r="J886" s="104">
        <v>0.0</v>
      </c>
      <c r="K886" s="105"/>
      <c r="L886" s="105" t="str">
        <f t="shared" si="1"/>
        <v/>
      </c>
      <c r="O886" s="106" t="str">
        <f t="shared" si="2"/>
        <v>#N/A</v>
      </c>
      <c r="P886" s="106" t="str">
        <f t="shared" si="3"/>
        <v>#N/A</v>
      </c>
      <c r="Q886" s="84" t="str">
        <f t="shared" si="4"/>
        <v>#N/A</v>
      </c>
      <c r="R886" s="84" t="str">
        <f t="shared" si="5"/>
        <v>#N/A</v>
      </c>
      <c r="S886" s="107">
        <f t="shared" si="6"/>
        <v>-0.11</v>
      </c>
      <c r="T886" s="108">
        <f t="shared" si="7"/>
        <v>-1</v>
      </c>
      <c r="U886" s="106" t="str">
        <f t="shared" si="8"/>
        <v>#N/A</v>
      </c>
      <c r="V886" s="84" t="str">
        <f t="shared" si="9"/>
        <v/>
      </c>
      <c r="W886" s="109" t="str">
        <f t="shared" si="10"/>
        <v/>
      </c>
      <c r="X886" s="109" t="str">
        <f t="shared" si="11"/>
        <v/>
      </c>
      <c r="Y886" s="110" t="str">
        <f t="array" ref="Y886">_xlfn.XLOOKUP(A886,'Video Database'!L:L,'Video Database'!M:M,"")</f>
        <v>Product Overlay</v>
      </c>
    </row>
    <row r="887" ht="22.5" customHeight="1">
      <c r="A887" s="113">
        <f t="shared" si="12"/>
        <v>886</v>
      </c>
      <c r="B887" s="98" t="str">
        <f t="array" ref="B887">_xlfn.XLOOKUP(A887,'Video Database'!L:L,'Video Database'!D:D,"")</f>
        <v>Blakely</v>
      </c>
      <c r="C887" s="98" t="str">
        <f t="array" ref="C887">_xlfn.XLOOKUP(A887,'Video Database'!L:L,'Video Database'!E:E,"")</f>
        <v>Account 4</v>
      </c>
      <c r="D887" s="99" t="str">
        <f t="array" ref="D887">_xlfn.XLOOKUP(A887,'Video Database'!L:L,'Video Database'!G:G,"")</f>
        <v>Portable Magnetic Phone Mount</v>
      </c>
      <c r="E887" s="100">
        <f t="array" ref="E887">_xlfn.XLOOKUP(A887,'Video Database'!L:L,'Video Database'!H:H,"")</f>
        <v>0.11</v>
      </c>
      <c r="F887" s="101">
        <v>0.0</v>
      </c>
      <c r="G887" s="87">
        <v>0.0</v>
      </c>
      <c r="H887" s="114">
        <f t="array" ref="H887">_xlfn.XLOOKUP(A887,'Video Database'!L:L,'Video Database'!A:A,"")</f>
        <v>46197</v>
      </c>
      <c r="I887" s="103">
        <v>46201.0</v>
      </c>
      <c r="J887" s="104">
        <v>0.0</v>
      </c>
      <c r="K887" s="105"/>
      <c r="L887" s="105" t="str">
        <f t="shared" si="1"/>
        <v/>
      </c>
      <c r="O887" s="106" t="str">
        <f t="shared" si="2"/>
        <v>#N/A</v>
      </c>
      <c r="P887" s="106" t="str">
        <f t="shared" si="3"/>
        <v>#N/A</v>
      </c>
      <c r="Q887" s="84" t="str">
        <f t="shared" si="4"/>
        <v>#N/A</v>
      </c>
      <c r="R887" s="84" t="str">
        <f t="shared" si="5"/>
        <v>#N/A</v>
      </c>
      <c r="S887" s="107">
        <f t="shared" si="6"/>
        <v>-0.11</v>
      </c>
      <c r="T887" s="108">
        <f t="shared" si="7"/>
        <v>-1</v>
      </c>
      <c r="U887" s="106" t="str">
        <f t="shared" si="8"/>
        <v>#N/A</v>
      </c>
      <c r="V887" s="84" t="str">
        <f t="shared" si="9"/>
        <v/>
      </c>
      <c r="W887" s="109" t="str">
        <f t="shared" si="10"/>
        <v/>
      </c>
      <c r="X887" s="109" t="str">
        <f t="shared" si="11"/>
        <v/>
      </c>
      <c r="Y887" s="110" t="str">
        <f t="array" ref="Y887">_xlfn.XLOOKUP(A887,'Video Database'!L:L,'Video Database'!M:M,"")</f>
        <v>Product Overlay</v>
      </c>
    </row>
    <row r="888" ht="22.5" customHeight="1">
      <c r="A888" s="113">
        <f t="shared" si="12"/>
        <v>887</v>
      </c>
      <c r="B888" s="98" t="str">
        <f t="array" ref="B888">_xlfn.XLOOKUP(A888,'Video Database'!L:L,'Video Database'!D:D,"")</f>
        <v>Erin</v>
      </c>
      <c r="C888" s="98" t="str">
        <f t="array" ref="C888">_xlfn.XLOOKUP(A888,'Video Database'!L:L,'Video Database'!E:E,"")</f>
        <v>Account 4</v>
      </c>
      <c r="D888" s="99" t="str">
        <f t="array" ref="D888">_xlfn.XLOOKUP(A888,'Video Database'!L:L,'Video Database'!G:G,"")</f>
        <v>Color Wow Quick Refresh and Styling Bundle</v>
      </c>
      <c r="E888" s="100">
        <f t="array" ref="E888">_xlfn.XLOOKUP(A888,'Video Database'!L:L,'Video Database'!H:H,"")</f>
        <v>0.7337</v>
      </c>
      <c r="F888" s="101">
        <v>0.0</v>
      </c>
      <c r="G888" s="87">
        <v>0.0</v>
      </c>
      <c r="H888" s="114">
        <f t="array" ref="H888">_xlfn.XLOOKUP(A888,'Video Database'!L:L,'Video Database'!A:A,"")</f>
        <v>46197</v>
      </c>
      <c r="I888" s="103">
        <v>46201.0</v>
      </c>
      <c r="J888" s="104">
        <v>0.0</v>
      </c>
      <c r="K888" s="105"/>
      <c r="L888" s="105" t="str">
        <f t="shared" si="1"/>
        <v/>
      </c>
      <c r="O888" s="106" t="str">
        <f t="shared" si="2"/>
        <v>#N/A</v>
      </c>
      <c r="P888" s="106" t="str">
        <f t="shared" si="3"/>
        <v>#N/A</v>
      </c>
      <c r="Q888" s="84" t="str">
        <f t="shared" si="4"/>
        <v>#N/A</v>
      </c>
      <c r="R888" s="84" t="str">
        <f t="shared" si="5"/>
        <v>#N/A</v>
      </c>
      <c r="S888" s="107">
        <f t="shared" si="6"/>
        <v>-0.7337</v>
      </c>
      <c r="T888" s="108">
        <f t="shared" si="7"/>
        <v>-1</v>
      </c>
      <c r="U888" s="106" t="str">
        <f t="shared" si="8"/>
        <v>#N/A</v>
      </c>
      <c r="V888" s="84" t="str">
        <f t="shared" si="9"/>
        <v/>
      </c>
      <c r="W888" s="109" t="str">
        <f t="shared" si="10"/>
        <v/>
      </c>
      <c r="X888" s="109" t="str">
        <f t="shared" si="11"/>
        <v/>
      </c>
      <c r="Y888" s="110" t="str">
        <f t="array" ref="Y888">_xlfn.XLOOKUP(A888,'Video Database'!L:L,'Video Database'!M:M,"")</f>
        <v>Bottom of Funnel</v>
      </c>
    </row>
    <row r="889" ht="22.5" customHeight="1">
      <c r="A889" s="113">
        <f t="shared" si="12"/>
        <v>888</v>
      </c>
      <c r="B889" s="98" t="str">
        <f t="array" ref="B889">_xlfn.XLOOKUP(A889,'Video Database'!L:L,'Video Database'!D:D,"")</f>
        <v>Blakely</v>
      </c>
      <c r="C889" s="98" t="str">
        <f t="array" ref="C889">_xlfn.XLOOKUP(A889,'Video Database'!L:L,'Video Database'!E:E,"")</f>
        <v>Account 4</v>
      </c>
      <c r="D889" s="99" t="str">
        <f t="array" ref="D889">_xlfn.XLOOKUP(A889,'Video Database'!L:L,'Video Database'!G:G,"")</f>
        <v>IRIS Hormone Health Drink Mix</v>
      </c>
      <c r="E889" s="100">
        <f t="array" ref="E889">_xlfn.XLOOKUP(A889,'Video Database'!L:L,'Video Database'!H:H,"")</f>
        <v>0.11</v>
      </c>
      <c r="F889" s="101">
        <v>0.0</v>
      </c>
      <c r="G889" s="87">
        <v>0.0</v>
      </c>
      <c r="H889" s="114">
        <f t="array" ref="H889">_xlfn.XLOOKUP(A889,'Video Database'!L:L,'Video Database'!A:A,"")</f>
        <v>46197</v>
      </c>
      <c r="I889" s="103">
        <v>46201.0</v>
      </c>
      <c r="J889" s="104">
        <v>0.0</v>
      </c>
      <c r="K889" s="105"/>
      <c r="L889" s="105" t="str">
        <f t="shared" si="1"/>
        <v/>
      </c>
      <c r="O889" s="106" t="str">
        <f t="shared" si="2"/>
        <v>#N/A</v>
      </c>
      <c r="P889" s="106" t="str">
        <f t="shared" si="3"/>
        <v>#N/A</v>
      </c>
      <c r="Q889" s="84" t="str">
        <f t="shared" si="4"/>
        <v>#N/A</v>
      </c>
      <c r="R889" s="84" t="str">
        <f t="shared" si="5"/>
        <v>#N/A</v>
      </c>
      <c r="S889" s="107">
        <f t="shared" si="6"/>
        <v>-0.11</v>
      </c>
      <c r="T889" s="108">
        <f t="shared" si="7"/>
        <v>-1</v>
      </c>
      <c r="U889" s="106" t="str">
        <f t="shared" si="8"/>
        <v>#N/A</v>
      </c>
      <c r="V889" s="84" t="str">
        <f t="shared" si="9"/>
        <v/>
      </c>
      <c r="W889" s="109" t="str">
        <f t="shared" si="10"/>
        <v/>
      </c>
      <c r="X889" s="109" t="str">
        <f t="shared" si="11"/>
        <v/>
      </c>
      <c r="Y889" s="110" t="str">
        <f t="array" ref="Y889">_xlfn.XLOOKUP(A889,'Video Database'!L:L,'Video Database'!M:M,"")</f>
        <v>Product Overlay</v>
      </c>
    </row>
    <row r="890" ht="22.5" customHeight="1">
      <c r="A890" s="113">
        <f t="shared" si="12"/>
        <v>889</v>
      </c>
      <c r="B890" s="98" t="str">
        <f t="array" ref="B890">_xlfn.XLOOKUP(A890,'Video Database'!L:L,'Video Database'!D:D,"")</f>
        <v>Erin</v>
      </c>
      <c r="C890" s="98" t="str">
        <f t="array" ref="C890">_xlfn.XLOOKUP(A890,'Video Database'!L:L,'Video Database'!E:E,"")</f>
        <v>Account 4</v>
      </c>
      <c r="D890" s="99" t="str">
        <f t="array" ref="D890">_xlfn.XLOOKUP(A890,'Video Database'!L:L,'Video Database'!G:G,"")</f>
        <v>Medicube Kojic Accid Tumeric Power Duo</v>
      </c>
      <c r="E890" s="100">
        <f t="array" ref="E890">_xlfn.XLOOKUP(A890,'Video Database'!L:L,'Video Database'!H:H,"")</f>
        <v>0.7337</v>
      </c>
      <c r="F890" s="101">
        <v>0.0</v>
      </c>
      <c r="G890" s="87">
        <v>0.0</v>
      </c>
      <c r="H890" s="114">
        <f t="array" ref="H890">_xlfn.XLOOKUP(A890,'Video Database'!L:L,'Video Database'!A:A,"")</f>
        <v>46197</v>
      </c>
      <c r="I890" s="103">
        <v>46201.0</v>
      </c>
      <c r="J890" s="104">
        <v>0.0</v>
      </c>
      <c r="K890" s="105"/>
      <c r="L890" s="105" t="str">
        <f t="shared" si="1"/>
        <v/>
      </c>
      <c r="O890" s="106" t="str">
        <f t="shared" si="2"/>
        <v>#N/A</v>
      </c>
      <c r="P890" s="106" t="str">
        <f t="shared" si="3"/>
        <v>#N/A</v>
      </c>
      <c r="Q890" s="84" t="str">
        <f t="shared" si="4"/>
        <v>#N/A</v>
      </c>
      <c r="R890" s="84" t="str">
        <f t="shared" si="5"/>
        <v>#N/A</v>
      </c>
      <c r="S890" s="107">
        <f t="shared" si="6"/>
        <v>-0.7337</v>
      </c>
      <c r="T890" s="108">
        <f t="shared" si="7"/>
        <v>-1</v>
      </c>
      <c r="U890" s="106" t="str">
        <f t="shared" si="8"/>
        <v>#N/A</v>
      </c>
      <c r="V890" s="84" t="str">
        <f t="shared" si="9"/>
        <v/>
      </c>
      <c r="W890" s="109" t="str">
        <f t="shared" si="10"/>
        <v/>
      </c>
      <c r="X890" s="109" t="str">
        <f t="shared" si="11"/>
        <v/>
      </c>
      <c r="Y890" s="110" t="str">
        <f t="array" ref="Y890">_xlfn.XLOOKUP(A890,'Video Database'!L:L,'Video Database'!M:M,"")</f>
        <v>Bottom of Funnel</v>
      </c>
    </row>
    <row r="891" ht="22.5" customHeight="1">
      <c r="A891" s="113">
        <f t="shared" si="12"/>
        <v>890</v>
      </c>
      <c r="B891" s="98" t="str">
        <f t="array" ref="B891">_xlfn.XLOOKUP(A891,'Video Database'!L:L,'Video Database'!D:D,"")</f>
        <v>Erin</v>
      </c>
      <c r="C891" s="98" t="str">
        <f t="array" ref="C891">_xlfn.XLOOKUP(A891,'Video Database'!L:L,'Video Database'!E:E,"")</f>
        <v>Account 4</v>
      </c>
      <c r="D891" s="99" t="str">
        <f t="array" ref="D891">_xlfn.XLOOKUP(A891,'Video Database'!L:L,'Video Database'!G:G,"")</f>
        <v>Medicube Kojic Accid Tumeric Power Duo</v>
      </c>
      <c r="E891" s="100">
        <f t="array" ref="E891">_xlfn.XLOOKUP(A891,'Video Database'!L:L,'Video Database'!H:H,"")</f>
        <v>0.7337</v>
      </c>
      <c r="F891" s="101">
        <v>0.0</v>
      </c>
      <c r="G891" s="87">
        <v>0.0</v>
      </c>
      <c r="H891" s="114">
        <f t="array" ref="H891">_xlfn.XLOOKUP(A891,'Video Database'!L:L,'Video Database'!A:A,"")</f>
        <v>46197</v>
      </c>
      <c r="I891" s="103">
        <v>46201.0</v>
      </c>
      <c r="J891" s="104">
        <v>0.0</v>
      </c>
      <c r="K891" s="105"/>
      <c r="L891" s="105" t="str">
        <f t="shared" si="1"/>
        <v/>
      </c>
      <c r="O891" s="106" t="str">
        <f t="shared" si="2"/>
        <v>#N/A</v>
      </c>
      <c r="P891" s="106" t="str">
        <f t="shared" si="3"/>
        <v>#N/A</v>
      </c>
      <c r="Q891" s="84" t="str">
        <f t="shared" si="4"/>
        <v>#N/A</v>
      </c>
      <c r="R891" s="84" t="str">
        <f t="shared" si="5"/>
        <v>#N/A</v>
      </c>
      <c r="S891" s="107">
        <f t="shared" si="6"/>
        <v>-0.7337</v>
      </c>
      <c r="T891" s="108">
        <f t="shared" si="7"/>
        <v>-1</v>
      </c>
      <c r="U891" s="106" t="str">
        <f t="shared" si="8"/>
        <v>#N/A</v>
      </c>
      <c r="V891" s="84" t="str">
        <f t="shared" si="9"/>
        <v/>
      </c>
      <c r="W891" s="109" t="str">
        <f t="shared" si="10"/>
        <v/>
      </c>
      <c r="X891" s="109" t="str">
        <f t="shared" si="11"/>
        <v/>
      </c>
      <c r="Y891" s="110" t="str">
        <f t="array" ref="Y891">_xlfn.XLOOKUP(A891,'Video Database'!L:L,'Video Database'!M:M,"")</f>
        <v>Bottom of Funnel</v>
      </c>
    </row>
    <row r="892" ht="22.5" customHeight="1">
      <c r="A892" s="113">
        <f t="shared" si="12"/>
        <v>891</v>
      </c>
      <c r="B892" s="98" t="str">
        <f t="array" ref="B892">_xlfn.XLOOKUP(A892,'Video Database'!L:L,'Video Database'!D:D,"")</f>
        <v>Erin</v>
      </c>
      <c r="C892" s="98" t="str">
        <f t="array" ref="C892">_xlfn.XLOOKUP(A892,'Video Database'!L:L,'Video Database'!E:E,"")</f>
        <v>Account 4</v>
      </c>
      <c r="D892" s="99" t="str">
        <f t="array" ref="D892">_xlfn.XLOOKUP(A892,'Video Database'!L:L,'Video Database'!G:G,"")</f>
        <v>Color Wow Quick Refresh and Styling Bundle</v>
      </c>
      <c r="E892" s="100">
        <f t="array" ref="E892">_xlfn.XLOOKUP(A892,'Video Database'!L:L,'Video Database'!H:H,"")</f>
        <v>0.7337</v>
      </c>
      <c r="F892" s="101">
        <v>0.0</v>
      </c>
      <c r="G892" s="87">
        <v>0.0</v>
      </c>
      <c r="H892" s="114">
        <f t="array" ref="H892">_xlfn.XLOOKUP(A892,'Video Database'!L:L,'Video Database'!A:A,"")</f>
        <v>46197</v>
      </c>
      <c r="I892" s="103">
        <v>46201.0</v>
      </c>
      <c r="J892" s="104">
        <v>0.0</v>
      </c>
      <c r="K892" s="105"/>
      <c r="L892" s="105" t="str">
        <f t="shared" si="1"/>
        <v/>
      </c>
      <c r="O892" s="106" t="str">
        <f t="shared" si="2"/>
        <v>#N/A</v>
      </c>
      <c r="P892" s="106" t="str">
        <f t="shared" si="3"/>
        <v>#N/A</v>
      </c>
      <c r="Q892" s="84" t="str">
        <f t="shared" si="4"/>
        <v>#N/A</v>
      </c>
      <c r="R892" s="84" t="str">
        <f t="shared" si="5"/>
        <v>#N/A</v>
      </c>
      <c r="S892" s="107">
        <f t="shared" si="6"/>
        <v>-0.7337</v>
      </c>
      <c r="T892" s="108">
        <f t="shared" si="7"/>
        <v>-1</v>
      </c>
      <c r="U892" s="106" t="str">
        <f t="shared" si="8"/>
        <v>#N/A</v>
      </c>
      <c r="V892" s="84" t="str">
        <f t="shared" si="9"/>
        <v/>
      </c>
      <c r="W892" s="109" t="str">
        <f t="shared" si="10"/>
        <v/>
      </c>
      <c r="X892" s="109" t="str">
        <f t="shared" si="11"/>
        <v/>
      </c>
      <c r="Y892" s="110" t="str">
        <f t="array" ref="Y892">_xlfn.XLOOKUP(A892,'Video Database'!L:L,'Video Database'!M:M,"")</f>
        <v>Bottom of Funnel</v>
      </c>
    </row>
    <row r="893" ht="22.5" customHeight="1">
      <c r="A893" s="113">
        <f t="shared" si="12"/>
        <v>892</v>
      </c>
      <c r="B893" s="98" t="str">
        <f t="array" ref="B893">_xlfn.XLOOKUP(A893,'Video Database'!L:L,'Video Database'!D:D,"")</f>
        <v>Erin</v>
      </c>
      <c r="C893" s="98" t="str">
        <f t="array" ref="C893">_xlfn.XLOOKUP(A893,'Video Database'!L:L,'Video Database'!E:E,"")</f>
        <v>Account 4</v>
      </c>
      <c r="D893" s="99" t="str">
        <f t="array" ref="D893">_xlfn.XLOOKUP(A893,'Video Database'!L:L,'Video Database'!G:G,"")</f>
        <v>Medicube Kojic Accid Tumeric Power Duo</v>
      </c>
      <c r="E893" s="100">
        <f t="array" ref="E893">_xlfn.XLOOKUP(A893,'Video Database'!L:L,'Video Database'!H:H,"")</f>
        <v>0.7337</v>
      </c>
      <c r="F893" s="101">
        <v>0.0</v>
      </c>
      <c r="G893" s="87">
        <v>0.0</v>
      </c>
      <c r="H893" s="114">
        <f t="array" ref="H893">_xlfn.XLOOKUP(A893,'Video Database'!L:L,'Video Database'!A:A,"")</f>
        <v>46197</v>
      </c>
      <c r="I893" s="103">
        <v>46201.0</v>
      </c>
      <c r="J893" s="104">
        <v>0.0</v>
      </c>
      <c r="K893" s="105"/>
      <c r="L893" s="105" t="str">
        <f t="shared" si="1"/>
        <v/>
      </c>
      <c r="O893" s="106" t="str">
        <f t="shared" si="2"/>
        <v>#N/A</v>
      </c>
      <c r="P893" s="106" t="str">
        <f t="shared" si="3"/>
        <v>#N/A</v>
      </c>
      <c r="Q893" s="84" t="str">
        <f t="shared" si="4"/>
        <v>#N/A</v>
      </c>
      <c r="R893" s="84" t="str">
        <f t="shared" si="5"/>
        <v>#N/A</v>
      </c>
      <c r="S893" s="107">
        <f t="shared" si="6"/>
        <v>-0.7337</v>
      </c>
      <c r="T893" s="108">
        <f t="shared" si="7"/>
        <v>-1</v>
      </c>
      <c r="U893" s="106" t="str">
        <f t="shared" si="8"/>
        <v>#N/A</v>
      </c>
      <c r="V893" s="84" t="str">
        <f t="shared" si="9"/>
        <v/>
      </c>
      <c r="W893" s="109" t="str">
        <f t="shared" si="10"/>
        <v/>
      </c>
      <c r="X893" s="109" t="str">
        <f t="shared" si="11"/>
        <v/>
      </c>
      <c r="Y893" s="110" t="str">
        <f t="array" ref="Y893">_xlfn.XLOOKUP(A893,'Video Database'!L:L,'Video Database'!M:M,"")</f>
        <v>Bottom of Funnel</v>
      </c>
    </row>
    <row r="894" ht="22.5" customHeight="1">
      <c r="A894" s="113">
        <f t="shared" si="12"/>
        <v>893</v>
      </c>
      <c r="B894" s="98" t="str">
        <f t="array" ref="B894">_xlfn.XLOOKUP(A894,'Video Database'!L:L,'Video Database'!D:D,"")</f>
        <v>Erin</v>
      </c>
      <c r="C894" s="98" t="str">
        <f t="array" ref="C894">_xlfn.XLOOKUP(A894,'Video Database'!L:L,'Video Database'!E:E,"")</f>
        <v>Account 4</v>
      </c>
      <c r="D894" s="99" t="str">
        <f t="array" ref="D894">_xlfn.XLOOKUP(A894,'Video Database'!L:L,'Video Database'!G:G,"")</f>
        <v>Color Wow Quick Refresh and Styling Bundle</v>
      </c>
      <c r="E894" s="100">
        <f t="array" ref="E894">_xlfn.XLOOKUP(A894,'Video Database'!L:L,'Video Database'!H:H,"")</f>
        <v>0.7337</v>
      </c>
      <c r="F894" s="101">
        <v>0.0</v>
      </c>
      <c r="G894" s="87">
        <v>0.0</v>
      </c>
      <c r="H894" s="114">
        <f t="array" ref="H894">_xlfn.XLOOKUP(A894,'Video Database'!L:L,'Video Database'!A:A,"")</f>
        <v>46197</v>
      </c>
      <c r="I894" s="103">
        <v>46201.0</v>
      </c>
      <c r="J894" s="104">
        <v>0.0</v>
      </c>
      <c r="K894" s="105"/>
      <c r="L894" s="105" t="str">
        <f t="shared" si="1"/>
        <v/>
      </c>
      <c r="O894" s="106" t="str">
        <f t="shared" si="2"/>
        <v>#N/A</v>
      </c>
      <c r="P894" s="106" t="str">
        <f t="shared" si="3"/>
        <v>#N/A</v>
      </c>
      <c r="Q894" s="84" t="str">
        <f t="shared" si="4"/>
        <v>#N/A</v>
      </c>
      <c r="R894" s="84" t="str">
        <f t="shared" si="5"/>
        <v>#N/A</v>
      </c>
      <c r="S894" s="107">
        <f t="shared" si="6"/>
        <v>-0.7337</v>
      </c>
      <c r="T894" s="108">
        <f t="shared" si="7"/>
        <v>-1</v>
      </c>
      <c r="U894" s="106" t="str">
        <f t="shared" si="8"/>
        <v>#N/A</v>
      </c>
      <c r="V894" s="84" t="str">
        <f t="shared" si="9"/>
        <v/>
      </c>
      <c r="W894" s="109" t="str">
        <f t="shared" si="10"/>
        <v/>
      </c>
      <c r="X894" s="109" t="str">
        <f t="shared" si="11"/>
        <v/>
      </c>
      <c r="Y894" s="110" t="str">
        <f t="array" ref="Y894">_xlfn.XLOOKUP(A894,'Video Database'!L:L,'Video Database'!M:M,"")</f>
        <v>Bottom of Funnel</v>
      </c>
    </row>
    <row r="895" ht="22.5" customHeight="1">
      <c r="A895" s="113">
        <f t="shared" si="12"/>
        <v>894</v>
      </c>
      <c r="B895" s="98" t="str">
        <f t="array" ref="B895">_xlfn.XLOOKUP(A895,'Video Database'!L:L,'Video Database'!D:D,"")</f>
        <v>Erin</v>
      </c>
      <c r="C895" s="98" t="str">
        <f t="array" ref="C895">_xlfn.XLOOKUP(A895,'Video Database'!L:L,'Video Database'!E:E,"")</f>
        <v>Account 4</v>
      </c>
      <c r="D895" s="99" t="str">
        <f t="array" ref="D895">_xlfn.XLOOKUP(A895,'Video Database'!L:L,'Video Database'!G:G,"")</f>
        <v>Color Wow Quick Refresh and Styling Bundle</v>
      </c>
      <c r="E895" s="100">
        <f t="array" ref="E895">_xlfn.XLOOKUP(A895,'Video Database'!L:L,'Video Database'!H:H,"")</f>
        <v>0.7337</v>
      </c>
      <c r="F895" s="101">
        <v>0.0</v>
      </c>
      <c r="G895" s="87">
        <v>0.0</v>
      </c>
      <c r="H895" s="114">
        <f t="array" ref="H895">_xlfn.XLOOKUP(A895,'Video Database'!L:L,'Video Database'!A:A,"")</f>
        <v>46197</v>
      </c>
      <c r="I895" s="103">
        <v>46201.0</v>
      </c>
      <c r="J895" s="104">
        <v>0.0</v>
      </c>
      <c r="K895" s="105"/>
      <c r="L895" s="105" t="str">
        <f t="shared" si="1"/>
        <v/>
      </c>
      <c r="O895" s="106" t="str">
        <f t="shared" si="2"/>
        <v>#N/A</v>
      </c>
      <c r="P895" s="106" t="str">
        <f t="shared" si="3"/>
        <v>#N/A</v>
      </c>
      <c r="Q895" s="84" t="str">
        <f t="shared" si="4"/>
        <v>#N/A</v>
      </c>
      <c r="R895" s="84" t="str">
        <f t="shared" si="5"/>
        <v>#N/A</v>
      </c>
      <c r="S895" s="107">
        <f t="shared" si="6"/>
        <v>-0.7337</v>
      </c>
      <c r="T895" s="108">
        <f t="shared" si="7"/>
        <v>-1</v>
      </c>
      <c r="U895" s="106" t="str">
        <f t="shared" si="8"/>
        <v>#N/A</v>
      </c>
      <c r="V895" s="84" t="str">
        <f t="shared" si="9"/>
        <v/>
      </c>
      <c r="W895" s="109" t="str">
        <f t="shared" si="10"/>
        <v/>
      </c>
      <c r="X895" s="109" t="str">
        <f t="shared" si="11"/>
        <v/>
      </c>
      <c r="Y895" s="110" t="str">
        <f t="array" ref="Y895">_xlfn.XLOOKUP(A895,'Video Database'!L:L,'Video Database'!M:M,"")</f>
        <v>Bottom of Funnel</v>
      </c>
    </row>
    <row r="896" ht="22.5" customHeight="1">
      <c r="A896" s="113">
        <f t="shared" si="12"/>
        <v>895</v>
      </c>
      <c r="B896" s="98" t="str">
        <f t="array" ref="B896">_xlfn.XLOOKUP(A896,'Video Database'!L:L,'Video Database'!D:D,"")</f>
        <v>Erin</v>
      </c>
      <c r="C896" s="98" t="str">
        <f t="array" ref="C896">_xlfn.XLOOKUP(A896,'Video Database'!L:L,'Video Database'!E:E,"")</f>
        <v>Account 4</v>
      </c>
      <c r="D896" s="99" t="str">
        <f t="array" ref="D896">_xlfn.XLOOKUP(A896,'Video Database'!L:L,'Video Database'!G:G,"")</f>
        <v>Medicube Kojic Accid Tumeric Power Duo</v>
      </c>
      <c r="E896" s="100">
        <f t="array" ref="E896">_xlfn.XLOOKUP(A896,'Video Database'!L:L,'Video Database'!H:H,"")</f>
        <v>0.7337</v>
      </c>
      <c r="F896" s="101">
        <v>0.0</v>
      </c>
      <c r="G896" s="87">
        <v>0.0</v>
      </c>
      <c r="H896" s="114">
        <f t="array" ref="H896">_xlfn.XLOOKUP(A896,'Video Database'!L:L,'Video Database'!A:A,"")</f>
        <v>46197</v>
      </c>
      <c r="I896" s="103">
        <v>46201.0</v>
      </c>
      <c r="J896" s="104">
        <v>0.0</v>
      </c>
      <c r="K896" s="105"/>
      <c r="L896" s="105" t="str">
        <f t="shared" si="1"/>
        <v/>
      </c>
      <c r="O896" s="106" t="str">
        <f t="shared" si="2"/>
        <v>#N/A</v>
      </c>
      <c r="P896" s="106" t="str">
        <f t="shared" si="3"/>
        <v>#N/A</v>
      </c>
      <c r="Q896" s="84" t="str">
        <f t="shared" si="4"/>
        <v>#N/A</v>
      </c>
      <c r="R896" s="84" t="str">
        <f t="shared" si="5"/>
        <v>#N/A</v>
      </c>
      <c r="S896" s="107">
        <f t="shared" si="6"/>
        <v>-0.7337</v>
      </c>
      <c r="T896" s="108">
        <f t="shared" si="7"/>
        <v>-1</v>
      </c>
      <c r="U896" s="106" t="str">
        <f t="shared" si="8"/>
        <v>#N/A</v>
      </c>
      <c r="V896" s="84" t="str">
        <f t="shared" si="9"/>
        <v/>
      </c>
      <c r="W896" s="109" t="str">
        <f t="shared" si="10"/>
        <v/>
      </c>
      <c r="X896" s="109" t="str">
        <f t="shared" si="11"/>
        <v/>
      </c>
      <c r="Y896" s="110" t="str">
        <f t="array" ref="Y896">_xlfn.XLOOKUP(A896,'Video Database'!L:L,'Video Database'!M:M,"")</f>
        <v>Bottom of Funnel</v>
      </c>
    </row>
    <row r="897" ht="22.5" customHeight="1">
      <c r="A897" s="113">
        <f t="shared" si="12"/>
        <v>896</v>
      </c>
      <c r="B897" s="98" t="str">
        <f t="array" ref="B897">_xlfn.XLOOKUP(A897,'Video Database'!L:L,'Video Database'!D:D,"")</f>
        <v>Blakely</v>
      </c>
      <c r="C897" s="98" t="str">
        <f t="array" ref="C897">_xlfn.XLOOKUP(A897,'Video Database'!L:L,'Video Database'!E:E,"")</f>
        <v>Account 4</v>
      </c>
      <c r="D897" s="99" t="str">
        <f t="array" ref="D897">_xlfn.XLOOKUP(A897,'Video Database'!L:L,'Video Database'!G:G,"")</f>
        <v>Goli Women's Complete Multi Gummy</v>
      </c>
      <c r="E897" s="100">
        <f t="array" ref="E897">_xlfn.XLOOKUP(A897,'Video Database'!L:L,'Video Database'!H:H,"")</f>
        <v>0.11</v>
      </c>
      <c r="F897" s="101">
        <v>0.0</v>
      </c>
      <c r="G897" s="87">
        <v>0.0</v>
      </c>
      <c r="H897" s="114">
        <f t="array" ref="H897">_xlfn.XLOOKUP(A897,'Video Database'!L:L,'Video Database'!A:A,"")</f>
        <v>46197</v>
      </c>
      <c r="I897" s="103">
        <v>46201.0</v>
      </c>
      <c r="J897" s="104">
        <v>0.0</v>
      </c>
      <c r="K897" s="105"/>
      <c r="L897" s="105" t="str">
        <f t="shared" si="1"/>
        <v/>
      </c>
      <c r="O897" s="106" t="str">
        <f t="shared" si="2"/>
        <v>#N/A</v>
      </c>
      <c r="P897" s="106" t="str">
        <f t="shared" si="3"/>
        <v>#N/A</v>
      </c>
      <c r="Q897" s="84" t="str">
        <f t="shared" si="4"/>
        <v>#N/A</v>
      </c>
      <c r="R897" s="84" t="str">
        <f t="shared" si="5"/>
        <v>#N/A</v>
      </c>
      <c r="S897" s="107">
        <f t="shared" si="6"/>
        <v>-0.11</v>
      </c>
      <c r="T897" s="108">
        <f t="shared" si="7"/>
        <v>-1</v>
      </c>
      <c r="U897" s="106" t="str">
        <f t="shared" si="8"/>
        <v>#N/A</v>
      </c>
      <c r="V897" s="84" t="str">
        <f t="shared" si="9"/>
        <v/>
      </c>
      <c r="W897" s="109" t="str">
        <f t="shared" si="10"/>
        <v/>
      </c>
      <c r="X897" s="109" t="str">
        <f t="shared" si="11"/>
        <v/>
      </c>
      <c r="Y897" s="110" t="str">
        <f t="array" ref="Y897">_xlfn.XLOOKUP(A897,'Video Database'!L:L,'Video Database'!M:M,"")</f>
        <v>Product Overlay</v>
      </c>
    </row>
    <row r="898" ht="22.5" customHeight="1">
      <c r="A898" s="113">
        <f t="shared" si="12"/>
        <v>897</v>
      </c>
      <c r="B898" s="98" t="str">
        <f t="array" ref="B898">_xlfn.XLOOKUP(A898,'Video Database'!L:L,'Video Database'!D:D,"")</f>
        <v>Blakely</v>
      </c>
      <c r="C898" s="98" t="str">
        <f t="array" ref="C898">_xlfn.XLOOKUP(A898,'Video Database'!L:L,'Video Database'!E:E,"")</f>
        <v>Account 4</v>
      </c>
      <c r="D898" s="99" t="str">
        <f t="array" ref="D898">_xlfn.XLOOKUP(A898,'Video Database'!L:L,'Video Database'!G:G,"")</f>
        <v>Nutricost Caffine Capsules</v>
      </c>
      <c r="E898" s="100">
        <f t="array" ref="E898">_xlfn.XLOOKUP(A898,'Video Database'!L:L,'Video Database'!H:H,"")</f>
        <v>0.11</v>
      </c>
      <c r="F898" s="101">
        <v>0.0</v>
      </c>
      <c r="G898" s="87">
        <v>0.0</v>
      </c>
      <c r="H898" s="114">
        <f t="array" ref="H898">_xlfn.XLOOKUP(A898,'Video Database'!L:L,'Video Database'!A:A,"")</f>
        <v>46197</v>
      </c>
      <c r="I898" s="103">
        <v>46201.0</v>
      </c>
      <c r="J898" s="104">
        <v>0.0</v>
      </c>
      <c r="K898" s="105"/>
      <c r="L898" s="105" t="str">
        <f t="shared" si="1"/>
        <v/>
      </c>
      <c r="O898" s="106" t="str">
        <f t="shared" si="2"/>
        <v>#N/A</v>
      </c>
      <c r="P898" s="106" t="str">
        <f t="shared" si="3"/>
        <v>#N/A</v>
      </c>
      <c r="Q898" s="84" t="str">
        <f t="shared" si="4"/>
        <v>#N/A</v>
      </c>
      <c r="R898" s="84" t="str">
        <f t="shared" si="5"/>
        <v>#N/A</v>
      </c>
      <c r="S898" s="107">
        <f t="shared" si="6"/>
        <v>-0.11</v>
      </c>
      <c r="T898" s="108">
        <f t="shared" si="7"/>
        <v>-1</v>
      </c>
      <c r="U898" s="106" t="str">
        <f t="shared" si="8"/>
        <v>#N/A</v>
      </c>
      <c r="V898" s="84" t="str">
        <f t="shared" si="9"/>
        <v/>
      </c>
      <c r="W898" s="109" t="str">
        <f t="shared" si="10"/>
        <v/>
      </c>
      <c r="X898" s="109" t="str">
        <f t="shared" si="11"/>
        <v/>
      </c>
      <c r="Y898" s="110" t="str">
        <f t="array" ref="Y898">_xlfn.XLOOKUP(A898,'Video Database'!L:L,'Video Database'!M:M,"")</f>
        <v>Bottom of Funnel</v>
      </c>
    </row>
    <row r="899" ht="22.5" customHeight="1">
      <c r="A899" s="113">
        <f t="shared" si="12"/>
        <v>898</v>
      </c>
      <c r="B899" s="98" t="str">
        <f t="array" ref="B899">_xlfn.XLOOKUP(A899,'Video Database'!L:L,'Video Database'!D:D,"")</f>
        <v>Blakely</v>
      </c>
      <c r="C899" s="98" t="str">
        <f t="array" ref="C899">_xlfn.XLOOKUP(A899,'Video Database'!L:L,'Video Database'!E:E,"")</f>
        <v>Account 4</v>
      </c>
      <c r="D899" s="99" t="str">
        <f t="array" ref="D899">_xlfn.XLOOKUP(A899,'Video Database'!L:L,'Video Database'!G:G,"")</f>
        <v>NeilMed Piercing Aftercare Spray XL</v>
      </c>
      <c r="E899" s="100">
        <f t="array" ref="E899">_xlfn.XLOOKUP(A899,'Video Database'!L:L,'Video Database'!H:H,"")</f>
        <v>0.11</v>
      </c>
      <c r="F899" s="101">
        <v>0.0</v>
      </c>
      <c r="G899" s="87">
        <v>0.0</v>
      </c>
      <c r="H899" s="114">
        <f t="array" ref="H899">_xlfn.XLOOKUP(A899,'Video Database'!L:L,'Video Database'!A:A,"")</f>
        <v>46197</v>
      </c>
      <c r="I899" s="103">
        <v>46201.0</v>
      </c>
      <c r="J899" s="104">
        <v>0.0</v>
      </c>
      <c r="K899" s="105"/>
      <c r="L899" s="105" t="str">
        <f t="shared" si="1"/>
        <v/>
      </c>
      <c r="O899" s="106" t="str">
        <f t="shared" si="2"/>
        <v>#N/A</v>
      </c>
      <c r="P899" s="106" t="str">
        <f t="shared" si="3"/>
        <v>#N/A</v>
      </c>
      <c r="Q899" s="84" t="str">
        <f t="shared" si="4"/>
        <v>#N/A</v>
      </c>
      <c r="R899" s="84" t="str">
        <f t="shared" si="5"/>
        <v>#N/A</v>
      </c>
      <c r="S899" s="107">
        <f t="shared" si="6"/>
        <v>-0.11</v>
      </c>
      <c r="T899" s="108">
        <f t="shared" si="7"/>
        <v>-1</v>
      </c>
      <c r="U899" s="106" t="str">
        <f t="shared" si="8"/>
        <v>#N/A</v>
      </c>
      <c r="V899" s="84" t="str">
        <f t="shared" si="9"/>
        <v/>
      </c>
      <c r="W899" s="109" t="str">
        <f t="shared" si="10"/>
        <v/>
      </c>
      <c r="X899" s="109" t="str">
        <f t="shared" si="11"/>
        <v/>
      </c>
      <c r="Y899" s="110" t="str">
        <f t="array" ref="Y899">_xlfn.XLOOKUP(A899,'Video Database'!L:L,'Video Database'!M:M,"")</f>
        <v>Bottom of Funnel</v>
      </c>
    </row>
    <row r="900" ht="22.5" customHeight="1">
      <c r="A900" s="113">
        <f t="shared" si="12"/>
        <v>899</v>
      </c>
      <c r="B900" s="98" t="str">
        <f t="array" ref="B900">_xlfn.XLOOKUP(A900,'Video Database'!L:L,'Video Database'!D:D,"")</f>
        <v>Blakely</v>
      </c>
      <c r="C900" s="98" t="str">
        <f t="array" ref="C900">_xlfn.XLOOKUP(A900,'Video Database'!L:L,'Video Database'!E:E,"")</f>
        <v>Account 4</v>
      </c>
      <c r="D900" s="99" t="str">
        <f t="array" ref="D900">_xlfn.XLOOKUP(A900,'Video Database'!L:L,'Video Database'!G:G,"")</f>
        <v>IRIS Hormone Health Drink Mix</v>
      </c>
      <c r="E900" s="100">
        <f t="array" ref="E900">_xlfn.XLOOKUP(A900,'Video Database'!L:L,'Video Database'!H:H,"")</f>
        <v>0.11</v>
      </c>
      <c r="F900" s="101">
        <v>0.0</v>
      </c>
      <c r="G900" s="87">
        <v>0.0</v>
      </c>
      <c r="H900" s="114">
        <f t="array" ref="H900">_xlfn.XLOOKUP(A900,'Video Database'!L:L,'Video Database'!A:A,"")</f>
        <v>46197</v>
      </c>
      <c r="I900" s="103">
        <v>46201.0</v>
      </c>
      <c r="J900" s="104">
        <v>0.0</v>
      </c>
      <c r="K900" s="105"/>
      <c r="L900" s="105" t="str">
        <f t="shared" si="1"/>
        <v/>
      </c>
      <c r="O900" s="106" t="str">
        <f t="shared" si="2"/>
        <v>#N/A</v>
      </c>
      <c r="P900" s="106" t="str">
        <f t="shared" si="3"/>
        <v>#N/A</v>
      </c>
      <c r="Q900" s="84" t="str">
        <f t="shared" si="4"/>
        <v>#N/A</v>
      </c>
      <c r="R900" s="84" t="str">
        <f t="shared" si="5"/>
        <v>#N/A</v>
      </c>
      <c r="S900" s="107">
        <f t="shared" si="6"/>
        <v>-0.11</v>
      </c>
      <c r="T900" s="108">
        <f t="shared" si="7"/>
        <v>-1</v>
      </c>
      <c r="U900" s="106" t="str">
        <f t="shared" si="8"/>
        <v>#N/A</v>
      </c>
      <c r="V900" s="84" t="str">
        <f t="shared" si="9"/>
        <v/>
      </c>
      <c r="W900" s="109" t="str">
        <f t="shared" si="10"/>
        <v/>
      </c>
      <c r="X900" s="109" t="str">
        <f t="shared" si="11"/>
        <v/>
      </c>
      <c r="Y900" s="110" t="str">
        <f t="array" ref="Y900">_xlfn.XLOOKUP(A900,'Video Database'!L:L,'Video Database'!M:M,"")</f>
        <v>Product Overlay</v>
      </c>
    </row>
    <row r="901" ht="22.5" customHeight="1">
      <c r="A901" s="113">
        <f t="shared" si="12"/>
        <v>900</v>
      </c>
      <c r="B901" s="98" t="str">
        <f t="array" ref="B901">_xlfn.XLOOKUP(A901,'Video Database'!L:L,'Video Database'!D:D,"")</f>
        <v>Blakely</v>
      </c>
      <c r="C901" s="98" t="str">
        <f t="array" ref="C901">_xlfn.XLOOKUP(A901,'Video Database'!L:L,'Video Database'!E:E,"")</f>
        <v>Account 4</v>
      </c>
      <c r="D901" s="99" t="str">
        <f t="array" ref="D901">_xlfn.XLOOKUP(A901,'Video Database'!L:L,'Video Database'!G:G,"")</f>
        <v>Gorilla Mode Base Preworkout</v>
      </c>
      <c r="E901" s="100">
        <f t="array" ref="E901">_xlfn.XLOOKUP(A901,'Video Database'!L:L,'Video Database'!H:H,"")</f>
        <v>0.11</v>
      </c>
      <c r="F901" s="101">
        <v>0.0</v>
      </c>
      <c r="G901" s="87">
        <v>0.0</v>
      </c>
      <c r="H901" s="114">
        <f t="array" ref="H901">_xlfn.XLOOKUP(A901,'Video Database'!L:L,'Video Database'!A:A,"")</f>
        <v>46197</v>
      </c>
      <c r="I901" s="103">
        <v>46201.0</v>
      </c>
      <c r="J901" s="104">
        <v>0.0</v>
      </c>
      <c r="K901" s="105"/>
      <c r="L901" s="105" t="str">
        <f t="shared" si="1"/>
        <v/>
      </c>
      <c r="O901" s="106" t="str">
        <f t="shared" si="2"/>
        <v>#N/A</v>
      </c>
      <c r="P901" s="106" t="str">
        <f t="shared" si="3"/>
        <v>#N/A</v>
      </c>
      <c r="Q901" s="84" t="str">
        <f t="shared" si="4"/>
        <v>#N/A</v>
      </c>
      <c r="R901" s="84" t="str">
        <f t="shared" si="5"/>
        <v>#N/A</v>
      </c>
      <c r="S901" s="107">
        <f t="shared" si="6"/>
        <v>-0.11</v>
      </c>
      <c r="T901" s="108">
        <f t="shared" si="7"/>
        <v>-1</v>
      </c>
      <c r="U901" s="106" t="str">
        <f t="shared" si="8"/>
        <v>#N/A</v>
      </c>
      <c r="V901" s="84" t="str">
        <f t="shared" si="9"/>
        <v/>
      </c>
      <c r="W901" s="109" t="str">
        <f t="shared" si="10"/>
        <v/>
      </c>
      <c r="X901" s="109" t="str">
        <f t="shared" si="11"/>
        <v/>
      </c>
      <c r="Y901" s="110" t="str">
        <f t="array" ref="Y901">_xlfn.XLOOKUP(A901,'Video Database'!L:L,'Video Database'!M:M,"")</f>
        <v>Product Overlay</v>
      </c>
    </row>
    <row r="902" ht="22.5" customHeight="1">
      <c r="A902" s="113">
        <f t="shared" si="12"/>
        <v>901</v>
      </c>
      <c r="B902" s="98" t="str">
        <f t="array" ref="B902">_xlfn.XLOOKUP(A902,'Video Database'!L:L,'Video Database'!D:D,"")</f>
        <v>Blakely</v>
      </c>
      <c r="C902" s="98" t="str">
        <f t="array" ref="C902">_xlfn.XLOOKUP(A902,'Video Database'!L:L,'Video Database'!E:E,"")</f>
        <v>Account 4</v>
      </c>
      <c r="D902" s="98" t="str">
        <f t="array" ref="D902">_xlfn.XLOOKUP(A902,'Video Database'!L:L,'Video Database'!G:G,"")</f>
        <v>JOYMODE Ignite Libido Support</v>
      </c>
      <c r="E902" s="136">
        <f t="array" ref="E902">_xlfn.XLOOKUP(A902,'Video Database'!L:L,'Video Database'!H:H,"")</f>
        <v>0.11</v>
      </c>
      <c r="F902" s="101">
        <v>137.92</v>
      </c>
      <c r="G902" s="87">
        <v>4.0</v>
      </c>
      <c r="H902" s="114">
        <f t="array" ref="H902">_xlfn.XLOOKUP(A902,'Video Database'!L:L,'Video Database'!A:A,"")</f>
        <v>46197</v>
      </c>
      <c r="I902" s="103">
        <v>46201.0</v>
      </c>
      <c r="J902" s="104">
        <v>13.2</v>
      </c>
      <c r="K902" s="87">
        <v>54.0</v>
      </c>
      <c r="L902" s="105">
        <f t="shared" si="1"/>
        <v>3600</v>
      </c>
      <c r="M902" s="87">
        <v>3600.0</v>
      </c>
      <c r="O902" s="106">
        <f t="shared" si="2"/>
        <v>0.015</v>
      </c>
      <c r="P902" s="106">
        <f t="shared" si="3"/>
        <v>0.07407407407</v>
      </c>
      <c r="Q902" s="84">
        <f t="shared" si="4"/>
        <v>3.3</v>
      </c>
      <c r="R902" s="84">
        <f t="shared" si="5"/>
        <v>34.48</v>
      </c>
      <c r="S902" s="107">
        <f t="shared" si="6"/>
        <v>13.09</v>
      </c>
      <c r="T902" s="108">
        <f t="shared" si="7"/>
        <v>119</v>
      </c>
      <c r="U902" s="106">
        <f t="shared" si="8"/>
        <v>0.9916666667</v>
      </c>
      <c r="V902" s="129">
        <f t="shared" si="9"/>
        <v>0.0275</v>
      </c>
      <c r="W902" s="109">
        <f t="shared" si="10"/>
        <v>0.002037037037</v>
      </c>
      <c r="X902" s="109">
        <f t="shared" si="11"/>
        <v>0.07975638051</v>
      </c>
      <c r="Y902" s="110" t="str">
        <f t="array" ref="Y902">_xlfn.XLOOKUP(A902,'Video Database'!L:L,'Video Database'!M:M,"")</f>
        <v>Product Overlay</v>
      </c>
    </row>
    <row r="903" ht="22.5" customHeight="1">
      <c r="A903" s="113">
        <f t="shared" si="12"/>
        <v>902</v>
      </c>
      <c r="B903" s="98" t="str">
        <f t="array" ref="B903">_xlfn.XLOOKUP(A903,'Video Database'!L:L,'Video Database'!D:D,"")</f>
        <v>Blakely</v>
      </c>
      <c r="C903" s="98" t="str">
        <f t="array" ref="C903">_xlfn.XLOOKUP(A903,'Video Database'!L:L,'Video Database'!E:E,"")</f>
        <v>Account 4</v>
      </c>
      <c r="D903" s="99" t="str">
        <f t="array" ref="D903">_xlfn.XLOOKUP(A903,'Video Database'!L:L,'Video Database'!G:G,"")</f>
        <v>Ekkovision Lifting Straps (D-ring)</v>
      </c>
      <c r="E903" s="100">
        <f t="array" ref="E903">_xlfn.XLOOKUP(A903,'Video Database'!L:L,'Video Database'!H:H,"")</f>
        <v>0.11</v>
      </c>
      <c r="F903" s="101">
        <v>0.0</v>
      </c>
      <c r="G903" s="87">
        <v>0.0</v>
      </c>
      <c r="H903" s="114">
        <f t="array" ref="H903">_xlfn.XLOOKUP(A903,'Video Database'!L:L,'Video Database'!A:A,"")</f>
        <v>46197</v>
      </c>
      <c r="I903" s="103">
        <v>46201.0</v>
      </c>
      <c r="J903" s="104">
        <v>0.0</v>
      </c>
      <c r="K903" s="105"/>
      <c r="L903" s="105" t="str">
        <f t="shared" si="1"/>
        <v/>
      </c>
      <c r="O903" s="106" t="str">
        <f t="shared" si="2"/>
        <v>#N/A</v>
      </c>
      <c r="P903" s="106" t="str">
        <f t="shared" si="3"/>
        <v>#N/A</v>
      </c>
      <c r="Q903" s="84" t="str">
        <f t="shared" si="4"/>
        <v>#N/A</v>
      </c>
      <c r="R903" s="84" t="str">
        <f t="shared" si="5"/>
        <v>#N/A</v>
      </c>
      <c r="S903" s="107">
        <f t="shared" si="6"/>
        <v>-0.11</v>
      </c>
      <c r="T903" s="108">
        <f t="shared" si="7"/>
        <v>-1</v>
      </c>
      <c r="U903" s="106" t="str">
        <f t="shared" si="8"/>
        <v>#N/A</v>
      </c>
      <c r="V903" s="84" t="str">
        <f t="shared" si="9"/>
        <v/>
      </c>
      <c r="W903" s="109" t="str">
        <f t="shared" si="10"/>
        <v/>
      </c>
      <c r="X903" s="109" t="str">
        <f t="shared" si="11"/>
        <v/>
      </c>
      <c r="Y903" s="110" t="str">
        <f t="array" ref="Y903">_xlfn.XLOOKUP(A903,'Video Database'!L:L,'Video Database'!M:M,"")</f>
        <v>Bottom of Funnel</v>
      </c>
    </row>
    <row r="904" ht="22.5" customHeight="1">
      <c r="A904" s="113">
        <f t="shared" si="12"/>
        <v>903</v>
      </c>
      <c r="B904" s="98" t="str">
        <f t="array" ref="B904">_xlfn.XLOOKUP(A904,'Video Database'!L:L,'Video Database'!D:D,"")</f>
        <v>Blakely</v>
      </c>
      <c r="C904" s="98" t="str">
        <f t="array" ref="C904">_xlfn.XLOOKUP(A904,'Video Database'!L:L,'Video Database'!E:E,"")</f>
        <v>Account 4</v>
      </c>
      <c r="D904" s="99" t="str">
        <f t="array" ref="D904">_xlfn.XLOOKUP(A904,'Video Database'!L:L,'Video Database'!G:G,"")</f>
        <v>RAW Nutrition Bum Essential Preworkout</v>
      </c>
      <c r="E904" s="100">
        <f t="array" ref="E904">_xlfn.XLOOKUP(A904,'Video Database'!L:L,'Video Database'!H:H,"")</f>
        <v>0.11</v>
      </c>
      <c r="F904" s="101">
        <v>0.0</v>
      </c>
      <c r="G904" s="87">
        <v>0.0</v>
      </c>
      <c r="H904" s="114">
        <f t="array" ref="H904">_xlfn.XLOOKUP(A904,'Video Database'!L:L,'Video Database'!A:A,"")</f>
        <v>46197</v>
      </c>
      <c r="I904" s="103">
        <v>46201.0</v>
      </c>
      <c r="J904" s="104">
        <v>0.0</v>
      </c>
      <c r="K904" s="105"/>
      <c r="L904" s="105" t="str">
        <f t="shared" si="1"/>
        <v/>
      </c>
      <c r="O904" s="106" t="str">
        <f t="shared" si="2"/>
        <v>#N/A</v>
      </c>
      <c r="P904" s="106" t="str">
        <f t="shared" si="3"/>
        <v>#N/A</v>
      </c>
      <c r="Q904" s="84" t="str">
        <f t="shared" si="4"/>
        <v>#N/A</v>
      </c>
      <c r="R904" s="84" t="str">
        <f t="shared" si="5"/>
        <v>#N/A</v>
      </c>
      <c r="S904" s="107">
        <f t="shared" si="6"/>
        <v>-0.11</v>
      </c>
      <c r="T904" s="108">
        <f t="shared" si="7"/>
        <v>-1</v>
      </c>
      <c r="U904" s="106" t="str">
        <f t="shared" si="8"/>
        <v>#N/A</v>
      </c>
      <c r="V904" s="84" t="str">
        <f t="shared" si="9"/>
        <v/>
      </c>
      <c r="W904" s="109" t="str">
        <f t="shared" si="10"/>
        <v/>
      </c>
      <c r="X904" s="109" t="str">
        <f t="shared" si="11"/>
        <v/>
      </c>
      <c r="Y904" s="110" t="str">
        <f t="array" ref="Y904">_xlfn.XLOOKUP(A904,'Video Database'!L:L,'Video Database'!M:M,"")</f>
        <v>Bottom of Funnel</v>
      </c>
    </row>
    <row r="905" ht="22.5" customHeight="1">
      <c r="A905" s="113">
        <f t="shared" si="12"/>
        <v>904</v>
      </c>
      <c r="B905" s="98" t="str">
        <f t="array" ref="B905">_xlfn.XLOOKUP(A905,'Video Database'!L:L,'Video Database'!D:D,"")</f>
        <v>Erin</v>
      </c>
      <c r="C905" s="98" t="str">
        <f t="array" ref="C905">_xlfn.XLOOKUP(A905,'Video Database'!L:L,'Video Database'!E:E,"")</f>
        <v>Account 4</v>
      </c>
      <c r="D905" s="99" t="str">
        <f t="array" ref="D905">_xlfn.XLOOKUP(A905,'Video Database'!L:L,'Video Database'!G:G,"")</f>
        <v>Camellia Deep Collagen Lifting Gel Mask</v>
      </c>
      <c r="E905" s="100">
        <f t="array" ref="E905">_xlfn.XLOOKUP(A905,'Video Database'!L:L,'Video Database'!H:H,"")</f>
        <v>0.7337</v>
      </c>
      <c r="F905" s="101">
        <v>0.0</v>
      </c>
      <c r="G905" s="87">
        <v>0.0</v>
      </c>
      <c r="H905" s="114">
        <f t="array" ref="H905">_xlfn.XLOOKUP(A905,'Video Database'!L:L,'Video Database'!A:A,"")</f>
        <v>46197</v>
      </c>
      <c r="I905" s="103">
        <v>46201.0</v>
      </c>
      <c r="J905" s="104">
        <v>0.0</v>
      </c>
      <c r="K905" s="105"/>
      <c r="L905" s="105" t="str">
        <f t="shared" si="1"/>
        <v/>
      </c>
      <c r="O905" s="106" t="str">
        <f t="shared" si="2"/>
        <v>#N/A</v>
      </c>
      <c r="P905" s="106" t="str">
        <f t="shared" si="3"/>
        <v>#N/A</v>
      </c>
      <c r="Q905" s="84" t="str">
        <f t="shared" si="4"/>
        <v>#N/A</v>
      </c>
      <c r="R905" s="84" t="str">
        <f t="shared" si="5"/>
        <v>#N/A</v>
      </c>
      <c r="S905" s="107">
        <f t="shared" si="6"/>
        <v>-0.7337</v>
      </c>
      <c r="T905" s="108">
        <f t="shared" si="7"/>
        <v>-1</v>
      </c>
      <c r="U905" s="106" t="str">
        <f t="shared" si="8"/>
        <v>#N/A</v>
      </c>
      <c r="V905" s="84" t="str">
        <f t="shared" si="9"/>
        <v/>
      </c>
      <c r="W905" s="109" t="str">
        <f t="shared" si="10"/>
        <v/>
      </c>
      <c r="X905" s="109" t="str">
        <f t="shared" si="11"/>
        <v/>
      </c>
      <c r="Y905" s="110" t="str">
        <f t="array" ref="Y905">_xlfn.XLOOKUP(A905,'Video Database'!L:L,'Video Database'!M:M,"")</f>
        <v>Bottom of Funnel</v>
      </c>
    </row>
    <row r="906" ht="22.5" customHeight="1">
      <c r="A906" s="113">
        <f t="shared" si="12"/>
        <v>905</v>
      </c>
      <c r="B906" s="98" t="str">
        <f t="array" ref="B906">_xlfn.XLOOKUP(A906,'Video Database'!L:L,'Video Database'!D:D,"")</f>
        <v>Blakely</v>
      </c>
      <c r="C906" s="98" t="str">
        <f t="array" ref="C906">_xlfn.XLOOKUP(A906,'Video Database'!L:L,'Video Database'!E:E,"")</f>
        <v>Account 1</v>
      </c>
      <c r="D906" s="99" t="str">
        <f t="array" ref="D906">_xlfn.XLOOKUP(A906,'Video Database'!L:L,'Video Database'!G:G,"")</f>
        <v>NeilMed Piercing Aftercare Spray XL</v>
      </c>
      <c r="E906" s="100">
        <f t="array" ref="E906">_xlfn.XLOOKUP(A906,'Video Database'!L:L,'Video Database'!H:H,"")</f>
        <v>0.11</v>
      </c>
      <c r="F906" s="101">
        <v>0.0</v>
      </c>
      <c r="G906" s="87">
        <v>0.0</v>
      </c>
      <c r="H906" s="114">
        <f t="array" ref="H906">_xlfn.XLOOKUP(A906,'Video Database'!L:L,'Video Database'!A:A,"")</f>
        <v>46198</v>
      </c>
      <c r="I906" s="103">
        <v>46201.0</v>
      </c>
      <c r="J906" s="104">
        <v>0.0</v>
      </c>
      <c r="K906" s="105"/>
      <c r="L906" s="105" t="str">
        <f t="shared" si="1"/>
        <v/>
      </c>
      <c r="O906" s="106" t="str">
        <f t="shared" si="2"/>
        <v>#N/A</v>
      </c>
      <c r="P906" s="106" t="str">
        <f t="shared" si="3"/>
        <v>#N/A</v>
      </c>
      <c r="Q906" s="84" t="str">
        <f t="shared" si="4"/>
        <v>#N/A</v>
      </c>
      <c r="R906" s="84" t="str">
        <f t="shared" si="5"/>
        <v>#N/A</v>
      </c>
      <c r="S906" s="107">
        <f t="shared" si="6"/>
        <v>-0.11</v>
      </c>
      <c r="T906" s="108">
        <f t="shared" si="7"/>
        <v>-1</v>
      </c>
      <c r="U906" s="106" t="str">
        <f t="shared" si="8"/>
        <v>#N/A</v>
      </c>
      <c r="V906" s="84" t="str">
        <f t="shared" si="9"/>
        <v/>
      </c>
      <c r="W906" s="109" t="str">
        <f t="shared" si="10"/>
        <v/>
      </c>
      <c r="X906" s="109" t="str">
        <f t="shared" si="11"/>
        <v/>
      </c>
      <c r="Y906" s="110" t="str">
        <f t="array" ref="Y906">_xlfn.XLOOKUP(A906,'Video Database'!L:L,'Video Database'!M:M,"")</f>
        <v>Product Overlay</v>
      </c>
    </row>
    <row r="907" ht="22.5" customHeight="1">
      <c r="A907" s="113">
        <f t="shared" si="12"/>
        <v>906</v>
      </c>
      <c r="B907" s="98" t="str">
        <f t="array" ref="B907">_xlfn.XLOOKUP(A907,'Video Database'!L:L,'Video Database'!D:D,"")</f>
        <v>Blakely</v>
      </c>
      <c r="C907" s="98" t="str">
        <f t="array" ref="C907">_xlfn.XLOOKUP(A907,'Video Database'!L:L,'Video Database'!E:E,"")</f>
        <v>Account 1</v>
      </c>
      <c r="D907" s="99" t="str">
        <f t="array" ref="D907">_xlfn.XLOOKUP(A907,'Video Database'!L:L,'Video Database'!G:G,"")</f>
        <v>Beast Bites Creatine Gummies</v>
      </c>
      <c r="E907" s="100">
        <f t="array" ref="E907">_xlfn.XLOOKUP(A907,'Video Database'!L:L,'Video Database'!H:H,"")</f>
        <v>0.11</v>
      </c>
      <c r="F907" s="101">
        <v>0.0</v>
      </c>
      <c r="G907" s="87">
        <v>0.0</v>
      </c>
      <c r="H907" s="114">
        <f t="array" ref="H907">_xlfn.XLOOKUP(A907,'Video Database'!L:L,'Video Database'!A:A,"")</f>
        <v>46198</v>
      </c>
      <c r="I907" s="103">
        <v>46201.0</v>
      </c>
      <c r="J907" s="104">
        <v>0.0</v>
      </c>
      <c r="K907" s="105"/>
      <c r="L907" s="105" t="str">
        <f t="shared" si="1"/>
        <v/>
      </c>
      <c r="O907" s="106" t="str">
        <f t="shared" si="2"/>
        <v>#N/A</v>
      </c>
      <c r="P907" s="106" t="str">
        <f t="shared" si="3"/>
        <v>#N/A</v>
      </c>
      <c r="Q907" s="84" t="str">
        <f t="shared" si="4"/>
        <v>#N/A</v>
      </c>
      <c r="R907" s="84" t="str">
        <f t="shared" si="5"/>
        <v>#N/A</v>
      </c>
      <c r="S907" s="107">
        <f t="shared" si="6"/>
        <v>-0.11</v>
      </c>
      <c r="T907" s="108">
        <f t="shared" si="7"/>
        <v>-1</v>
      </c>
      <c r="U907" s="106" t="str">
        <f t="shared" si="8"/>
        <v>#N/A</v>
      </c>
      <c r="V907" s="84" t="str">
        <f t="shared" si="9"/>
        <v/>
      </c>
      <c r="W907" s="109" t="str">
        <f t="shared" si="10"/>
        <v/>
      </c>
      <c r="X907" s="109" t="str">
        <f t="shared" si="11"/>
        <v/>
      </c>
      <c r="Y907" s="110" t="str">
        <f t="array" ref="Y907">_xlfn.XLOOKUP(A907,'Video Database'!L:L,'Video Database'!M:M,"")</f>
        <v>Bottom of Funnel</v>
      </c>
    </row>
    <row r="908" ht="22.5" customHeight="1">
      <c r="A908" s="113">
        <f t="shared" si="12"/>
        <v>907</v>
      </c>
      <c r="B908" s="98" t="str">
        <f t="array" ref="B908">_xlfn.XLOOKUP(A908,'Video Database'!L:L,'Video Database'!D:D,"")</f>
        <v>Blakely</v>
      </c>
      <c r="C908" s="98" t="str">
        <f t="array" ref="C908">_xlfn.XLOOKUP(A908,'Video Database'!L:L,'Video Database'!E:E,"")</f>
        <v>Account 1</v>
      </c>
      <c r="D908" s="99" t="str">
        <f t="array" ref="D908">_xlfn.XLOOKUP(A908,'Video Database'!L:L,'Video Database'!G:G,"")</f>
        <v>Nutricost Caffine Capsules</v>
      </c>
      <c r="E908" s="100">
        <f t="array" ref="E908">_xlfn.XLOOKUP(A908,'Video Database'!L:L,'Video Database'!H:H,"")</f>
        <v>0.11</v>
      </c>
      <c r="F908" s="101">
        <v>0.0</v>
      </c>
      <c r="G908" s="87">
        <v>0.0</v>
      </c>
      <c r="H908" s="114">
        <f t="array" ref="H908">_xlfn.XLOOKUP(A908,'Video Database'!L:L,'Video Database'!A:A,"")</f>
        <v>46198</v>
      </c>
      <c r="I908" s="103">
        <v>46201.0</v>
      </c>
      <c r="J908" s="104">
        <v>0.0</v>
      </c>
      <c r="K908" s="105"/>
      <c r="L908" s="105" t="str">
        <f t="shared" si="1"/>
        <v/>
      </c>
      <c r="O908" s="106" t="str">
        <f t="shared" si="2"/>
        <v>#N/A</v>
      </c>
      <c r="P908" s="106" t="str">
        <f t="shared" si="3"/>
        <v>#N/A</v>
      </c>
      <c r="Q908" s="84" t="str">
        <f t="shared" si="4"/>
        <v>#N/A</v>
      </c>
      <c r="R908" s="84" t="str">
        <f t="shared" si="5"/>
        <v>#N/A</v>
      </c>
      <c r="S908" s="107">
        <f t="shared" si="6"/>
        <v>-0.11</v>
      </c>
      <c r="T908" s="108">
        <f t="shared" si="7"/>
        <v>-1</v>
      </c>
      <c r="U908" s="106" t="str">
        <f t="shared" si="8"/>
        <v>#N/A</v>
      </c>
      <c r="V908" s="84" t="str">
        <f t="shared" si="9"/>
        <v/>
      </c>
      <c r="W908" s="109" t="str">
        <f t="shared" si="10"/>
        <v/>
      </c>
      <c r="X908" s="109" t="str">
        <f t="shared" si="11"/>
        <v/>
      </c>
      <c r="Y908" s="110" t="str">
        <f t="array" ref="Y908">_xlfn.XLOOKUP(A908,'Video Database'!L:L,'Video Database'!M:M,"")</f>
        <v>Bottom of Funnel</v>
      </c>
    </row>
    <row r="909" ht="22.5" customHeight="1">
      <c r="A909" s="113">
        <f t="shared" si="12"/>
        <v>908</v>
      </c>
      <c r="B909" s="98" t="str">
        <f t="array" ref="B909">_xlfn.XLOOKUP(A909,'Video Database'!L:L,'Video Database'!D:D,"")</f>
        <v>Erin</v>
      </c>
      <c r="C909" s="98" t="str">
        <f t="array" ref="C909">_xlfn.XLOOKUP(A909,'Video Database'!L:L,'Video Database'!E:E,"")</f>
        <v>Account 1</v>
      </c>
      <c r="D909" s="99" t="str">
        <f t="array" ref="D909">_xlfn.XLOOKUP(A909,'Video Database'!L:L,'Video Database'!G:G,"")</f>
        <v>Camellia Deep Collagen Lifting Gel Mask</v>
      </c>
      <c r="E909" s="100">
        <f t="array" ref="E909">_xlfn.XLOOKUP(A909,'Video Database'!L:L,'Video Database'!H:H,"")</f>
        <v>0.7337</v>
      </c>
      <c r="F909" s="101">
        <v>0.0</v>
      </c>
      <c r="G909" s="87">
        <v>0.0</v>
      </c>
      <c r="H909" s="114">
        <f t="array" ref="H909">_xlfn.XLOOKUP(A909,'Video Database'!L:L,'Video Database'!A:A,"")</f>
        <v>46198</v>
      </c>
      <c r="I909" s="103">
        <v>46201.0</v>
      </c>
      <c r="J909" s="104">
        <v>0.0</v>
      </c>
      <c r="K909" s="105"/>
      <c r="L909" s="105" t="str">
        <f t="shared" si="1"/>
        <v/>
      </c>
      <c r="O909" s="106" t="str">
        <f t="shared" si="2"/>
        <v>#N/A</v>
      </c>
      <c r="P909" s="106" t="str">
        <f t="shared" si="3"/>
        <v>#N/A</v>
      </c>
      <c r="Q909" s="84" t="str">
        <f t="shared" si="4"/>
        <v>#N/A</v>
      </c>
      <c r="R909" s="84" t="str">
        <f t="shared" si="5"/>
        <v>#N/A</v>
      </c>
      <c r="S909" s="107">
        <f t="shared" si="6"/>
        <v>-0.7337</v>
      </c>
      <c r="T909" s="108">
        <f t="shared" si="7"/>
        <v>-1</v>
      </c>
      <c r="U909" s="106" t="str">
        <f t="shared" si="8"/>
        <v>#N/A</v>
      </c>
      <c r="V909" s="84" t="str">
        <f t="shared" si="9"/>
        <v/>
      </c>
      <c r="W909" s="109" t="str">
        <f t="shared" si="10"/>
        <v/>
      </c>
      <c r="X909" s="109" t="str">
        <f t="shared" si="11"/>
        <v/>
      </c>
      <c r="Y909" s="110" t="str">
        <f t="array" ref="Y909">_xlfn.XLOOKUP(A909,'Video Database'!L:L,'Video Database'!M:M,"")</f>
        <v>Bottom of Funnel</v>
      </c>
    </row>
    <row r="910" ht="22.5" customHeight="1">
      <c r="A910" s="113">
        <f t="shared" si="12"/>
        <v>909</v>
      </c>
      <c r="B910" s="98" t="str">
        <f t="array" ref="B910">_xlfn.XLOOKUP(A910,'Video Database'!L:L,'Video Database'!D:D,"")</f>
        <v>Blakely</v>
      </c>
      <c r="C910" s="98" t="str">
        <f t="array" ref="C910">_xlfn.XLOOKUP(A910,'Video Database'!L:L,'Video Database'!E:E,"")</f>
        <v>Account 1</v>
      </c>
      <c r="D910" s="99" t="str">
        <f t="array" ref="D910">_xlfn.XLOOKUP(A910,'Video Database'!L:L,'Video Database'!G:G,"")</f>
        <v>RAW Nutrition Bum Essential Preworkout</v>
      </c>
      <c r="E910" s="100">
        <f t="array" ref="E910">_xlfn.XLOOKUP(A910,'Video Database'!L:L,'Video Database'!H:H,"")</f>
        <v>0.11</v>
      </c>
      <c r="F910" s="101">
        <v>0.0</v>
      </c>
      <c r="G910" s="87">
        <v>0.0</v>
      </c>
      <c r="H910" s="114">
        <f t="array" ref="H910">_xlfn.XLOOKUP(A910,'Video Database'!L:L,'Video Database'!A:A,"")</f>
        <v>46198</v>
      </c>
      <c r="I910" s="103">
        <v>46201.0</v>
      </c>
      <c r="J910" s="104">
        <v>0.0</v>
      </c>
      <c r="K910" s="105"/>
      <c r="L910" s="105" t="str">
        <f t="shared" si="1"/>
        <v/>
      </c>
      <c r="O910" s="106" t="str">
        <f t="shared" si="2"/>
        <v>#N/A</v>
      </c>
      <c r="P910" s="106" t="str">
        <f t="shared" si="3"/>
        <v>#N/A</v>
      </c>
      <c r="Q910" s="84" t="str">
        <f t="shared" si="4"/>
        <v>#N/A</v>
      </c>
      <c r="R910" s="84" t="str">
        <f t="shared" si="5"/>
        <v>#N/A</v>
      </c>
      <c r="S910" s="107">
        <f t="shared" si="6"/>
        <v>-0.11</v>
      </c>
      <c r="T910" s="108">
        <f t="shared" si="7"/>
        <v>-1</v>
      </c>
      <c r="U910" s="106" t="str">
        <f t="shared" si="8"/>
        <v>#N/A</v>
      </c>
      <c r="V910" s="84" t="str">
        <f t="shared" si="9"/>
        <v/>
      </c>
      <c r="W910" s="109" t="str">
        <f t="shared" si="10"/>
        <v/>
      </c>
      <c r="X910" s="109" t="str">
        <f t="shared" si="11"/>
        <v/>
      </c>
      <c r="Y910" s="110" t="str">
        <f t="array" ref="Y910">_xlfn.XLOOKUP(A910,'Video Database'!L:L,'Video Database'!M:M,"")</f>
        <v>Product Overlay</v>
      </c>
    </row>
    <row r="911" ht="22.5" customHeight="1">
      <c r="A911" s="113">
        <f t="shared" si="12"/>
        <v>910</v>
      </c>
      <c r="B911" s="98" t="str">
        <f t="array" ref="B911">_xlfn.XLOOKUP(A911,'Video Database'!L:L,'Video Database'!D:D,"")</f>
        <v>Blakely</v>
      </c>
      <c r="C911" s="98" t="str">
        <f t="array" ref="C911">_xlfn.XLOOKUP(A911,'Video Database'!L:L,'Video Database'!E:E,"")</f>
        <v>Account 1</v>
      </c>
      <c r="D911" s="99" t="str">
        <f t="array" ref="D911">_xlfn.XLOOKUP(A911,'Video Database'!L:L,'Video Database'!G:G,"")</f>
        <v>BetterAlt Shilajit Honey Sticks</v>
      </c>
      <c r="E911" s="100">
        <f t="array" ref="E911">_xlfn.XLOOKUP(A911,'Video Database'!L:L,'Video Database'!H:H,"")</f>
        <v>0.11</v>
      </c>
      <c r="F911" s="101">
        <v>0.0</v>
      </c>
      <c r="G911" s="87">
        <v>0.0</v>
      </c>
      <c r="H911" s="114">
        <f t="array" ref="H911">_xlfn.XLOOKUP(A911,'Video Database'!L:L,'Video Database'!A:A,"")</f>
        <v>46198</v>
      </c>
      <c r="I911" s="103">
        <v>46201.0</v>
      </c>
      <c r="J911" s="104">
        <v>0.0</v>
      </c>
      <c r="K911" s="105"/>
      <c r="L911" s="105" t="str">
        <f t="shared" si="1"/>
        <v/>
      </c>
      <c r="O911" s="106" t="str">
        <f t="shared" si="2"/>
        <v>#N/A</v>
      </c>
      <c r="P911" s="106" t="str">
        <f t="shared" si="3"/>
        <v>#N/A</v>
      </c>
      <c r="Q911" s="84" t="str">
        <f t="shared" si="4"/>
        <v>#N/A</v>
      </c>
      <c r="R911" s="84" t="str">
        <f t="shared" si="5"/>
        <v>#N/A</v>
      </c>
      <c r="S911" s="107">
        <f t="shared" si="6"/>
        <v>-0.11</v>
      </c>
      <c r="T911" s="108">
        <f t="shared" si="7"/>
        <v>-1</v>
      </c>
      <c r="U911" s="106" t="str">
        <f t="shared" si="8"/>
        <v>#N/A</v>
      </c>
      <c r="V911" s="84" t="str">
        <f t="shared" si="9"/>
        <v/>
      </c>
      <c r="W911" s="109" t="str">
        <f t="shared" si="10"/>
        <v/>
      </c>
      <c r="X911" s="109" t="str">
        <f t="shared" si="11"/>
        <v/>
      </c>
      <c r="Y911" s="110" t="str">
        <f t="array" ref="Y911">_xlfn.XLOOKUP(A911,'Video Database'!L:L,'Video Database'!M:M,"")</f>
        <v>Product Overlay</v>
      </c>
    </row>
    <row r="912" ht="22.5" customHeight="1">
      <c r="A912" s="113">
        <f t="shared" si="12"/>
        <v>911</v>
      </c>
      <c r="B912" s="98" t="str">
        <f t="array" ref="B912">_xlfn.XLOOKUP(A912,'Video Database'!L:L,'Video Database'!D:D,"")</f>
        <v>Blakely</v>
      </c>
      <c r="C912" s="98" t="str">
        <f t="array" ref="C912">_xlfn.XLOOKUP(A912,'Video Database'!L:L,'Video Database'!E:E,"")</f>
        <v>Account 1</v>
      </c>
      <c r="D912" s="99" t="str">
        <f t="array" ref="D912">_xlfn.XLOOKUP(A912,'Video Database'!L:L,'Video Database'!G:G,"")</f>
        <v>BetterAlt Shilajit Honey Sticks</v>
      </c>
      <c r="E912" s="100">
        <f t="array" ref="E912">_xlfn.XLOOKUP(A912,'Video Database'!L:L,'Video Database'!H:H,"")</f>
        <v>0.11</v>
      </c>
      <c r="F912" s="101">
        <v>0.0</v>
      </c>
      <c r="G912" s="87">
        <v>0.0</v>
      </c>
      <c r="H912" s="114">
        <f t="array" ref="H912">_xlfn.XLOOKUP(A912,'Video Database'!L:L,'Video Database'!A:A,"")</f>
        <v>46198</v>
      </c>
      <c r="I912" s="103">
        <v>46201.0</v>
      </c>
      <c r="J912" s="104">
        <v>0.0</v>
      </c>
      <c r="K912" s="105"/>
      <c r="L912" s="105" t="str">
        <f t="shared" si="1"/>
        <v/>
      </c>
      <c r="O912" s="106" t="str">
        <f t="shared" si="2"/>
        <v>#N/A</v>
      </c>
      <c r="P912" s="106" t="str">
        <f t="shared" si="3"/>
        <v>#N/A</v>
      </c>
      <c r="Q912" s="84" t="str">
        <f t="shared" si="4"/>
        <v>#N/A</v>
      </c>
      <c r="R912" s="84" t="str">
        <f t="shared" si="5"/>
        <v>#N/A</v>
      </c>
      <c r="S912" s="107">
        <f t="shared" si="6"/>
        <v>-0.11</v>
      </c>
      <c r="T912" s="108">
        <f t="shared" si="7"/>
        <v>-1</v>
      </c>
      <c r="U912" s="106" t="str">
        <f t="shared" si="8"/>
        <v>#N/A</v>
      </c>
      <c r="V912" s="84" t="str">
        <f t="shared" si="9"/>
        <v/>
      </c>
      <c r="W912" s="109" t="str">
        <f t="shared" si="10"/>
        <v/>
      </c>
      <c r="X912" s="109" t="str">
        <f t="shared" si="11"/>
        <v/>
      </c>
      <c r="Y912" s="110" t="str">
        <f t="array" ref="Y912">_xlfn.XLOOKUP(A912,'Video Database'!L:L,'Video Database'!M:M,"")</f>
        <v>Bottom of Funnel</v>
      </c>
    </row>
    <row r="913" ht="22.5" customHeight="1">
      <c r="A913" s="113">
        <f t="shared" si="12"/>
        <v>912</v>
      </c>
      <c r="B913" s="98" t="str">
        <f t="array" ref="B913">_xlfn.XLOOKUP(A913,'Video Database'!L:L,'Video Database'!D:D,"")</f>
        <v>Blakely</v>
      </c>
      <c r="C913" s="98" t="str">
        <f t="array" ref="C913">_xlfn.XLOOKUP(A913,'Video Database'!L:L,'Video Database'!E:E,"")</f>
        <v>Account 1</v>
      </c>
      <c r="D913" s="99" t="str">
        <f t="array" ref="D913">_xlfn.XLOOKUP(A913,'Video Database'!L:L,'Video Database'!G:G,"")</f>
        <v>tarte CC Color-Correct Tinted Serum</v>
      </c>
      <c r="E913" s="100">
        <f t="array" ref="E913">_xlfn.XLOOKUP(A913,'Video Database'!L:L,'Video Database'!H:H,"")</f>
        <v>0.11</v>
      </c>
      <c r="F913" s="101">
        <v>0.0</v>
      </c>
      <c r="G913" s="87">
        <v>0.0</v>
      </c>
      <c r="H913" s="114">
        <f t="array" ref="H913">_xlfn.XLOOKUP(A913,'Video Database'!L:L,'Video Database'!A:A,"")</f>
        <v>46198</v>
      </c>
      <c r="I913" s="103">
        <v>46201.0</v>
      </c>
      <c r="J913" s="104">
        <v>0.0</v>
      </c>
      <c r="K913" s="105"/>
      <c r="L913" s="105" t="str">
        <f t="shared" si="1"/>
        <v/>
      </c>
      <c r="O913" s="106" t="str">
        <f t="shared" si="2"/>
        <v>#N/A</v>
      </c>
      <c r="P913" s="106" t="str">
        <f t="shared" si="3"/>
        <v>#N/A</v>
      </c>
      <c r="Q913" s="84" t="str">
        <f t="shared" si="4"/>
        <v>#N/A</v>
      </c>
      <c r="R913" s="84" t="str">
        <f t="shared" si="5"/>
        <v>#N/A</v>
      </c>
      <c r="S913" s="107">
        <f t="shared" si="6"/>
        <v>-0.11</v>
      </c>
      <c r="T913" s="108">
        <f t="shared" si="7"/>
        <v>-1</v>
      </c>
      <c r="U913" s="106" t="str">
        <f t="shared" si="8"/>
        <v>#N/A</v>
      </c>
      <c r="V913" s="84" t="str">
        <f t="shared" si="9"/>
        <v/>
      </c>
      <c r="W913" s="109" t="str">
        <f t="shared" si="10"/>
        <v/>
      </c>
      <c r="X913" s="109" t="str">
        <f t="shared" si="11"/>
        <v/>
      </c>
      <c r="Y913" s="110" t="str">
        <f t="array" ref="Y913">_xlfn.XLOOKUP(A913,'Video Database'!L:L,'Video Database'!M:M,"")</f>
        <v>Bottom of Funnel</v>
      </c>
    </row>
    <row r="914" ht="22.5" customHeight="1">
      <c r="A914" s="113">
        <f t="shared" si="12"/>
        <v>913</v>
      </c>
      <c r="B914" s="98" t="str">
        <f t="array" ref="B914">_xlfn.XLOOKUP(A914,'Video Database'!L:L,'Video Database'!D:D,"")</f>
        <v>Blakely</v>
      </c>
      <c r="C914" s="98" t="str">
        <f t="array" ref="C914">_xlfn.XLOOKUP(A914,'Video Database'!L:L,'Video Database'!E:E,"")</f>
        <v>Account 1</v>
      </c>
      <c r="D914" s="99" t="str">
        <f t="array" ref="D914">_xlfn.XLOOKUP(A914,'Video Database'!L:L,'Video Database'!G:G,"")</f>
        <v>tarte CC Color-Correct Tinted Serum</v>
      </c>
      <c r="E914" s="100">
        <f t="array" ref="E914">_xlfn.XLOOKUP(A914,'Video Database'!L:L,'Video Database'!H:H,"")</f>
        <v>0.11</v>
      </c>
      <c r="F914" s="101">
        <v>0.0</v>
      </c>
      <c r="G914" s="87">
        <v>0.0</v>
      </c>
      <c r="H914" s="114">
        <f t="array" ref="H914">_xlfn.XLOOKUP(A914,'Video Database'!L:L,'Video Database'!A:A,"")</f>
        <v>46198</v>
      </c>
      <c r="I914" s="103">
        <v>46201.0</v>
      </c>
      <c r="J914" s="104">
        <v>0.0</v>
      </c>
      <c r="K914" s="105"/>
      <c r="L914" s="105" t="str">
        <f t="shared" si="1"/>
        <v/>
      </c>
      <c r="O914" s="106" t="str">
        <f t="shared" si="2"/>
        <v>#N/A</v>
      </c>
      <c r="P914" s="106" t="str">
        <f t="shared" si="3"/>
        <v>#N/A</v>
      </c>
      <c r="Q914" s="84" t="str">
        <f t="shared" si="4"/>
        <v>#N/A</v>
      </c>
      <c r="R914" s="84" t="str">
        <f t="shared" si="5"/>
        <v>#N/A</v>
      </c>
      <c r="S914" s="107">
        <f t="shared" si="6"/>
        <v>-0.11</v>
      </c>
      <c r="T914" s="108">
        <f t="shared" si="7"/>
        <v>-1</v>
      </c>
      <c r="U914" s="106" t="str">
        <f t="shared" si="8"/>
        <v>#N/A</v>
      </c>
      <c r="V914" s="84" t="str">
        <f t="shared" si="9"/>
        <v/>
      </c>
      <c r="W914" s="109" t="str">
        <f t="shared" si="10"/>
        <v/>
      </c>
      <c r="X914" s="109" t="str">
        <f t="shared" si="11"/>
        <v/>
      </c>
      <c r="Y914" s="110" t="str">
        <f t="array" ref="Y914">_xlfn.XLOOKUP(A914,'Video Database'!L:L,'Video Database'!M:M,"")</f>
        <v>Product Overlay</v>
      </c>
    </row>
    <row r="915" ht="22.5" customHeight="1">
      <c r="A915" s="113">
        <f t="shared" si="12"/>
        <v>914</v>
      </c>
      <c r="B915" s="98" t="str">
        <f t="array" ref="B915">_xlfn.XLOOKUP(A915,'Video Database'!L:L,'Video Database'!D:D,"")</f>
        <v>Blakely</v>
      </c>
      <c r="C915" s="98" t="str">
        <f t="array" ref="C915">_xlfn.XLOOKUP(A915,'Video Database'!L:L,'Video Database'!E:E,"")</f>
        <v>Account 1</v>
      </c>
      <c r="D915" s="99" t="str">
        <f t="array" ref="D915">_xlfn.XLOOKUP(A915,'Video Database'!L:L,'Video Database'!G:G,"")</f>
        <v>tarte CC Color-Correct Tinted Serum</v>
      </c>
      <c r="E915" s="100">
        <f t="array" ref="E915">_xlfn.XLOOKUP(A915,'Video Database'!L:L,'Video Database'!H:H,"")</f>
        <v>0.11</v>
      </c>
      <c r="F915" s="101">
        <v>0.0</v>
      </c>
      <c r="G915" s="87">
        <v>0.0</v>
      </c>
      <c r="H915" s="114">
        <f t="array" ref="H915">_xlfn.XLOOKUP(A915,'Video Database'!L:L,'Video Database'!A:A,"")</f>
        <v>46198</v>
      </c>
      <c r="I915" s="103">
        <v>46201.0</v>
      </c>
      <c r="J915" s="104">
        <v>0.0</v>
      </c>
      <c r="K915" s="105"/>
      <c r="L915" s="105" t="str">
        <f t="shared" si="1"/>
        <v/>
      </c>
      <c r="O915" s="106" t="str">
        <f t="shared" si="2"/>
        <v>#N/A</v>
      </c>
      <c r="P915" s="106" t="str">
        <f t="shared" si="3"/>
        <v>#N/A</v>
      </c>
      <c r="Q915" s="84" t="str">
        <f t="shared" si="4"/>
        <v>#N/A</v>
      </c>
      <c r="R915" s="84" t="str">
        <f t="shared" si="5"/>
        <v>#N/A</v>
      </c>
      <c r="S915" s="107">
        <f t="shared" si="6"/>
        <v>-0.11</v>
      </c>
      <c r="T915" s="108">
        <f t="shared" si="7"/>
        <v>-1</v>
      </c>
      <c r="U915" s="106" t="str">
        <f t="shared" si="8"/>
        <v>#N/A</v>
      </c>
      <c r="V915" s="84" t="str">
        <f t="shared" si="9"/>
        <v/>
      </c>
      <c r="W915" s="109" t="str">
        <f t="shared" si="10"/>
        <v/>
      </c>
      <c r="X915" s="109" t="str">
        <f t="shared" si="11"/>
        <v/>
      </c>
      <c r="Y915" s="110" t="str">
        <f t="array" ref="Y915">_xlfn.XLOOKUP(A915,'Video Database'!L:L,'Video Database'!M:M,"")</f>
        <v>Product Overlay</v>
      </c>
    </row>
    <row r="916" ht="22.5" customHeight="1">
      <c r="A916" s="113">
        <f t="shared" si="12"/>
        <v>915</v>
      </c>
      <c r="B916" s="98" t="str">
        <f t="array" ref="B916">_xlfn.XLOOKUP(A916,'Video Database'!L:L,'Video Database'!D:D,"")</f>
        <v>Blakely</v>
      </c>
      <c r="C916" s="98" t="str">
        <f t="array" ref="C916">_xlfn.XLOOKUP(A916,'Video Database'!L:L,'Video Database'!E:E,"")</f>
        <v>Account 1</v>
      </c>
      <c r="D916" s="99" t="str">
        <f t="array" ref="D916">_xlfn.XLOOKUP(A916,'Video Database'!L:L,'Video Database'!G:G,"")</f>
        <v>tarte CC Color-Correct Tinted Serum</v>
      </c>
      <c r="E916" s="100">
        <f t="array" ref="E916">_xlfn.XLOOKUP(A916,'Video Database'!L:L,'Video Database'!H:H,"")</f>
        <v>0.11</v>
      </c>
      <c r="F916" s="101">
        <v>0.0</v>
      </c>
      <c r="G916" s="87">
        <v>0.0</v>
      </c>
      <c r="H916" s="114">
        <f t="array" ref="H916">_xlfn.XLOOKUP(A916,'Video Database'!L:L,'Video Database'!A:A,"")</f>
        <v>46198</v>
      </c>
      <c r="I916" s="103">
        <v>46201.0</v>
      </c>
      <c r="J916" s="104">
        <v>0.0</v>
      </c>
      <c r="K916" s="105"/>
      <c r="L916" s="105" t="str">
        <f t="shared" si="1"/>
        <v/>
      </c>
      <c r="O916" s="106" t="str">
        <f t="shared" si="2"/>
        <v>#N/A</v>
      </c>
      <c r="P916" s="106" t="str">
        <f t="shared" si="3"/>
        <v>#N/A</v>
      </c>
      <c r="Q916" s="84" t="str">
        <f t="shared" si="4"/>
        <v>#N/A</v>
      </c>
      <c r="R916" s="84" t="str">
        <f t="shared" si="5"/>
        <v>#N/A</v>
      </c>
      <c r="S916" s="107">
        <f t="shared" si="6"/>
        <v>-0.11</v>
      </c>
      <c r="T916" s="108">
        <f t="shared" si="7"/>
        <v>-1</v>
      </c>
      <c r="U916" s="106" t="str">
        <f t="shared" si="8"/>
        <v>#N/A</v>
      </c>
      <c r="V916" s="84" t="str">
        <f t="shared" si="9"/>
        <v/>
      </c>
      <c r="W916" s="109" t="str">
        <f t="shared" si="10"/>
        <v/>
      </c>
      <c r="X916" s="109" t="str">
        <f t="shared" si="11"/>
        <v/>
      </c>
      <c r="Y916" s="110" t="str">
        <f t="array" ref="Y916">_xlfn.XLOOKUP(A916,'Video Database'!L:L,'Video Database'!M:M,"")</f>
        <v>Bottom of Funnel</v>
      </c>
    </row>
    <row r="917" ht="22.5" customHeight="1">
      <c r="A917" s="113">
        <f t="shared" si="12"/>
        <v>916</v>
      </c>
      <c r="B917" s="98" t="str">
        <f t="array" ref="B917">_xlfn.XLOOKUP(A917,'Video Database'!L:L,'Video Database'!D:D,"")</f>
        <v>Blakely</v>
      </c>
      <c r="C917" s="98" t="str">
        <f t="array" ref="C917">_xlfn.XLOOKUP(A917,'Video Database'!L:L,'Video Database'!E:E,"")</f>
        <v>Account 1</v>
      </c>
      <c r="D917" s="99" t="str">
        <f t="array" ref="D917">_xlfn.XLOOKUP(A917,'Video Database'!L:L,'Video Database'!G:G,"")</f>
        <v>Gorilla Mode Base Preworkout</v>
      </c>
      <c r="E917" s="100">
        <f t="array" ref="E917">_xlfn.XLOOKUP(A917,'Video Database'!L:L,'Video Database'!H:H,"")</f>
        <v>0.11</v>
      </c>
      <c r="F917" s="101">
        <v>0.0</v>
      </c>
      <c r="G917" s="87">
        <v>0.0</v>
      </c>
      <c r="H917" s="114">
        <f t="array" ref="H917">_xlfn.XLOOKUP(A917,'Video Database'!L:L,'Video Database'!A:A,"")</f>
        <v>46198</v>
      </c>
      <c r="I917" s="103">
        <v>46201.0</v>
      </c>
      <c r="J917" s="104">
        <v>0.0</v>
      </c>
      <c r="K917" s="105"/>
      <c r="L917" s="105" t="str">
        <f t="shared" si="1"/>
        <v/>
      </c>
      <c r="O917" s="106" t="str">
        <f t="shared" si="2"/>
        <v>#N/A</v>
      </c>
      <c r="P917" s="106" t="str">
        <f t="shared" si="3"/>
        <v>#N/A</v>
      </c>
      <c r="Q917" s="84" t="str">
        <f t="shared" si="4"/>
        <v>#N/A</v>
      </c>
      <c r="R917" s="84" t="str">
        <f t="shared" si="5"/>
        <v>#N/A</v>
      </c>
      <c r="S917" s="107">
        <f t="shared" si="6"/>
        <v>-0.11</v>
      </c>
      <c r="T917" s="108">
        <f t="shared" si="7"/>
        <v>-1</v>
      </c>
      <c r="U917" s="106" t="str">
        <f t="shared" si="8"/>
        <v>#N/A</v>
      </c>
      <c r="V917" s="84" t="str">
        <f t="shared" si="9"/>
        <v/>
      </c>
      <c r="W917" s="109" t="str">
        <f t="shared" si="10"/>
        <v/>
      </c>
      <c r="X917" s="109" t="str">
        <f t="shared" si="11"/>
        <v/>
      </c>
      <c r="Y917" s="110" t="str">
        <f t="array" ref="Y917">_xlfn.XLOOKUP(A917,'Video Database'!L:L,'Video Database'!M:M,"")</f>
        <v>Bottom of Funnel</v>
      </c>
    </row>
    <row r="918" ht="22.5" customHeight="1">
      <c r="A918" s="113">
        <f t="shared" si="12"/>
        <v>917</v>
      </c>
      <c r="B918" s="98" t="str">
        <f t="array" ref="B918">_xlfn.XLOOKUP(A918,'Video Database'!L:L,'Video Database'!D:D,"")</f>
        <v>Blakely</v>
      </c>
      <c r="C918" s="98" t="str">
        <f t="array" ref="C918">_xlfn.XLOOKUP(A918,'Video Database'!L:L,'Video Database'!E:E,"")</f>
        <v>Account 1</v>
      </c>
      <c r="D918" s="99" t="str">
        <f t="array" ref="D918">_xlfn.XLOOKUP(A918,'Video Database'!L:L,'Video Database'!G:G,"")</f>
        <v>JOYMODE Ignite Libido Support</v>
      </c>
      <c r="E918" s="100">
        <f t="array" ref="E918">_xlfn.XLOOKUP(A918,'Video Database'!L:L,'Video Database'!H:H,"")</f>
        <v>0.11</v>
      </c>
      <c r="F918" s="101">
        <v>0.0</v>
      </c>
      <c r="G918" s="87">
        <v>0.0</v>
      </c>
      <c r="H918" s="114">
        <f t="array" ref="H918">_xlfn.XLOOKUP(A918,'Video Database'!L:L,'Video Database'!A:A,"")</f>
        <v>46198</v>
      </c>
      <c r="I918" s="103">
        <v>46201.0</v>
      </c>
      <c r="J918" s="104">
        <v>0.0</v>
      </c>
      <c r="K918" s="105"/>
      <c r="L918" s="105" t="str">
        <f t="shared" si="1"/>
        <v/>
      </c>
      <c r="O918" s="106" t="str">
        <f t="shared" si="2"/>
        <v>#N/A</v>
      </c>
      <c r="P918" s="106" t="str">
        <f t="shared" si="3"/>
        <v>#N/A</v>
      </c>
      <c r="Q918" s="84" t="str">
        <f t="shared" si="4"/>
        <v>#N/A</v>
      </c>
      <c r="R918" s="84" t="str">
        <f t="shared" si="5"/>
        <v>#N/A</v>
      </c>
      <c r="S918" s="107">
        <f t="shared" si="6"/>
        <v>-0.11</v>
      </c>
      <c r="T918" s="108">
        <f t="shared" si="7"/>
        <v>-1</v>
      </c>
      <c r="U918" s="106" t="str">
        <f t="shared" si="8"/>
        <v>#N/A</v>
      </c>
      <c r="V918" s="84" t="str">
        <f t="shared" si="9"/>
        <v/>
      </c>
      <c r="W918" s="109" t="str">
        <f t="shared" si="10"/>
        <v/>
      </c>
      <c r="X918" s="109" t="str">
        <f t="shared" si="11"/>
        <v/>
      </c>
      <c r="Y918" s="110" t="str">
        <f t="array" ref="Y918">_xlfn.XLOOKUP(A918,'Video Database'!L:L,'Video Database'!M:M,"")</f>
        <v>Product Overlay</v>
      </c>
    </row>
    <row r="919" ht="22.5" customHeight="1">
      <c r="A919" s="113">
        <f t="shared" si="12"/>
        <v>918</v>
      </c>
      <c r="B919" s="98" t="str">
        <f t="array" ref="B919">_xlfn.XLOOKUP(A919,'Video Database'!L:L,'Video Database'!D:D,"")</f>
        <v>Blakely</v>
      </c>
      <c r="C919" s="98" t="str">
        <f t="array" ref="C919">_xlfn.XLOOKUP(A919,'Video Database'!L:L,'Video Database'!E:E,"")</f>
        <v>Account 1</v>
      </c>
      <c r="D919" s="99" t="str">
        <f t="array" ref="D919">_xlfn.XLOOKUP(A919,'Video Database'!L:L,'Video Database'!G:G,"")</f>
        <v>Ekkovision Lifting Straps (D-ring)</v>
      </c>
      <c r="E919" s="100">
        <f t="array" ref="E919">_xlfn.XLOOKUP(A919,'Video Database'!L:L,'Video Database'!H:H,"")</f>
        <v>0.11</v>
      </c>
      <c r="F919" s="101">
        <v>0.0</v>
      </c>
      <c r="G919" s="87">
        <v>0.0</v>
      </c>
      <c r="H919" s="114">
        <f t="array" ref="H919">_xlfn.XLOOKUP(A919,'Video Database'!L:L,'Video Database'!A:A,"")</f>
        <v>46198</v>
      </c>
      <c r="I919" s="103">
        <v>46201.0</v>
      </c>
      <c r="J919" s="104">
        <v>0.0</v>
      </c>
      <c r="K919" s="105"/>
      <c r="L919" s="105" t="str">
        <f t="shared" si="1"/>
        <v/>
      </c>
      <c r="O919" s="106" t="str">
        <f t="shared" si="2"/>
        <v>#N/A</v>
      </c>
      <c r="P919" s="106" t="str">
        <f t="shared" si="3"/>
        <v>#N/A</v>
      </c>
      <c r="Q919" s="84" t="str">
        <f t="shared" si="4"/>
        <v>#N/A</v>
      </c>
      <c r="R919" s="84" t="str">
        <f t="shared" si="5"/>
        <v>#N/A</v>
      </c>
      <c r="S919" s="107">
        <f t="shared" si="6"/>
        <v>-0.11</v>
      </c>
      <c r="T919" s="108">
        <f t="shared" si="7"/>
        <v>-1</v>
      </c>
      <c r="U919" s="106" t="str">
        <f t="shared" si="8"/>
        <v>#N/A</v>
      </c>
      <c r="V919" s="84" t="str">
        <f t="shared" si="9"/>
        <v/>
      </c>
      <c r="W919" s="109" t="str">
        <f t="shared" si="10"/>
        <v/>
      </c>
      <c r="X919" s="109" t="str">
        <f t="shared" si="11"/>
        <v/>
      </c>
      <c r="Y919" s="110" t="str">
        <f t="array" ref="Y919">_xlfn.XLOOKUP(A919,'Video Database'!L:L,'Video Database'!M:M,"")</f>
        <v>Product Overlay</v>
      </c>
    </row>
    <row r="920" ht="22.5" customHeight="1">
      <c r="A920" s="113">
        <f t="shared" si="12"/>
        <v>919</v>
      </c>
      <c r="B920" s="98" t="str">
        <f t="array" ref="B920">_xlfn.XLOOKUP(A920,'Video Database'!L:L,'Video Database'!D:D,"")</f>
        <v>Blakely</v>
      </c>
      <c r="C920" s="98" t="str">
        <f t="array" ref="C920">_xlfn.XLOOKUP(A920,'Video Database'!L:L,'Video Database'!E:E,"")</f>
        <v>Account 1</v>
      </c>
      <c r="D920" s="99" t="str">
        <f t="array" ref="D920">_xlfn.XLOOKUP(A920,'Video Database'!L:L,'Video Database'!G:G,"")</f>
        <v>IRIS Hormone Health Drink Mix</v>
      </c>
      <c r="E920" s="100">
        <f t="array" ref="E920">_xlfn.XLOOKUP(A920,'Video Database'!L:L,'Video Database'!H:H,"")</f>
        <v>0.11</v>
      </c>
      <c r="F920" s="101">
        <v>25.07</v>
      </c>
      <c r="G920" s="87">
        <v>1.0</v>
      </c>
      <c r="H920" s="114">
        <f t="array" ref="H920">_xlfn.XLOOKUP(A920,'Video Database'!L:L,'Video Database'!A:A,"")</f>
        <v>46198</v>
      </c>
      <c r="I920" s="103">
        <v>46201.0</v>
      </c>
      <c r="J920" s="104">
        <v>3.96</v>
      </c>
      <c r="K920" s="105"/>
      <c r="L920" s="105">
        <f t="shared" si="1"/>
        <v>573</v>
      </c>
      <c r="M920" s="87">
        <v>573.0</v>
      </c>
      <c r="O920" s="106">
        <f t="shared" si="2"/>
        <v>0</v>
      </c>
      <c r="P920" s="106" t="str">
        <f t="shared" si="3"/>
        <v>#N/A</v>
      </c>
      <c r="Q920" s="84">
        <f t="shared" si="4"/>
        <v>3.96</v>
      </c>
      <c r="R920" s="84">
        <f t="shared" si="5"/>
        <v>25.07</v>
      </c>
      <c r="S920" s="107">
        <f t="shared" si="6"/>
        <v>3.85</v>
      </c>
      <c r="T920" s="108">
        <f t="shared" si="7"/>
        <v>35</v>
      </c>
      <c r="U920" s="106">
        <f t="shared" si="8"/>
        <v>0.9722222222</v>
      </c>
      <c r="V920" s="129">
        <f t="shared" si="9"/>
        <v>0.11</v>
      </c>
      <c r="W920" s="109" t="str">
        <f t="shared" si="10"/>
        <v/>
      </c>
      <c r="X920" s="109">
        <f t="shared" si="11"/>
        <v>0.43877144</v>
      </c>
      <c r="Y920" s="110" t="str">
        <f t="array" ref="Y920">_xlfn.XLOOKUP(A920,'Video Database'!L:L,'Video Database'!M:M,"")</f>
        <v>Bottom of Funnel</v>
      </c>
    </row>
    <row r="921" ht="22.5" customHeight="1">
      <c r="A921" s="113">
        <f t="shared" si="12"/>
        <v>920</v>
      </c>
      <c r="B921" s="98" t="str">
        <f t="array" ref="B921">_xlfn.XLOOKUP(A921,'Video Database'!L:L,'Video Database'!D:D,"")</f>
        <v>Erin</v>
      </c>
      <c r="C921" s="98" t="str">
        <f t="array" ref="C921">_xlfn.XLOOKUP(A921,'Video Database'!L:L,'Video Database'!E:E,"")</f>
        <v>Account 1</v>
      </c>
      <c r="D921" s="99" t="str">
        <f t="array" ref="D921">_xlfn.XLOOKUP(A921,'Video Database'!L:L,'Video Database'!G:G,"")</f>
        <v>Camellia Deep Collagen Lifting Gel Mask</v>
      </c>
      <c r="E921" s="100">
        <f t="array" ref="E921">_xlfn.XLOOKUP(A921,'Video Database'!L:L,'Video Database'!H:H,"")</f>
        <v>0.7337</v>
      </c>
      <c r="F921" s="101">
        <v>0.0</v>
      </c>
      <c r="G921" s="87">
        <v>0.0</v>
      </c>
      <c r="H921" s="114">
        <f t="array" ref="H921">_xlfn.XLOOKUP(A921,'Video Database'!L:L,'Video Database'!A:A,"")</f>
        <v>46198</v>
      </c>
      <c r="I921" s="103">
        <v>46201.0</v>
      </c>
      <c r="J921" s="104">
        <v>0.0</v>
      </c>
      <c r="K921" s="105"/>
      <c r="L921" s="105" t="str">
        <f t="shared" si="1"/>
        <v/>
      </c>
      <c r="O921" s="106" t="str">
        <f t="shared" si="2"/>
        <v>#N/A</v>
      </c>
      <c r="P921" s="106" t="str">
        <f t="shared" si="3"/>
        <v>#N/A</v>
      </c>
      <c r="Q921" s="84" t="str">
        <f t="shared" si="4"/>
        <v>#N/A</v>
      </c>
      <c r="R921" s="84" t="str">
        <f t="shared" si="5"/>
        <v>#N/A</v>
      </c>
      <c r="S921" s="107">
        <f t="shared" si="6"/>
        <v>-0.7337</v>
      </c>
      <c r="T921" s="108">
        <f t="shared" si="7"/>
        <v>-1</v>
      </c>
      <c r="U921" s="106" t="str">
        <f t="shared" si="8"/>
        <v>#N/A</v>
      </c>
      <c r="V921" s="84" t="str">
        <f t="shared" si="9"/>
        <v/>
      </c>
      <c r="W921" s="109" t="str">
        <f t="shared" si="10"/>
        <v/>
      </c>
      <c r="X921" s="109" t="str">
        <f t="shared" si="11"/>
        <v/>
      </c>
      <c r="Y921" s="110" t="str">
        <f t="array" ref="Y921">_xlfn.XLOOKUP(A921,'Video Database'!L:L,'Video Database'!M:M,"")</f>
        <v>Bottom of Funnel</v>
      </c>
    </row>
    <row r="922" ht="22.5" customHeight="1">
      <c r="A922" s="113">
        <f t="shared" si="12"/>
        <v>921</v>
      </c>
      <c r="B922" s="98" t="str">
        <f t="array" ref="B922">_xlfn.XLOOKUP(A922,'Video Database'!L:L,'Video Database'!D:D,"")</f>
        <v>Erin</v>
      </c>
      <c r="C922" s="98" t="str">
        <f t="array" ref="C922">_xlfn.XLOOKUP(A922,'Video Database'!L:L,'Video Database'!E:E,"")</f>
        <v>Account 1</v>
      </c>
      <c r="D922" s="99" t="str">
        <f t="array" ref="D922">_xlfn.XLOOKUP(A922,'Video Database'!L:L,'Video Database'!G:G,"")</f>
        <v>Medicube Kojic Accid Tumeric Power Duo</v>
      </c>
      <c r="E922" s="100">
        <f t="array" ref="E922">_xlfn.XLOOKUP(A922,'Video Database'!L:L,'Video Database'!H:H,"")</f>
        <v>0.7337</v>
      </c>
      <c r="F922" s="101">
        <v>0.0</v>
      </c>
      <c r="G922" s="87">
        <v>0.0</v>
      </c>
      <c r="H922" s="114">
        <f t="array" ref="H922">_xlfn.XLOOKUP(A922,'Video Database'!L:L,'Video Database'!A:A,"")</f>
        <v>46198</v>
      </c>
      <c r="I922" s="103">
        <v>46201.0</v>
      </c>
      <c r="J922" s="104">
        <v>0.0</v>
      </c>
      <c r="K922" s="105"/>
      <c r="L922" s="105" t="str">
        <f t="shared" si="1"/>
        <v/>
      </c>
      <c r="O922" s="106" t="str">
        <f t="shared" si="2"/>
        <v>#N/A</v>
      </c>
      <c r="P922" s="106" t="str">
        <f t="shared" si="3"/>
        <v>#N/A</v>
      </c>
      <c r="Q922" s="84" t="str">
        <f t="shared" si="4"/>
        <v>#N/A</v>
      </c>
      <c r="R922" s="84" t="str">
        <f t="shared" si="5"/>
        <v>#N/A</v>
      </c>
      <c r="S922" s="107">
        <f t="shared" si="6"/>
        <v>-0.7337</v>
      </c>
      <c r="T922" s="108">
        <f t="shared" si="7"/>
        <v>-1</v>
      </c>
      <c r="U922" s="106" t="str">
        <f t="shared" si="8"/>
        <v>#N/A</v>
      </c>
      <c r="V922" s="84" t="str">
        <f t="shared" si="9"/>
        <v/>
      </c>
      <c r="W922" s="109" t="str">
        <f t="shared" si="10"/>
        <v/>
      </c>
      <c r="X922" s="109" t="str">
        <f t="shared" si="11"/>
        <v/>
      </c>
      <c r="Y922" s="110" t="str">
        <f t="array" ref="Y922">_xlfn.XLOOKUP(A922,'Video Database'!L:L,'Video Database'!M:M,"")</f>
        <v>Bottom of Funnel</v>
      </c>
    </row>
    <row r="923" ht="22.5" customHeight="1">
      <c r="A923" s="113">
        <f t="shared" si="12"/>
        <v>922</v>
      </c>
      <c r="B923" s="98" t="str">
        <f t="array" ref="B923">_xlfn.XLOOKUP(A923,'Video Database'!L:L,'Video Database'!D:D,"")</f>
        <v>Erin</v>
      </c>
      <c r="C923" s="98" t="str">
        <f t="array" ref="C923">_xlfn.XLOOKUP(A923,'Video Database'!L:L,'Video Database'!E:E,"")</f>
        <v>Account 1</v>
      </c>
      <c r="D923" s="99" t="str">
        <f t="array" ref="D923">_xlfn.XLOOKUP(A923,'Video Database'!L:L,'Video Database'!G:G,"")</f>
        <v>Camellia Deep Collagen Lifting Gel Mask</v>
      </c>
      <c r="E923" s="100">
        <f t="array" ref="E923">_xlfn.XLOOKUP(A923,'Video Database'!L:L,'Video Database'!H:H,"")</f>
        <v>0.7337</v>
      </c>
      <c r="F923" s="101">
        <v>0.0</v>
      </c>
      <c r="G923" s="87">
        <v>0.0</v>
      </c>
      <c r="H923" s="114">
        <f t="array" ref="H923">_xlfn.XLOOKUP(A923,'Video Database'!L:L,'Video Database'!A:A,"")</f>
        <v>46198</v>
      </c>
      <c r="I923" s="103">
        <v>46201.0</v>
      </c>
      <c r="J923" s="104">
        <v>0.0</v>
      </c>
      <c r="K923" s="105"/>
      <c r="L923" s="105" t="str">
        <f t="shared" si="1"/>
        <v/>
      </c>
      <c r="O923" s="106" t="str">
        <f t="shared" si="2"/>
        <v>#N/A</v>
      </c>
      <c r="P923" s="106" t="str">
        <f t="shared" si="3"/>
        <v>#N/A</v>
      </c>
      <c r="Q923" s="84" t="str">
        <f t="shared" si="4"/>
        <v>#N/A</v>
      </c>
      <c r="R923" s="84" t="str">
        <f t="shared" si="5"/>
        <v>#N/A</v>
      </c>
      <c r="S923" s="107">
        <f t="shared" si="6"/>
        <v>-0.7337</v>
      </c>
      <c r="T923" s="108">
        <f t="shared" si="7"/>
        <v>-1</v>
      </c>
      <c r="U923" s="106" t="str">
        <f t="shared" si="8"/>
        <v>#N/A</v>
      </c>
      <c r="V923" s="84" t="str">
        <f t="shared" si="9"/>
        <v/>
      </c>
      <c r="W923" s="109" t="str">
        <f t="shared" si="10"/>
        <v/>
      </c>
      <c r="X923" s="109" t="str">
        <f t="shared" si="11"/>
        <v/>
      </c>
      <c r="Y923" s="110" t="str">
        <f t="array" ref="Y923">_xlfn.XLOOKUP(A923,'Video Database'!L:L,'Video Database'!M:M,"")</f>
        <v>Bottom of Funnel</v>
      </c>
    </row>
    <row r="924" ht="22.5" customHeight="1">
      <c r="A924" s="113">
        <f t="shared" si="12"/>
        <v>923</v>
      </c>
      <c r="B924" s="98" t="str">
        <f t="array" ref="B924">_xlfn.XLOOKUP(A924,'Video Database'!L:L,'Video Database'!D:D,"")</f>
        <v>Erin</v>
      </c>
      <c r="C924" s="98" t="str">
        <f t="array" ref="C924">_xlfn.XLOOKUP(A924,'Video Database'!L:L,'Video Database'!E:E,"")</f>
        <v>Account 1</v>
      </c>
      <c r="D924" s="99" t="str">
        <f t="array" ref="D924">_xlfn.XLOOKUP(A924,'Video Database'!L:L,'Video Database'!G:G,"")</f>
        <v>Color Wow Quick Refresh and Styling Bundle</v>
      </c>
      <c r="E924" s="100">
        <f t="array" ref="E924">_xlfn.XLOOKUP(A924,'Video Database'!L:L,'Video Database'!H:H,"")</f>
        <v>0.7337</v>
      </c>
      <c r="F924" s="101">
        <v>0.0</v>
      </c>
      <c r="G924" s="87">
        <v>0.0</v>
      </c>
      <c r="H924" s="114">
        <f t="array" ref="H924">_xlfn.XLOOKUP(A924,'Video Database'!L:L,'Video Database'!A:A,"")</f>
        <v>46198</v>
      </c>
      <c r="I924" s="103">
        <v>46201.0</v>
      </c>
      <c r="J924" s="104">
        <v>0.0</v>
      </c>
      <c r="K924" s="105"/>
      <c r="L924" s="105" t="str">
        <f t="shared" si="1"/>
        <v/>
      </c>
      <c r="O924" s="106" t="str">
        <f t="shared" si="2"/>
        <v>#N/A</v>
      </c>
      <c r="P924" s="106" t="str">
        <f t="shared" si="3"/>
        <v>#N/A</v>
      </c>
      <c r="Q924" s="84" t="str">
        <f t="shared" si="4"/>
        <v>#N/A</v>
      </c>
      <c r="R924" s="84" t="str">
        <f t="shared" si="5"/>
        <v>#N/A</v>
      </c>
      <c r="S924" s="107">
        <f t="shared" si="6"/>
        <v>-0.7337</v>
      </c>
      <c r="T924" s="108">
        <f t="shared" si="7"/>
        <v>-1</v>
      </c>
      <c r="U924" s="106" t="str">
        <f t="shared" si="8"/>
        <v>#N/A</v>
      </c>
      <c r="V924" s="84" t="str">
        <f t="shared" si="9"/>
        <v/>
      </c>
      <c r="W924" s="109" t="str">
        <f t="shared" si="10"/>
        <v/>
      </c>
      <c r="X924" s="109" t="str">
        <f t="shared" si="11"/>
        <v/>
      </c>
      <c r="Y924" s="110" t="str">
        <f t="array" ref="Y924">_xlfn.XLOOKUP(A924,'Video Database'!L:L,'Video Database'!M:M,"")</f>
        <v>Bottom of Funnel</v>
      </c>
    </row>
    <row r="925" ht="22.5" customHeight="1">
      <c r="A925" s="113">
        <f t="shared" si="12"/>
        <v>924</v>
      </c>
      <c r="B925" s="98" t="str">
        <f t="array" ref="B925">_xlfn.XLOOKUP(A925,'Video Database'!L:L,'Video Database'!D:D,"")</f>
        <v>Blakely</v>
      </c>
      <c r="C925" s="98" t="str">
        <f t="array" ref="C925">_xlfn.XLOOKUP(A925,'Video Database'!L:L,'Video Database'!E:E,"")</f>
        <v>Account 2</v>
      </c>
      <c r="D925" s="99" t="str">
        <f t="array" ref="D925">_xlfn.XLOOKUP(A925,'Video Database'!L:L,'Video Database'!G:G,"")</f>
        <v>Nutricost Creatine Monohydrate</v>
      </c>
      <c r="E925" s="100">
        <f t="array" ref="E925">_xlfn.XLOOKUP(A925,'Video Database'!L:L,'Video Database'!H:H,"")</f>
        <v>0.11</v>
      </c>
      <c r="F925" s="101">
        <v>0.0</v>
      </c>
      <c r="G925" s="87">
        <v>0.0</v>
      </c>
      <c r="H925" s="114">
        <f t="array" ref="H925">_xlfn.XLOOKUP(A925,'Video Database'!L:L,'Video Database'!A:A,"")</f>
        <v>46198</v>
      </c>
      <c r="I925" s="103">
        <v>46201.0</v>
      </c>
      <c r="J925" s="104">
        <v>0.0</v>
      </c>
      <c r="K925" s="105"/>
      <c r="L925" s="105" t="str">
        <f t="shared" si="1"/>
        <v/>
      </c>
      <c r="O925" s="106" t="str">
        <f t="shared" si="2"/>
        <v>#N/A</v>
      </c>
      <c r="P925" s="106" t="str">
        <f t="shared" si="3"/>
        <v>#N/A</v>
      </c>
      <c r="Q925" s="84" t="str">
        <f t="shared" si="4"/>
        <v>#N/A</v>
      </c>
      <c r="R925" s="84" t="str">
        <f t="shared" si="5"/>
        <v>#N/A</v>
      </c>
      <c r="S925" s="107">
        <f t="shared" si="6"/>
        <v>-0.11</v>
      </c>
      <c r="T925" s="108">
        <f t="shared" si="7"/>
        <v>-1</v>
      </c>
      <c r="U925" s="106" t="str">
        <f t="shared" si="8"/>
        <v>#N/A</v>
      </c>
      <c r="V925" s="84" t="str">
        <f t="shared" si="9"/>
        <v/>
      </c>
      <c r="W925" s="109" t="str">
        <f t="shared" si="10"/>
        <v/>
      </c>
      <c r="X925" s="109" t="str">
        <f t="shared" si="11"/>
        <v/>
      </c>
      <c r="Y925" s="110" t="str">
        <f t="array" ref="Y925">_xlfn.XLOOKUP(A925,'Video Database'!L:L,'Video Database'!M:M,"")</f>
        <v>Bottom of Funnel</v>
      </c>
    </row>
    <row r="926" ht="22.5" customHeight="1">
      <c r="A926" s="113">
        <f t="shared" si="12"/>
        <v>925</v>
      </c>
      <c r="B926" s="98" t="str">
        <f t="array" ref="B926">_xlfn.XLOOKUP(A926,'Video Database'!L:L,'Video Database'!D:D,"")</f>
        <v>Erin</v>
      </c>
      <c r="C926" s="98" t="str">
        <f t="array" ref="C926">_xlfn.XLOOKUP(A926,'Video Database'!L:L,'Video Database'!E:E,"")</f>
        <v>Account 2</v>
      </c>
      <c r="D926" s="99" t="str">
        <f t="array" ref="D926">_xlfn.XLOOKUP(A926,'Video Database'!L:L,'Video Database'!G:G,"")</f>
        <v>Color Wow Quick Refresh and Styling Bundle</v>
      </c>
      <c r="E926" s="100">
        <f t="array" ref="E926">_xlfn.XLOOKUP(A926,'Video Database'!L:L,'Video Database'!H:H,"")</f>
        <v>0.7337</v>
      </c>
      <c r="F926" s="101">
        <v>0.0</v>
      </c>
      <c r="G926" s="87">
        <v>0.0</v>
      </c>
      <c r="H926" s="114">
        <f t="array" ref="H926">_xlfn.XLOOKUP(A926,'Video Database'!L:L,'Video Database'!A:A,"")</f>
        <v>46198</v>
      </c>
      <c r="I926" s="103">
        <v>46201.0</v>
      </c>
      <c r="J926" s="104">
        <v>0.0</v>
      </c>
      <c r="K926" s="105"/>
      <c r="L926" s="105" t="str">
        <f t="shared" si="1"/>
        <v/>
      </c>
      <c r="O926" s="106" t="str">
        <f t="shared" si="2"/>
        <v>#N/A</v>
      </c>
      <c r="P926" s="106" t="str">
        <f t="shared" si="3"/>
        <v>#N/A</v>
      </c>
      <c r="Q926" s="84" t="str">
        <f t="shared" si="4"/>
        <v>#N/A</v>
      </c>
      <c r="R926" s="84" t="str">
        <f t="shared" si="5"/>
        <v>#N/A</v>
      </c>
      <c r="S926" s="107">
        <f t="shared" si="6"/>
        <v>-0.7337</v>
      </c>
      <c r="T926" s="108">
        <f t="shared" si="7"/>
        <v>-1</v>
      </c>
      <c r="U926" s="106" t="str">
        <f t="shared" si="8"/>
        <v>#N/A</v>
      </c>
      <c r="V926" s="84" t="str">
        <f t="shared" si="9"/>
        <v/>
      </c>
      <c r="W926" s="109" t="str">
        <f t="shared" si="10"/>
        <v/>
      </c>
      <c r="X926" s="109" t="str">
        <f t="shared" si="11"/>
        <v/>
      </c>
      <c r="Y926" s="110" t="str">
        <f t="array" ref="Y926">_xlfn.XLOOKUP(A926,'Video Database'!L:L,'Video Database'!M:M,"")</f>
        <v>Bottom of Funnel</v>
      </c>
    </row>
    <row r="927" ht="22.5" customHeight="1">
      <c r="A927" s="113">
        <f t="shared" si="12"/>
        <v>926</v>
      </c>
      <c r="B927" s="98" t="str">
        <f t="array" ref="B927">_xlfn.XLOOKUP(A927,'Video Database'!L:L,'Video Database'!D:D,"")</f>
        <v>Blakely</v>
      </c>
      <c r="C927" s="98" t="str">
        <f t="array" ref="C927">_xlfn.XLOOKUP(A927,'Video Database'!L:L,'Video Database'!E:E,"")</f>
        <v>Account 2</v>
      </c>
      <c r="D927" s="99" t="str">
        <f t="array" ref="D927">_xlfn.XLOOKUP(A927,'Video Database'!L:L,'Video Database'!G:G,"")</f>
        <v>JOYMODE Ignite Libido Support</v>
      </c>
      <c r="E927" s="100">
        <f t="array" ref="E927">_xlfn.XLOOKUP(A927,'Video Database'!L:L,'Video Database'!H:H,"")</f>
        <v>0.11</v>
      </c>
      <c r="F927" s="101">
        <v>0.0</v>
      </c>
      <c r="G927" s="87">
        <v>0.0</v>
      </c>
      <c r="H927" s="114">
        <f t="array" ref="H927">_xlfn.XLOOKUP(A927,'Video Database'!L:L,'Video Database'!A:A,"")</f>
        <v>46198</v>
      </c>
      <c r="I927" s="103">
        <v>46201.0</v>
      </c>
      <c r="J927" s="104">
        <v>0.0</v>
      </c>
      <c r="K927" s="105"/>
      <c r="L927" s="105" t="str">
        <f t="shared" si="1"/>
        <v/>
      </c>
      <c r="O927" s="106" t="str">
        <f t="shared" si="2"/>
        <v>#N/A</v>
      </c>
      <c r="P927" s="106" t="str">
        <f t="shared" si="3"/>
        <v>#N/A</v>
      </c>
      <c r="Q927" s="84" t="str">
        <f t="shared" si="4"/>
        <v>#N/A</v>
      </c>
      <c r="R927" s="84" t="str">
        <f t="shared" si="5"/>
        <v>#N/A</v>
      </c>
      <c r="S927" s="107">
        <f t="shared" si="6"/>
        <v>-0.11</v>
      </c>
      <c r="T927" s="108">
        <f t="shared" si="7"/>
        <v>-1</v>
      </c>
      <c r="U927" s="106" t="str">
        <f t="shared" si="8"/>
        <v>#N/A</v>
      </c>
      <c r="V927" s="84" t="str">
        <f t="shared" si="9"/>
        <v/>
      </c>
      <c r="W927" s="109" t="str">
        <f t="shared" si="10"/>
        <v/>
      </c>
      <c r="X927" s="109" t="str">
        <f t="shared" si="11"/>
        <v/>
      </c>
      <c r="Y927" s="110" t="str">
        <f t="array" ref="Y927">_xlfn.XLOOKUP(A927,'Video Database'!L:L,'Video Database'!M:M,"")</f>
        <v>Product Overlay</v>
      </c>
    </row>
    <row r="928" ht="22.5" customHeight="1">
      <c r="A928" s="113">
        <f t="shared" si="12"/>
        <v>927</v>
      </c>
      <c r="B928" s="98" t="str">
        <f t="array" ref="B928">_xlfn.XLOOKUP(A928,'Video Database'!L:L,'Video Database'!D:D,"")</f>
        <v>Blakely</v>
      </c>
      <c r="C928" s="98" t="str">
        <f t="array" ref="C928">_xlfn.XLOOKUP(A928,'Video Database'!L:L,'Video Database'!E:E,"")</f>
        <v>Account 2</v>
      </c>
      <c r="D928" s="99" t="str">
        <f t="array" ref="D928">_xlfn.XLOOKUP(A928,'Video Database'!L:L,'Video Database'!G:G,"")</f>
        <v>Beast Bites Creatine Gummies</v>
      </c>
      <c r="E928" s="100">
        <f t="array" ref="E928">_xlfn.XLOOKUP(A928,'Video Database'!L:L,'Video Database'!H:H,"")</f>
        <v>0.11</v>
      </c>
      <c r="F928" s="101">
        <v>0.0</v>
      </c>
      <c r="G928" s="87">
        <v>0.0</v>
      </c>
      <c r="H928" s="114">
        <f t="array" ref="H928">_xlfn.XLOOKUP(A928,'Video Database'!L:L,'Video Database'!A:A,"")</f>
        <v>46198</v>
      </c>
      <c r="I928" s="103">
        <v>46201.0</v>
      </c>
      <c r="J928" s="104">
        <v>0.0</v>
      </c>
      <c r="K928" s="105"/>
      <c r="L928" s="105" t="str">
        <f t="shared" si="1"/>
        <v/>
      </c>
      <c r="O928" s="106" t="str">
        <f t="shared" si="2"/>
        <v>#N/A</v>
      </c>
      <c r="P928" s="106" t="str">
        <f t="shared" si="3"/>
        <v>#N/A</v>
      </c>
      <c r="Q928" s="84" t="str">
        <f t="shared" si="4"/>
        <v>#N/A</v>
      </c>
      <c r="R928" s="84" t="str">
        <f t="shared" si="5"/>
        <v>#N/A</v>
      </c>
      <c r="S928" s="107">
        <f t="shared" si="6"/>
        <v>-0.11</v>
      </c>
      <c r="T928" s="108">
        <f t="shared" si="7"/>
        <v>-1</v>
      </c>
      <c r="U928" s="106" t="str">
        <f t="shared" si="8"/>
        <v>#N/A</v>
      </c>
      <c r="V928" s="84" t="str">
        <f t="shared" si="9"/>
        <v/>
      </c>
      <c r="W928" s="109" t="str">
        <f t="shared" si="10"/>
        <v/>
      </c>
      <c r="X928" s="109" t="str">
        <f t="shared" si="11"/>
        <v/>
      </c>
      <c r="Y928" s="110" t="str">
        <f t="array" ref="Y928">_xlfn.XLOOKUP(A928,'Video Database'!L:L,'Video Database'!M:M,"")</f>
        <v>Product Overlay</v>
      </c>
    </row>
    <row r="929" ht="22.5" customHeight="1">
      <c r="A929" s="113">
        <f t="shared" si="12"/>
        <v>928</v>
      </c>
      <c r="B929" s="98" t="str">
        <f t="array" ref="B929">_xlfn.XLOOKUP(A929,'Video Database'!L:L,'Video Database'!D:D,"")</f>
        <v>Blakely</v>
      </c>
      <c r="C929" s="98" t="str">
        <f t="array" ref="C929">_xlfn.XLOOKUP(A929,'Video Database'!L:L,'Video Database'!E:E,"")</f>
        <v>Account 2</v>
      </c>
      <c r="D929" s="99" t="str">
        <f t="array" ref="D929">_xlfn.XLOOKUP(A929,'Video Database'!L:L,'Video Database'!G:G,"")</f>
        <v>RAW Nutrition Bum Essential Preworkout</v>
      </c>
      <c r="E929" s="100">
        <f t="array" ref="E929">_xlfn.XLOOKUP(A929,'Video Database'!L:L,'Video Database'!H:H,"")</f>
        <v>0.11</v>
      </c>
      <c r="F929" s="101">
        <v>0.0</v>
      </c>
      <c r="G929" s="87">
        <v>0.0</v>
      </c>
      <c r="H929" s="114">
        <f t="array" ref="H929">_xlfn.XLOOKUP(A929,'Video Database'!L:L,'Video Database'!A:A,"")</f>
        <v>46198</v>
      </c>
      <c r="I929" s="103">
        <v>46201.0</v>
      </c>
      <c r="J929" s="104">
        <v>0.0</v>
      </c>
      <c r="K929" s="105"/>
      <c r="L929" s="105" t="str">
        <f t="shared" si="1"/>
        <v/>
      </c>
      <c r="O929" s="106" t="str">
        <f t="shared" si="2"/>
        <v>#N/A</v>
      </c>
      <c r="P929" s="106" t="str">
        <f t="shared" si="3"/>
        <v>#N/A</v>
      </c>
      <c r="Q929" s="84" t="str">
        <f t="shared" si="4"/>
        <v>#N/A</v>
      </c>
      <c r="R929" s="84" t="str">
        <f t="shared" si="5"/>
        <v>#N/A</v>
      </c>
      <c r="S929" s="107">
        <f t="shared" si="6"/>
        <v>-0.11</v>
      </c>
      <c r="T929" s="108">
        <f t="shared" si="7"/>
        <v>-1</v>
      </c>
      <c r="U929" s="106" t="str">
        <f t="shared" si="8"/>
        <v>#N/A</v>
      </c>
      <c r="V929" s="84" t="str">
        <f t="shared" si="9"/>
        <v/>
      </c>
      <c r="W929" s="109" t="str">
        <f t="shared" si="10"/>
        <v/>
      </c>
      <c r="X929" s="109" t="str">
        <f t="shared" si="11"/>
        <v/>
      </c>
      <c r="Y929" s="110" t="str">
        <f t="array" ref="Y929">_xlfn.XLOOKUP(A929,'Video Database'!L:L,'Video Database'!M:M,"")</f>
        <v>Bottom of Funnel</v>
      </c>
    </row>
    <row r="930" ht="22.5" customHeight="1">
      <c r="A930" s="113">
        <f t="shared" si="12"/>
        <v>929</v>
      </c>
      <c r="B930" s="98" t="str">
        <f t="array" ref="B930">_xlfn.XLOOKUP(A930,'Video Database'!L:L,'Video Database'!D:D,"")</f>
        <v>Blakely</v>
      </c>
      <c r="C930" s="98" t="str">
        <f t="array" ref="C930">_xlfn.XLOOKUP(A930,'Video Database'!L:L,'Video Database'!E:E,"")</f>
        <v>Account 2</v>
      </c>
      <c r="D930" s="99" t="str">
        <f t="array" ref="D930">_xlfn.XLOOKUP(A930,'Video Database'!L:L,'Video Database'!G:G,"")</f>
        <v>Beast Bites Creatine Gummies</v>
      </c>
      <c r="E930" s="100">
        <f t="array" ref="E930">_xlfn.XLOOKUP(A930,'Video Database'!L:L,'Video Database'!H:H,"")</f>
        <v>0.11</v>
      </c>
      <c r="F930" s="101">
        <v>0.0</v>
      </c>
      <c r="G930" s="87">
        <v>0.0</v>
      </c>
      <c r="H930" s="114">
        <f t="array" ref="H930">_xlfn.XLOOKUP(A930,'Video Database'!L:L,'Video Database'!A:A,"")</f>
        <v>46198</v>
      </c>
      <c r="I930" s="103">
        <v>46201.0</v>
      </c>
      <c r="J930" s="104">
        <v>0.0</v>
      </c>
      <c r="K930" s="105"/>
      <c r="L930" s="105" t="str">
        <f t="shared" si="1"/>
        <v/>
      </c>
      <c r="O930" s="106" t="str">
        <f t="shared" si="2"/>
        <v>#N/A</v>
      </c>
      <c r="P930" s="106" t="str">
        <f t="shared" si="3"/>
        <v>#N/A</v>
      </c>
      <c r="Q930" s="84" t="str">
        <f t="shared" si="4"/>
        <v>#N/A</v>
      </c>
      <c r="R930" s="84" t="str">
        <f t="shared" si="5"/>
        <v>#N/A</v>
      </c>
      <c r="S930" s="107">
        <f t="shared" si="6"/>
        <v>-0.11</v>
      </c>
      <c r="T930" s="108">
        <f t="shared" si="7"/>
        <v>-1</v>
      </c>
      <c r="U930" s="106" t="str">
        <f t="shared" si="8"/>
        <v>#N/A</v>
      </c>
      <c r="V930" s="84" t="str">
        <f t="shared" si="9"/>
        <v/>
      </c>
      <c r="W930" s="109" t="str">
        <f t="shared" si="10"/>
        <v/>
      </c>
      <c r="X930" s="109" t="str">
        <f t="shared" si="11"/>
        <v/>
      </c>
      <c r="Y930" s="110" t="str">
        <f t="array" ref="Y930">_xlfn.XLOOKUP(A930,'Video Database'!L:L,'Video Database'!M:M,"")</f>
        <v>Bottom of Funnel</v>
      </c>
    </row>
    <row r="931" ht="22.5" customHeight="1">
      <c r="A931" s="113">
        <f t="shared" si="12"/>
        <v>930</v>
      </c>
      <c r="B931" s="98" t="str">
        <f t="array" ref="B931">_xlfn.XLOOKUP(A931,'Video Database'!L:L,'Video Database'!D:D,"")</f>
        <v>Blakely</v>
      </c>
      <c r="C931" s="98" t="str">
        <f t="array" ref="C931">_xlfn.XLOOKUP(A931,'Video Database'!L:L,'Video Database'!E:E,"")</f>
        <v>Account 2</v>
      </c>
      <c r="D931" s="99" t="str">
        <f t="array" ref="D931">_xlfn.XLOOKUP(A931,'Video Database'!L:L,'Video Database'!G:G,"")</f>
        <v>BetterAlt Shilajit Honey Sticks</v>
      </c>
      <c r="E931" s="100">
        <f t="array" ref="E931">_xlfn.XLOOKUP(A931,'Video Database'!L:L,'Video Database'!H:H,"")</f>
        <v>0.11</v>
      </c>
      <c r="F931" s="101">
        <v>0.0</v>
      </c>
      <c r="G931" s="87">
        <v>0.0</v>
      </c>
      <c r="H931" s="114">
        <f t="array" ref="H931">_xlfn.XLOOKUP(A931,'Video Database'!L:L,'Video Database'!A:A,"")</f>
        <v>46198</v>
      </c>
      <c r="I931" s="103">
        <v>46201.0</v>
      </c>
      <c r="J931" s="104">
        <v>0.0</v>
      </c>
      <c r="K931" s="105"/>
      <c r="L931" s="105" t="str">
        <f t="shared" si="1"/>
        <v/>
      </c>
      <c r="O931" s="106" t="str">
        <f t="shared" si="2"/>
        <v>#N/A</v>
      </c>
      <c r="P931" s="106" t="str">
        <f t="shared" si="3"/>
        <v>#N/A</v>
      </c>
      <c r="Q931" s="84" t="str">
        <f t="shared" si="4"/>
        <v>#N/A</v>
      </c>
      <c r="R931" s="84" t="str">
        <f t="shared" si="5"/>
        <v>#N/A</v>
      </c>
      <c r="S931" s="107">
        <f t="shared" si="6"/>
        <v>-0.11</v>
      </c>
      <c r="T931" s="108">
        <f t="shared" si="7"/>
        <v>-1</v>
      </c>
      <c r="U931" s="106" t="str">
        <f t="shared" si="8"/>
        <v>#N/A</v>
      </c>
      <c r="V931" s="84" t="str">
        <f t="shared" si="9"/>
        <v/>
      </c>
      <c r="W931" s="109" t="str">
        <f t="shared" si="10"/>
        <v/>
      </c>
      <c r="X931" s="109" t="str">
        <f t="shared" si="11"/>
        <v/>
      </c>
      <c r="Y931" s="110" t="str">
        <f t="array" ref="Y931">_xlfn.XLOOKUP(A931,'Video Database'!L:L,'Video Database'!M:M,"")</f>
        <v>Bottom of Funnel</v>
      </c>
    </row>
    <row r="932" ht="22.5" customHeight="1">
      <c r="A932" s="113">
        <f t="shared" si="12"/>
        <v>931</v>
      </c>
      <c r="B932" s="98" t="str">
        <f t="array" ref="B932">_xlfn.XLOOKUP(A932,'Video Database'!L:L,'Video Database'!D:D,"")</f>
        <v>Blakely</v>
      </c>
      <c r="C932" s="98" t="str">
        <f t="array" ref="C932">_xlfn.XLOOKUP(A932,'Video Database'!L:L,'Video Database'!E:E,"")</f>
        <v>Account 2</v>
      </c>
      <c r="D932" s="99" t="str">
        <f t="array" ref="D932">_xlfn.XLOOKUP(A932,'Video Database'!L:L,'Video Database'!G:G,"")</f>
        <v>BetterAlt Shilajit Honey Sticks</v>
      </c>
      <c r="E932" s="100">
        <f t="array" ref="E932">_xlfn.XLOOKUP(A932,'Video Database'!L:L,'Video Database'!H:H,"")</f>
        <v>0.11</v>
      </c>
      <c r="F932" s="101">
        <v>0.0</v>
      </c>
      <c r="G932" s="87">
        <v>0.0</v>
      </c>
      <c r="H932" s="114">
        <f t="array" ref="H932">_xlfn.XLOOKUP(A932,'Video Database'!L:L,'Video Database'!A:A,"")</f>
        <v>46198</v>
      </c>
      <c r="I932" s="103">
        <v>46201.0</v>
      </c>
      <c r="J932" s="104">
        <v>0.0</v>
      </c>
      <c r="K932" s="105"/>
      <c r="L932" s="105" t="str">
        <f t="shared" si="1"/>
        <v/>
      </c>
      <c r="O932" s="106" t="str">
        <f t="shared" si="2"/>
        <v>#N/A</v>
      </c>
      <c r="P932" s="106" t="str">
        <f t="shared" si="3"/>
        <v>#N/A</v>
      </c>
      <c r="Q932" s="84" t="str">
        <f t="shared" si="4"/>
        <v>#N/A</v>
      </c>
      <c r="R932" s="84" t="str">
        <f t="shared" si="5"/>
        <v>#N/A</v>
      </c>
      <c r="S932" s="107">
        <f t="shared" si="6"/>
        <v>-0.11</v>
      </c>
      <c r="T932" s="108">
        <f t="shared" si="7"/>
        <v>-1</v>
      </c>
      <c r="U932" s="106" t="str">
        <f t="shared" si="8"/>
        <v>#N/A</v>
      </c>
      <c r="V932" s="84" t="str">
        <f t="shared" si="9"/>
        <v/>
      </c>
      <c r="W932" s="109" t="str">
        <f t="shared" si="10"/>
        <v/>
      </c>
      <c r="X932" s="109" t="str">
        <f t="shared" si="11"/>
        <v/>
      </c>
      <c r="Y932" s="110" t="str">
        <f t="array" ref="Y932">_xlfn.XLOOKUP(A932,'Video Database'!L:L,'Video Database'!M:M,"")</f>
        <v>Product Overlay</v>
      </c>
    </row>
    <row r="933" ht="22.5" customHeight="1">
      <c r="A933" s="113">
        <f t="shared" si="12"/>
        <v>932</v>
      </c>
      <c r="B933" s="98" t="str">
        <f t="array" ref="B933">_xlfn.XLOOKUP(A933,'Video Database'!L:L,'Video Database'!D:D,"")</f>
        <v>Blakely</v>
      </c>
      <c r="C933" s="98" t="str">
        <f t="array" ref="C933">_xlfn.XLOOKUP(A933,'Video Database'!L:L,'Video Database'!E:E,"")</f>
        <v>Account 2</v>
      </c>
      <c r="D933" s="99" t="str">
        <f t="array" ref="D933">_xlfn.XLOOKUP(A933,'Video Database'!L:L,'Video Database'!G:G,"")</f>
        <v>BetterAlt Shilajit Honey Sticks</v>
      </c>
      <c r="E933" s="100">
        <f t="array" ref="E933">_xlfn.XLOOKUP(A933,'Video Database'!L:L,'Video Database'!H:H,"")</f>
        <v>0.11</v>
      </c>
      <c r="F933" s="101">
        <v>0.0</v>
      </c>
      <c r="G933" s="87">
        <v>0.0</v>
      </c>
      <c r="H933" s="114">
        <f t="array" ref="H933">_xlfn.XLOOKUP(A933,'Video Database'!L:L,'Video Database'!A:A,"")</f>
        <v>46198</v>
      </c>
      <c r="I933" s="103">
        <v>46201.0</v>
      </c>
      <c r="J933" s="104">
        <v>0.0</v>
      </c>
      <c r="K933" s="105"/>
      <c r="L933" s="105" t="str">
        <f t="shared" si="1"/>
        <v/>
      </c>
      <c r="O933" s="106" t="str">
        <f t="shared" si="2"/>
        <v>#N/A</v>
      </c>
      <c r="P933" s="106" t="str">
        <f t="shared" si="3"/>
        <v>#N/A</v>
      </c>
      <c r="Q933" s="84" t="str">
        <f t="shared" si="4"/>
        <v>#N/A</v>
      </c>
      <c r="R933" s="84" t="str">
        <f t="shared" si="5"/>
        <v>#N/A</v>
      </c>
      <c r="S933" s="107">
        <f t="shared" si="6"/>
        <v>-0.11</v>
      </c>
      <c r="T933" s="108">
        <f t="shared" si="7"/>
        <v>-1</v>
      </c>
      <c r="U933" s="106" t="str">
        <f t="shared" si="8"/>
        <v>#N/A</v>
      </c>
      <c r="V933" s="84" t="str">
        <f t="shared" si="9"/>
        <v/>
      </c>
      <c r="W933" s="109" t="str">
        <f t="shared" si="10"/>
        <v/>
      </c>
      <c r="X933" s="109" t="str">
        <f t="shared" si="11"/>
        <v/>
      </c>
      <c r="Y933" s="110" t="str">
        <f t="array" ref="Y933">_xlfn.XLOOKUP(A933,'Video Database'!L:L,'Video Database'!M:M,"")</f>
        <v>Product Overlay</v>
      </c>
    </row>
    <row r="934" ht="22.5" customHeight="1">
      <c r="A934" s="113">
        <f t="shared" si="12"/>
        <v>933</v>
      </c>
      <c r="B934" s="98" t="str">
        <f t="array" ref="B934">_xlfn.XLOOKUP(A934,'Video Database'!L:L,'Video Database'!D:D,"")</f>
        <v>Blakely</v>
      </c>
      <c r="C934" s="98" t="str">
        <f t="array" ref="C934">_xlfn.XLOOKUP(A934,'Video Database'!L:L,'Video Database'!E:E,"")</f>
        <v>Account 2</v>
      </c>
      <c r="D934" s="99" t="str">
        <f t="array" ref="D934">_xlfn.XLOOKUP(A934,'Video Database'!L:L,'Video Database'!G:G,"")</f>
        <v>tarte CC Color-Correct Tinted Serum</v>
      </c>
      <c r="E934" s="100">
        <f t="array" ref="E934">_xlfn.XLOOKUP(A934,'Video Database'!L:L,'Video Database'!H:H,"")</f>
        <v>0.11</v>
      </c>
      <c r="F934" s="101">
        <v>0.0</v>
      </c>
      <c r="G934" s="87">
        <v>0.0</v>
      </c>
      <c r="H934" s="114">
        <f t="array" ref="H934">_xlfn.XLOOKUP(A934,'Video Database'!L:L,'Video Database'!A:A,"")</f>
        <v>46198</v>
      </c>
      <c r="I934" s="103">
        <v>46201.0</v>
      </c>
      <c r="J934" s="104">
        <v>0.0</v>
      </c>
      <c r="K934" s="105"/>
      <c r="L934" s="105" t="str">
        <f t="shared" si="1"/>
        <v/>
      </c>
      <c r="O934" s="106" t="str">
        <f t="shared" si="2"/>
        <v>#N/A</v>
      </c>
      <c r="P934" s="106" t="str">
        <f t="shared" si="3"/>
        <v>#N/A</v>
      </c>
      <c r="Q934" s="84" t="str">
        <f t="shared" si="4"/>
        <v>#N/A</v>
      </c>
      <c r="R934" s="84" t="str">
        <f t="shared" si="5"/>
        <v>#N/A</v>
      </c>
      <c r="S934" s="107">
        <f t="shared" si="6"/>
        <v>-0.11</v>
      </c>
      <c r="T934" s="108">
        <f t="shared" si="7"/>
        <v>-1</v>
      </c>
      <c r="U934" s="106" t="str">
        <f t="shared" si="8"/>
        <v>#N/A</v>
      </c>
      <c r="V934" s="84" t="str">
        <f t="shared" si="9"/>
        <v/>
      </c>
      <c r="W934" s="109" t="str">
        <f t="shared" si="10"/>
        <v/>
      </c>
      <c r="X934" s="109" t="str">
        <f t="shared" si="11"/>
        <v/>
      </c>
      <c r="Y934" s="110" t="str">
        <f t="array" ref="Y934">_xlfn.XLOOKUP(A934,'Video Database'!L:L,'Video Database'!M:M,"")</f>
        <v>Product Overlay</v>
      </c>
    </row>
    <row r="935" ht="22.5" customHeight="1">
      <c r="A935" s="113">
        <f t="shared" si="12"/>
        <v>934</v>
      </c>
      <c r="B935" s="98" t="str">
        <f t="array" ref="B935">_xlfn.XLOOKUP(A935,'Video Database'!L:L,'Video Database'!D:D,"")</f>
        <v>Blakely</v>
      </c>
      <c r="C935" s="98" t="str">
        <f t="array" ref="C935">_xlfn.XLOOKUP(A935,'Video Database'!L:L,'Video Database'!E:E,"")</f>
        <v>Account 2</v>
      </c>
      <c r="D935" s="99" t="str">
        <f t="array" ref="D935">_xlfn.XLOOKUP(A935,'Video Database'!L:L,'Video Database'!G:G,"")</f>
        <v>tarte CC Color-Correct Tinted Serum</v>
      </c>
      <c r="E935" s="100">
        <f t="array" ref="E935">_xlfn.XLOOKUP(A935,'Video Database'!L:L,'Video Database'!H:H,"")</f>
        <v>0.11</v>
      </c>
      <c r="F935" s="101">
        <v>0.0</v>
      </c>
      <c r="G935" s="87">
        <v>0.0</v>
      </c>
      <c r="H935" s="114">
        <f t="array" ref="H935">_xlfn.XLOOKUP(A935,'Video Database'!L:L,'Video Database'!A:A,"")</f>
        <v>46198</v>
      </c>
      <c r="I935" s="103">
        <v>46201.0</v>
      </c>
      <c r="J935" s="104">
        <v>0.0</v>
      </c>
      <c r="K935" s="105"/>
      <c r="L935" s="105" t="str">
        <f t="shared" si="1"/>
        <v/>
      </c>
      <c r="O935" s="106" t="str">
        <f t="shared" si="2"/>
        <v>#N/A</v>
      </c>
      <c r="P935" s="106" t="str">
        <f t="shared" si="3"/>
        <v>#N/A</v>
      </c>
      <c r="Q935" s="84" t="str">
        <f t="shared" si="4"/>
        <v>#N/A</v>
      </c>
      <c r="R935" s="84" t="str">
        <f t="shared" si="5"/>
        <v>#N/A</v>
      </c>
      <c r="S935" s="107">
        <f t="shared" si="6"/>
        <v>-0.11</v>
      </c>
      <c r="T935" s="108">
        <f t="shared" si="7"/>
        <v>-1</v>
      </c>
      <c r="U935" s="106" t="str">
        <f t="shared" si="8"/>
        <v>#N/A</v>
      </c>
      <c r="V935" s="84" t="str">
        <f t="shared" si="9"/>
        <v/>
      </c>
      <c r="W935" s="109" t="str">
        <f t="shared" si="10"/>
        <v/>
      </c>
      <c r="X935" s="109" t="str">
        <f t="shared" si="11"/>
        <v/>
      </c>
      <c r="Y935" s="110" t="str">
        <f t="array" ref="Y935">_xlfn.XLOOKUP(A935,'Video Database'!L:L,'Video Database'!M:M,"")</f>
        <v>Bottom of Funnel</v>
      </c>
    </row>
    <row r="936" ht="22.5" customHeight="1">
      <c r="A936" s="113">
        <f t="shared" si="12"/>
        <v>935</v>
      </c>
      <c r="B936" s="98" t="str">
        <f t="array" ref="B936">_xlfn.XLOOKUP(A936,'Video Database'!L:L,'Video Database'!D:D,"")</f>
        <v>Blakely</v>
      </c>
      <c r="C936" s="98" t="str">
        <f t="array" ref="C936">_xlfn.XLOOKUP(A936,'Video Database'!L:L,'Video Database'!E:E,"")</f>
        <v>Account 2</v>
      </c>
      <c r="D936" s="99" t="str">
        <f t="array" ref="D936">_xlfn.XLOOKUP(A936,'Video Database'!L:L,'Video Database'!G:G,"")</f>
        <v>tarte CC Color-Correct Tinted Serum</v>
      </c>
      <c r="E936" s="100">
        <f t="array" ref="E936">_xlfn.XLOOKUP(A936,'Video Database'!L:L,'Video Database'!H:H,"")</f>
        <v>0.11</v>
      </c>
      <c r="F936" s="101">
        <v>0.0</v>
      </c>
      <c r="G936" s="87">
        <v>0.0</v>
      </c>
      <c r="H936" s="114">
        <f t="array" ref="H936">_xlfn.XLOOKUP(A936,'Video Database'!L:L,'Video Database'!A:A,"")</f>
        <v>46198</v>
      </c>
      <c r="I936" s="103">
        <v>46201.0</v>
      </c>
      <c r="J936" s="104">
        <v>0.0</v>
      </c>
      <c r="K936" s="105"/>
      <c r="L936" s="105" t="str">
        <f t="shared" si="1"/>
        <v/>
      </c>
      <c r="O936" s="106" t="str">
        <f t="shared" si="2"/>
        <v>#N/A</v>
      </c>
      <c r="P936" s="106" t="str">
        <f t="shared" si="3"/>
        <v>#N/A</v>
      </c>
      <c r="Q936" s="84" t="str">
        <f t="shared" si="4"/>
        <v>#N/A</v>
      </c>
      <c r="R936" s="84" t="str">
        <f t="shared" si="5"/>
        <v>#N/A</v>
      </c>
      <c r="S936" s="107">
        <f t="shared" si="6"/>
        <v>-0.11</v>
      </c>
      <c r="T936" s="108">
        <f t="shared" si="7"/>
        <v>-1</v>
      </c>
      <c r="U936" s="106" t="str">
        <f t="shared" si="8"/>
        <v>#N/A</v>
      </c>
      <c r="V936" s="84" t="str">
        <f t="shared" si="9"/>
        <v/>
      </c>
      <c r="W936" s="109" t="str">
        <f t="shared" si="10"/>
        <v/>
      </c>
      <c r="X936" s="109" t="str">
        <f t="shared" si="11"/>
        <v/>
      </c>
      <c r="Y936" s="110" t="str">
        <f t="array" ref="Y936">_xlfn.XLOOKUP(A936,'Video Database'!L:L,'Video Database'!M:M,"")</f>
        <v>Bottom of Funnel</v>
      </c>
    </row>
    <row r="937" ht="22.5" customHeight="1">
      <c r="A937" s="113">
        <f t="shared" si="12"/>
        <v>936</v>
      </c>
      <c r="B937" s="98" t="str">
        <f t="array" ref="B937">_xlfn.XLOOKUP(A937,'Video Database'!L:L,'Video Database'!D:D,"")</f>
        <v>Blakely</v>
      </c>
      <c r="C937" s="98" t="str">
        <f t="array" ref="C937">_xlfn.XLOOKUP(A937,'Video Database'!L:L,'Video Database'!E:E,"")</f>
        <v>Account 2</v>
      </c>
      <c r="D937" s="99" t="str">
        <f t="array" ref="D937">_xlfn.XLOOKUP(A937,'Video Database'!L:L,'Video Database'!G:G,"")</f>
        <v>Gorilla Mode Base Preworkout</v>
      </c>
      <c r="E937" s="100">
        <f t="array" ref="E937">_xlfn.XLOOKUP(A937,'Video Database'!L:L,'Video Database'!H:H,"")</f>
        <v>0.11</v>
      </c>
      <c r="F937" s="101">
        <v>0.0</v>
      </c>
      <c r="G937" s="87">
        <v>0.0</v>
      </c>
      <c r="H937" s="114">
        <f t="array" ref="H937">_xlfn.XLOOKUP(A937,'Video Database'!L:L,'Video Database'!A:A,"")</f>
        <v>46198</v>
      </c>
      <c r="I937" s="103">
        <v>46201.0</v>
      </c>
      <c r="J937" s="104">
        <v>0.0</v>
      </c>
      <c r="K937" s="105"/>
      <c r="L937" s="105" t="str">
        <f t="shared" si="1"/>
        <v/>
      </c>
      <c r="O937" s="106" t="str">
        <f t="shared" si="2"/>
        <v>#N/A</v>
      </c>
      <c r="P937" s="106" t="str">
        <f t="shared" si="3"/>
        <v>#N/A</v>
      </c>
      <c r="Q937" s="84" t="str">
        <f t="shared" si="4"/>
        <v>#N/A</v>
      </c>
      <c r="R937" s="84" t="str">
        <f t="shared" si="5"/>
        <v>#N/A</v>
      </c>
      <c r="S937" s="107">
        <f t="shared" si="6"/>
        <v>-0.11</v>
      </c>
      <c r="T937" s="108">
        <f t="shared" si="7"/>
        <v>-1</v>
      </c>
      <c r="U937" s="106" t="str">
        <f t="shared" si="8"/>
        <v>#N/A</v>
      </c>
      <c r="V937" s="84" t="str">
        <f t="shared" si="9"/>
        <v/>
      </c>
      <c r="W937" s="109" t="str">
        <f t="shared" si="10"/>
        <v/>
      </c>
      <c r="X937" s="109" t="str">
        <f t="shared" si="11"/>
        <v/>
      </c>
      <c r="Y937" s="110" t="str">
        <f t="array" ref="Y937">_xlfn.XLOOKUP(A937,'Video Database'!L:L,'Video Database'!M:M,"")</f>
        <v>Product Overlay</v>
      </c>
    </row>
    <row r="938" ht="22.5" customHeight="1">
      <c r="A938" s="113">
        <f t="shared" si="12"/>
        <v>937</v>
      </c>
      <c r="B938" s="98" t="str">
        <f t="array" ref="B938">_xlfn.XLOOKUP(A938,'Video Database'!L:L,'Video Database'!D:D,"")</f>
        <v>Blakely</v>
      </c>
      <c r="C938" s="98" t="str">
        <f t="array" ref="C938">_xlfn.XLOOKUP(A938,'Video Database'!L:L,'Video Database'!E:E,"")</f>
        <v>Account 2</v>
      </c>
      <c r="D938" s="99" t="str">
        <f t="array" ref="D938">_xlfn.XLOOKUP(A938,'Video Database'!L:L,'Video Database'!G:G,"")</f>
        <v>IRIS Hormone Health Drink Mix</v>
      </c>
      <c r="E938" s="100">
        <f t="array" ref="E938">_xlfn.XLOOKUP(A938,'Video Database'!L:L,'Video Database'!H:H,"")</f>
        <v>0.11</v>
      </c>
      <c r="F938" s="101">
        <v>0.0</v>
      </c>
      <c r="G938" s="87">
        <v>0.0</v>
      </c>
      <c r="H938" s="114">
        <f t="array" ref="H938">_xlfn.XLOOKUP(A938,'Video Database'!L:L,'Video Database'!A:A,"")</f>
        <v>46198</v>
      </c>
      <c r="I938" s="103">
        <v>46201.0</v>
      </c>
      <c r="J938" s="104">
        <v>0.0</v>
      </c>
      <c r="K938" s="105"/>
      <c r="L938" s="105" t="str">
        <f t="shared" si="1"/>
        <v/>
      </c>
      <c r="O938" s="106" t="str">
        <f t="shared" si="2"/>
        <v>#N/A</v>
      </c>
      <c r="P938" s="106" t="str">
        <f t="shared" si="3"/>
        <v>#N/A</v>
      </c>
      <c r="Q938" s="84" t="str">
        <f t="shared" si="4"/>
        <v>#N/A</v>
      </c>
      <c r="R938" s="84" t="str">
        <f t="shared" si="5"/>
        <v>#N/A</v>
      </c>
      <c r="S938" s="107">
        <f t="shared" si="6"/>
        <v>-0.11</v>
      </c>
      <c r="T938" s="108">
        <f t="shared" si="7"/>
        <v>-1</v>
      </c>
      <c r="U938" s="106" t="str">
        <f t="shared" si="8"/>
        <v>#N/A</v>
      </c>
      <c r="V938" s="84" t="str">
        <f t="shared" si="9"/>
        <v/>
      </c>
      <c r="W938" s="109" t="str">
        <f t="shared" si="10"/>
        <v/>
      </c>
      <c r="X938" s="109" t="str">
        <f t="shared" si="11"/>
        <v/>
      </c>
      <c r="Y938" s="110" t="str">
        <f t="array" ref="Y938">_xlfn.XLOOKUP(A938,'Video Database'!L:L,'Video Database'!M:M,"")</f>
        <v>Bottom of Funnel</v>
      </c>
    </row>
    <row r="939" ht="22.5" customHeight="1">
      <c r="A939" s="113">
        <f t="shared" si="12"/>
        <v>938</v>
      </c>
      <c r="B939" s="98" t="str">
        <f t="array" ref="B939">_xlfn.XLOOKUP(A939,'Video Database'!L:L,'Video Database'!D:D,"")</f>
        <v>Blakely</v>
      </c>
      <c r="C939" s="98" t="str">
        <f t="array" ref="C939">_xlfn.XLOOKUP(A939,'Video Database'!L:L,'Video Database'!E:E,"")</f>
        <v>Account 2</v>
      </c>
      <c r="D939" s="99" t="str">
        <f t="array" ref="D939">_xlfn.XLOOKUP(A939,'Video Database'!L:L,'Video Database'!G:G,"")</f>
        <v>Ekkovision Lifting Straps (D-ring)</v>
      </c>
      <c r="E939" s="100">
        <f t="array" ref="E939">_xlfn.XLOOKUP(A939,'Video Database'!L:L,'Video Database'!H:H,"")</f>
        <v>0.11</v>
      </c>
      <c r="F939" s="101">
        <v>20.79</v>
      </c>
      <c r="G939" s="87">
        <v>1.0</v>
      </c>
      <c r="H939" s="114">
        <f t="array" ref="H939">_xlfn.XLOOKUP(A939,'Video Database'!L:L,'Video Database'!A:A,"")</f>
        <v>46198</v>
      </c>
      <c r="I939" s="103">
        <v>46201.0</v>
      </c>
      <c r="J939" s="104">
        <v>1.04</v>
      </c>
      <c r="K939" s="87">
        <v>8.0</v>
      </c>
      <c r="L939" s="105">
        <f t="shared" si="1"/>
        <v>2000</v>
      </c>
      <c r="M939" s="87">
        <v>2000.0</v>
      </c>
      <c r="O939" s="106">
        <f t="shared" si="2"/>
        <v>0.004</v>
      </c>
      <c r="P939" s="106">
        <f t="shared" si="3"/>
        <v>0.125</v>
      </c>
      <c r="Q939" s="84">
        <f t="shared" si="4"/>
        <v>1.04</v>
      </c>
      <c r="R939" s="84">
        <f t="shared" si="5"/>
        <v>20.79</v>
      </c>
      <c r="S939" s="107">
        <f t="shared" si="6"/>
        <v>0.93</v>
      </c>
      <c r="T939" s="108">
        <f t="shared" si="7"/>
        <v>8.454545455</v>
      </c>
      <c r="U939" s="106">
        <f t="shared" si="8"/>
        <v>0.8942307692</v>
      </c>
      <c r="V939" s="129">
        <f t="shared" si="9"/>
        <v>0.11</v>
      </c>
      <c r="W939" s="109">
        <f t="shared" si="10"/>
        <v>0.01375</v>
      </c>
      <c r="X939" s="109">
        <f t="shared" si="11"/>
        <v>0.5291005291</v>
      </c>
      <c r="Y939" s="110" t="str">
        <f t="array" ref="Y939">_xlfn.XLOOKUP(A939,'Video Database'!L:L,'Video Database'!M:M,"")</f>
        <v>Bottom of Funnel</v>
      </c>
    </row>
    <row r="940" ht="22.5" customHeight="1">
      <c r="A940" s="113">
        <f t="shared" si="12"/>
        <v>939</v>
      </c>
      <c r="B940" s="98" t="str">
        <f t="array" ref="B940">_xlfn.XLOOKUP(A940,'Video Database'!L:L,'Video Database'!D:D,"")</f>
        <v>Blakely</v>
      </c>
      <c r="C940" s="98" t="str">
        <f t="array" ref="C940">_xlfn.XLOOKUP(A940,'Video Database'!L:L,'Video Database'!E:E,"")</f>
        <v>Account 2</v>
      </c>
      <c r="D940" s="99" t="str">
        <f t="array" ref="D940">_xlfn.XLOOKUP(A940,'Video Database'!L:L,'Video Database'!G:G,"")</f>
        <v>NeilMed Piercing Aftercare Spray XL</v>
      </c>
      <c r="E940" s="100">
        <f t="array" ref="E940">_xlfn.XLOOKUP(A940,'Video Database'!L:L,'Video Database'!H:H,"")</f>
        <v>0.11</v>
      </c>
      <c r="F940" s="101">
        <v>0.0</v>
      </c>
      <c r="G940" s="87">
        <v>0.0</v>
      </c>
      <c r="H940" s="114">
        <f t="array" ref="H940">_xlfn.XLOOKUP(A940,'Video Database'!L:L,'Video Database'!A:A,"")</f>
        <v>46198</v>
      </c>
      <c r="I940" s="103">
        <v>46201.0</v>
      </c>
      <c r="J940" s="104">
        <v>0.0</v>
      </c>
      <c r="K940" s="105"/>
      <c r="L940" s="105" t="str">
        <f t="shared" si="1"/>
        <v/>
      </c>
      <c r="O940" s="106" t="str">
        <f t="shared" si="2"/>
        <v>#N/A</v>
      </c>
      <c r="P940" s="106" t="str">
        <f t="shared" si="3"/>
        <v>#N/A</v>
      </c>
      <c r="Q940" s="84" t="str">
        <f t="shared" si="4"/>
        <v>#N/A</v>
      </c>
      <c r="R940" s="84" t="str">
        <f t="shared" si="5"/>
        <v>#N/A</v>
      </c>
      <c r="S940" s="107">
        <f t="shared" si="6"/>
        <v>-0.11</v>
      </c>
      <c r="T940" s="108">
        <f t="shared" si="7"/>
        <v>-1</v>
      </c>
      <c r="U940" s="106" t="str">
        <f t="shared" si="8"/>
        <v>#N/A</v>
      </c>
      <c r="V940" s="84" t="str">
        <f t="shared" si="9"/>
        <v/>
      </c>
      <c r="W940" s="109" t="str">
        <f t="shared" si="10"/>
        <v/>
      </c>
      <c r="X940" s="109" t="str">
        <f t="shared" si="11"/>
        <v/>
      </c>
      <c r="Y940" s="110" t="str">
        <f t="array" ref="Y940">_xlfn.XLOOKUP(A940,'Video Database'!L:L,'Video Database'!M:M,"")</f>
        <v>Bottom of Funnel</v>
      </c>
    </row>
    <row r="941" ht="22.5" customHeight="1">
      <c r="A941" s="113">
        <f t="shared" si="12"/>
        <v>940</v>
      </c>
      <c r="B941" s="98" t="str">
        <f t="array" ref="B941">_xlfn.XLOOKUP(A941,'Video Database'!L:L,'Video Database'!D:D,"")</f>
        <v>Blakely</v>
      </c>
      <c r="C941" s="98" t="str">
        <f t="array" ref="C941">_xlfn.XLOOKUP(A941,'Video Database'!L:L,'Video Database'!E:E,"")</f>
        <v>Account 2</v>
      </c>
      <c r="D941" s="99" t="str">
        <f t="array" ref="D941">_xlfn.XLOOKUP(A941,'Video Database'!L:L,'Video Database'!G:G,"")</f>
        <v>Nutricost Creatine Monohydrate</v>
      </c>
      <c r="E941" s="100">
        <f t="array" ref="E941">_xlfn.XLOOKUP(A941,'Video Database'!L:L,'Video Database'!H:H,"")</f>
        <v>0.11</v>
      </c>
      <c r="F941" s="101">
        <v>0.0</v>
      </c>
      <c r="G941" s="87">
        <v>0.0</v>
      </c>
      <c r="H941" s="114">
        <f t="array" ref="H941">_xlfn.XLOOKUP(A941,'Video Database'!L:L,'Video Database'!A:A,"")</f>
        <v>46198</v>
      </c>
      <c r="I941" s="103">
        <v>46201.0</v>
      </c>
      <c r="J941" s="104">
        <v>0.0</v>
      </c>
      <c r="K941" s="105"/>
      <c r="L941" s="105" t="str">
        <f t="shared" si="1"/>
        <v/>
      </c>
      <c r="O941" s="106" t="str">
        <f t="shared" si="2"/>
        <v>#N/A</v>
      </c>
      <c r="P941" s="106" t="str">
        <f t="shared" si="3"/>
        <v>#N/A</v>
      </c>
      <c r="Q941" s="84" t="str">
        <f t="shared" si="4"/>
        <v>#N/A</v>
      </c>
      <c r="R941" s="84" t="str">
        <f t="shared" si="5"/>
        <v>#N/A</v>
      </c>
      <c r="S941" s="107">
        <f t="shared" si="6"/>
        <v>-0.11</v>
      </c>
      <c r="T941" s="108">
        <f t="shared" si="7"/>
        <v>-1</v>
      </c>
      <c r="U941" s="106" t="str">
        <f t="shared" si="8"/>
        <v>#N/A</v>
      </c>
      <c r="V941" s="84" t="str">
        <f t="shared" si="9"/>
        <v/>
      </c>
      <c r="W941" s="109" t="str">
        <f t="shared" si="10"/>
        <v/>
      </c>
      <c r="X941" s="109" t="str">
        <f t="shared" si="11"/>
        <v/>
      </c>
      <c r="Y941" s="110" t="str">
        <f t="array" ref="Y941">_xlfn.XLOOKUP(A941,'Video Database'!L:L,'Video Database'!M:M,"")</f>
        <v>Product Overlay</v>
      </c>
    </row>
    <row r="942" ht="22.5" customHeight="1">
      <c r="A942" s="113">
        <f t="shared" si="12"/>
        <v>941</v>
      </c>
      <c r="B942" s="98" t="str">
        <f t="array" ref="B942">_xlfn.XLOOKUP(A942,'Video Database'!L:L,'Video Database'!D:D,"")</f>
        <v>Blakely</v>
      </c>
      <c r="C942" s="98" t="str">
        <f t="array" ref="C942">_xlfn.XLOOKUP(A942,'Video Database'!L:L,'Video Database'!E:E,"")</f>
        <v>Account 2</v>
      </c>
      <c r="D942" s="99" t="str">
        <f t="array" ref="D942">_xlfn.XLOOKUP(A942,'Video Database'!L:L,'Video Database'!G:G,"")</f>
        <v>IRIS Hormone Health Drink Mix</v>
      </c>
      <c r="E942" s="100">
        <f t="array" ref="E942">_xlfn.XLOOKUP(A942,'Video Database'!L:L,'Video Database'!H:H,"")</f>
        <v>0.11</v>
      </c>
      <c r="F942" s="101">
        <v>0.0</v>
      </c>
      <c r="G942" s="87">
        <v>0.0</v>
      </c>
      <c r="H942" s="114">
        <f t="array" ref="H942">_xlfn.XLOOKUP(A942,'Video Database'!L:L,'Video Database'!A:A,"")</f>
        <v>46198</v>
      </c>
      <c r="I942" s="103">
        <v>46201.0</v>
      </c>
      <c r="J942" s="104">
        <v>0.0</v>
      </c>
      <c r="K942" s="105"/>
      <c r="L942" s="105" t="str">
        <f t="shared" si="1"/>
        <v/>
      </c>
      <c r="O942" s="106" t="str">
        <f t="shared" si="2"/>
        <v>#N/A</v>
      </c>
      <c r="P942" s="106" t="str">
        <f t="shared" si="3"/>
        <v>#N/A</v>
      </c>
      <c r="Q942" s="84" t="str">
        <f t="shared" si="4"/>
        <v>#N/A</v>
      </c>
      <c r="R942" s="84" t="str">
        <f t="shared" si="5"/>
        <v>#N/A</v>
      </c>
      <c r="S942" s="107">
        <f t="shared" si="6"/>
        <v>-0.11</v>
      </c>
      <c r="T942" s="108">
        <f t="shared" si="7"/>
        <v>-1</v>
      </c>
      <c r="U942" s="106" t="str">
        <f t="shared" si="8"/>
        <v>#N/A</v>
      </c>
      <c r="V942" s="84" t="str">
        <f t="shared" si="9"/>
        <v/>
      </c>
      <c r="W942" s="109" t="str">
        <f t="shared" si="10"/>
        <v/>
      </c>
      <c r="X942" s="109" t="str">
        <f t="shared" si="11"/>
        <v/>
      </c>
      <c r="Y942" s="110" t="str">
        <f t="array" ref="Y942">_xlfn.XLOOKUP(A942,'Video Database'!L:L,'Video Database'!M:M,"")</f>
        <v>Product Overlay</v>
      </c>
    </row>
    <row r="943" ht="22.5" customHeight="1">
      <c r="A943" s="113">
        <f t="shared" si="12"/>
        <v>942</v>
      </c>
      <c r="B943" s="98" t="str">
        <f t="array" ref="B943">_xlfn.XLOOKUP(A943,'Video Database'!L:L,'Video Database'!D:D,"")</f>
        <v>Blakely</v>
      </c>
      <c r="C943" s="98" t="str">
        <f t="array" ref="C943">_xlfn.XLOOKUP(A943,'Video Database'!L:L,'Video Database'!E:E,"")</f>
        <v>Account 2</v>
      </c>
      <c r="D943" s="99" t="str">
        <f t="array" ref="D943">_xlfn.XLOOKUP(A943,'Video Database'!L:L,'Video Database'!G:G,"")</f>
        <v>IRIS Hormone Health Drink Mix</v>
      </c>
      <c r="E943" s="100">
        <f t="array" ref="E943">_xlfn.XLOOKUP(A943,'Video Database'!L:L,'Video Database'!H:H,"")</f>
        <v>0.11</v>
      </c>
      <c r="F943" s="101">
        <v>0.0</v>
      </c>
      <c r="G943" s="87">
        <v>0.0</v>
      </c>
      <c r="H943" s="114">
        <f t="array" ref="H943">_xlfn.XLOOKUP(A943,'Video Database'!L:L,'Video Database'!A:A,"")</f>
        <v>46198</v>
      </c>
      <c r="I943" s="103">
        <v>46201.0</v>
      </c>
      <c r="J943" s="104">
        <v>0.0</v>
      </c>
      <c r="K943" s="105"/>
      <c r="L943" s="105" t="str">
        <f t="shared" si="1"/>
        <v/>
      </c>
      <c r="O943" s="106" t="str">
        <f t="shared" si="2"/>
        <v>#N/A</v>
      </c>
      <c r="P943" s="106" t="str">
        <f t="shared" si="3"/>
        <v>#N/A</v>
      </c>
      <c r="Q943" s="84" t="str">
        <f t="shared" si="4"/>
        <v>#N/A</v>
      </c>
      <c r="R943" s="84" t="str">
        <f t="shared" si="5"/>
        <v>#N/A</v>
      </c>
      <c r="S943" s="107">
        <f t="shared" si="6"/>
        <v>-0.11</v>
      </c>
      <c r="T943" s="108">
        <f t="shared" si="7"/>
        <v>-1</v>
      </c>
      <c r="U943" s="106" t="str">
        <f t="shared" si="8"/>
        <v>#N/A</v>
      </c>
      <c r="V943" s="84" t="str">
        <f t="shared" si="9"/>
        <v/>
      </c>
      <c r="W943" s="109" t="str">
        <f t="shared" si="10"/>
        <v/>
      </c>
      <c r="X943" s="109" t="str">
        <f t="shared" si="11"/>
        <v/>
      </c>
      <c r="Y943" s="110" t="str">
        <f t="array" ref="Y943">_xlfn.XLOOKUP(A943,'Video Database'!L:L,'Video Database'!M:M,"")</f>
        <v>Bottom of Funnel</v>
      </c>
    </row>
    <row r="944" ht="22.5" customHeight="1">
      <c r="A944" s="113">
        <f t="shared" si="12"/>
        <v>943</v>
      </c>
      <c r="B944" s="98" t="str">
        <f t="array" ref="B944">_xlfn.XLOOKUP(A944,'Video Database'!L:L,'Video Database'!D:D,"")</f>
        <v>Erin</v>
      </c>
      <c r="C944" s="98" t="str">
        <f t="array" ref="C944">_xlfn.XLOOKUP(A944,'Video Database'!L:L,'Video Database'!E:E,"")</f>
        <v>Account 2</v>
      </c>
      <c r="D944" s="99" t="str">
        <f t="array" ref="D944">_xlfn.XLOOKUP(A944,'Video Database'!L:L,'Video Database'!G:G,"")</f>
        <v>Camellia Deep Collagen Lifting Gel Mask</v>
      </c>
      <c r="E944" s="100">
        <f t="array" ref="E944">_xlfn.XLOOKUP(A944,'Video Database'!L:L,'Video Database'!H:H,"")</f>
        <v>0.7337</v>
      </c>
      <c r="F944" s="101">
        <v>0.0</v>
      </c>
      <c r="G944" s="87">
        <v>0.0</v>
      </c>
      <c r="H944" s="114">
        <f t="array" ref="H944">_xlfn.XLOOKUP(A944,'Video Database'!L:L,'Video Database'!A:A,"")</f>
        <v>46198</v>
      </c>
      <c r="I944" s="103">
        <v>46201.0</v>
      </c>
      <c r="J944" s="104">
        <v>0.0</v>
      </c>
      <c r="K944" s="105"/>
      <c r="L944" s="105" t="str">
        <f t="shared" si="1"/>
        <v/>
      </c>
      <c r="O944" s="106" t="str">
        <f t="shared" si="2"/>
        <v>#N/A</v>
      </c>
      <c r="P944" s="106" t="str">
        <f t="shared" si="3"/>
        <v>#N/A</v>
      </c>
      <c r="Q944" s="84" t="str">
        <f t="shared" si="4"/>
        <v>#N/A</v>
      </c>
      <c r="R944" s="84" t="str">
        <f t="shared" si="5"/>
        <v>#N/A</v>
      </c>
      <c r="S944" s="107">
        <f t="shared" si="6"/>
        <v>-0.7337</v>
      </c>
      <c r="T944" s="108">
        <f t="shared" si="7"/>
        <v>-1</v>
      </c>
      <c r="U944" s="106" t="str">
        <f t="shared" si="8"/>
        <v>#N/A</v>
      </c>
      <c r="V944" s="84" t="str">
        <f t="shared" si="9"/>
        <v/>
      </c>
      <c r="W944" s="109" t="str">
        <f t="shared" si="10"/>
        <v/>
      </c>
      <c r="X944" s="109" t="str">
        <f t="shared" si="11"/>
        <v/>
      </c>
      <c r="Y944" s="110" t="str">
        <f t="array" ref="Y944">_xlfn.XLOOKUP(A944,'Video Database'!L:L,'Video Database'!M:M,"")</f>
        <v>Bottom of Funnel</v>
      </c>
    </row>
    <row r="945" ht="22.5" customHeight="1">
      <c r="A945" s="113">
        <f t="shared" si="12"/>
        <v>944</v>
      </c>
      <c r="B945" s="98" t="str">
        <f t="array" ref="B945">_xlfn.XLOOKUP(A945,'Video Database'!L:L,'Video Database'!D:D,"")</f>
        <v>Erin</v>
      </c>
      <c r="C945" s="98" t="str">
        <f t="array" ref="C945">_xlfn.XLOOKUP(A945,'Video Database'!L:L,'Video Database'!E:E,"")</f>
        <v>Account 2</v>
      </c>
      <c r="D945" s="99" t="str">
        <f t="array" ref="D945">_xlfn.XLOOKUP(A945,'Video Database'!L:L,'Video Database'!G:G,"")</f>
        <v>Medicube Kojic Accid Tumeric Power Duo</v>
      </c>
      <c r="E945" s="100">
        <f t="array" ref="E945">_xlfn.XLOOKUP(A945,'Video Database'!L:L,'Video Database'!H:H,"")</f>
        <v>0.7337</v>
      </c>
      <c r="F945" s="101">
        <v>0.0</v>
      </c>
      <c r="G945" s="87">
        <v>0.0</v>
      </c>
      <c r="H945" s="114">
        <f t="array" ref="H945">_xlfn.XLOOKUP(A945,'Video Database'!L:L,'Video Database'!A:A,"")</f>
        <v>46198</v>
      </c>
      <c r="I945" s="103">
        <v>46201.0</v>
      </c>
      <c r="J945" s="104">
        <v>0.0</v>
      </c>
      <c r="K945" s="105"/>
      <c r="L945" s="105" t="str">
        <f t="shared" si="1"/>
        <v/>
      </c>
      <c r="O945" s="106" t="str">
        <f t="shared" si="2"/>
        <v>#N/A</v>
      </c>
      <c r="P945" s="106" t="str">
        <f t="shared" si="3"/>
        <v>#N/A</v>
      </c>
      <c r="Q945" s="84" t="str">
        <f t="shared" si="4"/>
        <v>#N/A</v>
      </c>
      <c r="R945" s="84" t="str">
        <f t="shared" si="5"/>
        <v>#N/A</v>
      </c>
      <c r="S945" s="107">
        <f t="shared" si="6"/>
        <v>-0.7337</v>
      </c>
      <c r="T945" s="108">
        <f t="shared" si="7"/>
        <v>-1</v>
      </c>
      <c r="U945" s="106" t="str">
        <f t="shared" si="8"/>
        <v>#N/A</v>
      </c>
      <c r="V945" s="84" t="str">
        <f t="shared" si="9"/>
        <v/>
      </c>
      <c r="W945" s="109" t="str">
        <f t="shared" si="10"/>
        <v/>
      </c>
      <c r="X945" s="109" t="str">
        <f t="shared" si="11"/>
        <v/>
      </c>
      <c r="Y945" s="110" t="str">
        <f t="array" ref="Y945">_xlfn.XLOOKUP(A945,'Video Database'!L:L,'Video Database'!M:M,"")</f>
        <v>Bottom of Funnel</v>
      </c>
    </row>
    <row r="946" ht="22.5" customHeight="1">
      <c r="A946" s="113">
        <f t="shared" si="12"/>
        <v>945</v>
      </c>
      <c r="B946" s="98" t="str">
        <f t="array" ref="B946">_xlfn.XLOOKUP(A946,'Video Database'!L:L,'Video Database'!D:D,"")</f>
        <v>Erin</v>
      </c>
      <c r="C946" s="98" t="str">
        <f t="array" ref="C946">_xlfn.XLOOKUP(A946,'Video Database'!L:L,'Video Database'!E:E,"")</f>
        <v>Account 2</v>
      </c>
      <c r="D946" s="99" t="str">
        <f t="array" ref="D946">_xlfn.XLOOKUP(A946,'Video Database'!L:L,'Video Database'!G:G,"")</f>
        <v>Camellia Deep Collagen Lifting Gel Mask</v>
      </c>
      <c r="E946" s="100">
        <f t="array" ref="E946">_xlfn.XLOOKUP(A946,'Video Database'!L:L,'Video Database'!H:H,"")</f>
        <v>0.7337</v>
      </c>
      <c r="F946" s="101">
        <v>0.0</v>
      </c>
      <c r="G946" s="87">
        <v>0.0</v>
      </c>
      <c r="H946" s="114">
        <f t="array" ref="H946">_xlfn.XLOOKUP(A946,'Video Database'!L:L,'Video Database'!A:A,"")</f>
        <v>46198</v>
      </c>
      <c r="I946" s="103">
        <v>46201.0</v>
      </c>
      <c r="J946" s="104">
        <v>0.0</v>
      </c>
      <c r="K946" s="105"/>
      <c r="L946" s="105" t="str">
        <f t="shared" si="1"/>
        <v/>
      </c>
      <c r="O946" s="106" t="str">
        <f t="shared" si="2"/>
        <v>#N/A</v>
      </c>
      <c r="P946" s="106" t="str">
        <f t="shared" si="3"/>
        <v>#N/A</v>
      </c>
      <c r="Q946" s="84" t="str">
        <f t="shared" si="4"/>
        <v>#N/A</v>
      </c>
      <c r="R946" s="84" t="str">
        <f t="shared" si="5"/>
        <v>#N/A</v>
      </c>
      <c r="S946" s="107">
        <f t="shared" si="6"/>
        <v>-0.7337</v>
      </c>
      <c r="T946" s="108">
        <f t="shared" si="7"/>
        <v>-1</v>
      </c>
      <c r="U946" s="106" t="str">
        <f t="shared" si="8"/>
        <v>#N/A</v>
      </c>
      <c r="V946" s="84" t="str">
        <f t="shared" si="9"/>
        <v/>
      </c>
      <c r="W946" s="109" t="str">
        <f t="shared" si="10"/>
        <v/>
      </c>
      <c r="X946" s="109" t="str">
        <f t="shared" si="11"/>
        <v/>
      </c>
      <c r="Y946" s="110" t="str">
        <f t="array" ref="Y946">_xlfn.XLOOKUP(A946,'Video Database'!L:L,'Video Database'!M:M,"")</f>
        <v>Bottom of Funnel</v>
      </c>
    </row>
    <row r="947" ht="22.5" customHeight="1">
      <c r="A947" s="113">
        <f t="shared" si="12"/>
        <v>946</v>
      </c>
      <c r="B947" s="98" t="str">
        <f t="array" ref="B947">_xlfn.XLOOKUP(A947,'Video Database'!L:L,'Video Database'!D:D,"")</f>
        <v>Erin</v>
      </c>
      <c r="C947" s="98" t="str">
        <f t="array" ref="C947">_xlfn.XLOOKUP(A947,'Video Database'!L:L,'Video Database'!E:E,"")</f>
        <v>Account 2</v>
      </c>
      <c r="D947" s="99" t="str">
        <f t="array" ref="D947">_xlfn.XLOOKUP(A947,'Video Database'!L:L,'Video Database'!G:G,"")</f>
        <v>Color Wow Quick Refresh and Styling Bundle</v>
      </c>
      <c r="E947" s="100">
        <f t="array" ref="E947">_xlfn.XLOOKUP(A947,'Video Database'!L:L,'Video Database'!H:H,"")</f>
        <v>0.7337</v>
      </c>
      <c r="F947" s="101">
        <v>0.0</v>
      </c>
      <c r="G947" s="87">
        <v>0.0</v>
      </c>
      <c r="H947" s="114">
        <f t="array" ref="H947">_xlfn.XLOOKUP(A947,'Video Database'!L:L,'Video Database'!A:A,"")</f>
        <v>46198</v>
      </c>
      <c r="I947" s="103">
        <v>46201.0</v>
      </c>
      <c r="J947" s="104">
        <v>0.0</v>
      </c>
      <c r="K947" s="105"/>
      <c r="L947" s="105" t="str">
        <f t="shared" si="1"/>
        <v/>
      </c>
      <c r="O947" s="106" t="str">
        <f t="shared" si="2"/>
        <v>#N/A</v>
      </c>
      <c r="P947" s="106" t="str">
        <f t="shared" si="3"/>
        <v>#N/A</v>
      </c>
      <c r="Q947" s="84" t="str">
        <f t="shared" si="4"/>
        <v>#N/A</v>
      </c>
      <c r="R947" s="84" t="str">
        <f t="shared" si="5"/>
        <v>#N/A</v>
      </c>
      <c r="S947" s="107">
        <f t="shared" si="6"/>
        <v>-0.7337</v>
      </c>
      <c r="T947" s="108">
        <f t="shared" si="7"/>
        <v>-1</v>
      </c>
      <c r="U947" s="106" t="str">
        <f t="shared" si="8"/>
        <v>#N/A</v>
      </c>
      <c r="V947" s="84" t="str">
        <f t="shared" si="9"/>
        <v/>
      </c>
      <c r="W947" s="109" t="str">
        <f t="shared" si="10"/>
        <v/>
      </c>
      <c r="X947" s="109" t="str">
        <f t="shared" si="11"/>
        <v/>
      </c>
      <c r="Y947" s="110" t="str">
        <f t="array" ref="Y947">_xlfn.XLOOKUP(A947,'Video Database'!L:L,'Video Database'!M:M,"")</f>
        <v>Bottom of Funnel</v>
      </c>
    </row>
    <row r="948" ht="22.5" customHeight="1">
      <c r="A948" s="113">
        <f t="shared" si="12"/>
        <v>947</v>
      </c>
      <c r="B948" s="98" t="str">
        <f t="array" ref="B948">_xlfn.XLOOKUP(A948,'Video Database'!L:L,'Video Database'!D:D,"")</f>
        <v>Erin</v>
      </c>
      <c r="C948" s="98" t="str">
        <f t="array" ref="C948">_xlfn.XLOOKUP(A948,'Video Database'!L:L,'Video Database'!E:E,"")</f>
        <v>Account 2</v>
      </c>
      <c r="D948" s="99" t="str">
        <f t="array" ref="D948">_xlfn.XLOOKUP(A948,'Video Database'!L:L,'Video Database'!G:G,"")</f>
        <v>Camellia Deep Collagen Lifting Gel Mask</v>
      </c>
      <c r="E948" s="100">
        <f t="array" ref="E948">_xlfn.XLOOKUP(A948,'Video Database'!L:L,'Video Database'!H:H,"")</f>
        <v>0.7337</v>
      </c>
      <c r="F948" s="101">
        <v>0.0</v>
      </c>
      <c r="G948" s="87">
        <v>0.0</v>
      </c>
      <c r="H948" s="114">
        <f t="array" ref="H948">_xlfn.XLOOKUP(A948,'Video Database'!L:L,'Video Database'!A:A,"")</f>
        <v>46198</v>
      </c>
      <c r="I948" s="103">
        <v>46201.0</v>
      </c>
      <c r="J948" s="104">
        <v>0.0</v>
      </c>
      <c r="K948" s="105"/>
      <c r="L948" s="105" t="str">
        <f t="shared" si="1"/>
        <v/>
      </c>
      <c r="O948" s="106" t="str">
        <f t="shared" si="2"/>
        <v>#N/A</v>
      </c>
      <c r="P948" s="106" t="str">
        <f t="shared" si="3"/>
        <v>#N/A</v>
      </c>
      <c r="Q948" s="84" t="str">
        <f t="shared" si="4"/>
        <v>#N/A</v>
      </c>
      <c r="R948" s="84" t="str">
        <f t="shared" si="5"/>
        <v>#N/A</v>
      </c>
      <c r="S948" s="107">
        <f t="shared" si="6"/>
        <v>-0.7337</v>
      </c>
      <c r="T948" s="108">
        <f t="shared" si="7"/>
        <v>-1</v>
      </c>
      <c r="U948" s="106" t="str">
        <f t="shared" si="8"/>
        <v>#N/A</v>
      </c>
      <c r="V948" s="84" t="str">
        <f t="shared" si="9"/>
        <v/>
      </c>
      <c r="W948" s="109" t="str">
        <f t="shared" si="10"/>
        <v/>
      </c>
      <c r="X948" s="109" t="str">
        <f t="shared" si="11"/>
        <v/>
      </c>
      <c r="Y948" s="110" t="str">
        <f t="array" ref="Y948">_xlfn.XLOOKUP(A948,'Video Database'!L:L,'Video Database'!M:M,"")</f>
        <v>Bottom of Funnel</v>
      </c>
    </row>
    <row r="949" ht="22.5" customHeight="1">
      <c r="A949" s="113">
        <f t="shared" si="12"/>
        <v>948</v>
      </c>
      <c r="B949" s="98" t="str">
        <f t="array" ref="B949">_xlfn.XLOOKUP(A949,'Video Database'!L:L,'Video Database'!D:D,"")</f>
        <v>Blakely</v>
      </c>
      <c r="C949" s="98" t="str">
        <f t="array" ref="C949">_xlfn.XLOOKUP(A949,'Video Database'!L:L,'Video Database'!E:E,"")</f>
        <v>Account 3</v>
      </c>
      <c r="D949" s="99" t="str">
        <f t="array" ref="D949">_xlfn.XLOOKUP(A949,'Video Database'!L:L,'Video Database'!G:G,"")</f>
        <v>BetterAlt Shilajit Honey Sticks</v>
      </c>
      <c r="E949" s="100">
        <f t="array" ref="E949">_xlfn.XLOOKUP(A949,'Video Database'!L:L,'Video Database'!H:H,"")</f>
        <v>0.11</v>
      </c>
      <c r="F949" s="101">
        <v>0.0</v>
      </c>
      <c r="G949" s="87">
        <v>0.0</v>
      </c>
      <c r="H949" s="114">
        <f t="array" ref="H949">_xlfn.XLOOKUP(A949,'Video Database'!L:L,'Video Database'!A:A,"")</f>
        <v>46198</v>
      </c>
      <c r="I949" s="103">
        <v>46201.0</v>
      </c>
      <c r="J949" s="104">
        <v>0.0</v>
      </c>
      <c r="K949" s="105"/>
      <c r="L949" s="105" t="str">
        <f t="shared" si="1"/>
        <v/>
      </c>
      <c r="O949" s="106" t="str">
        <f t="shared" si="2"/>
        <v>#N/A</v>
      </c>
      <c r="P949" s="106" t="str">
        <f t="shared" si="3"/>
        <v>#N/A</v>
      </c>
      <c r="Q949" s="84" t="str">
        <f t="shared" si="4"/>
        <v>#N/A</v>
      </c>
      <c r="R949" s="84" t="str">
        <f t="shared" si="5"/>
        <v>#N/A</v>
      </c>
      <c r="S949" s="107">
        <f t="shared" si="6"/>
        <v>-0.11</v>
      </c>
      <c r="T949" s="108">
        <f t="shared" si="7"/>
        <v>-1</v>
      </c>
      <c r="U949" s="106" t="str">
        <f t="shared" si="8"/>
        <v>#N/A</v>
      </c>
      <c r="V949" s="84" t="str">
        <f t="shared" si="9"/>
        <v/>
      </c>
      <c r="W949" s="109" t="str">
        <f t="shared" si="10"/>
        <v/>
      </c>
      <c r="X949" s="109" t="str">
        <f t="shared" si="11"/>
        <v/>
      </c>
      <c r="Y949" s="110" t="str">
        <f t="array" ref="Y949">_xlfn.XLOOKUP(A949,'Video Database'!L:L,'Video Database'!M:M,"")</f>
        <v>Bottom of Funnel</v>
      </c>
    </row>
    <row r="950" ht="22.5" customHeight="1">
      <c r="A950" s="113">
        <f t="shared" si="12"/>
        <v>949</v>
      </c>
      <c r="B950" s="98" t="str">
        <f t="array" ref="B950">_xlfn.XLOOKUP(A950,'Video Database'!L:L,'Video Database'!D:D,"")</f>
        <v>Blakely</v>
      </c>
      <c r="C950" s="98" t="str">
        <f t="array" ref="C950">_xlfn.XLOOKUP(A950,'Video Database'!L:L,'Video Database'!E:E,"")</f>
        <v>Account 3</v>
      </c>
      <c r="D950" s="99" t="str">
        <f t="array" ref="D950">_xlfn.XLOOKUP(A950,'Video Database'!L:L,'Video Database'!G:G,"")</f>
        <v>tarte CC Color-Correct Tinted Serum</v>
      </c>
      <c r="E950" s="100">
        <f t="array" ref="E950">_xlfn.XLOOKUP(A950,'Video Database'!L:L,'Video Database'!H:H,"")</f>
        <v>0.11</v>
      </c>
      <c r="F950" s="101">
        <v>0.0</v>
      </c>
      <c r="G950" s="87">
        <v>0.0</v>
      </c>
      <c r="H950" s="114">
        <f t="array" ref="H950">_xlfn.XLOOKUP(A950,'Video Database'!L:L,'Video Database'!A:A,"")</f>
        <v>46198</v>
      </c>
      <c r="I950" s="103">
        <v>46201.0</v>
      </c>
      <c r="J950" s="104">
        <v>0.0</v>
      </c>
      <c r="K950" s="105"/>
      <c r="L950" s="105" t="str">
        <f t="shared" si="1"/>
        <v/>
      </c>
      <c r="O950" s="106" t="str">
        <f t="shared" si="2"/>
        <v>#N/A</v>
      </c>
      <c r="P950" s="106" t="str">
        <f t="shared" si="3"/>
        <v>#N/A</v>
      </c>
      <c r="Q950" s="84" t="str">
        <f t="shared" si="4"/>
        <v>#N/A</v>
      </c>
      <c r="R950" s="84" t="str">
        <f t="shared" si="5"/>
        <v>#N/A</v>
      </c>
      <c r="S950" s="107">
        <f t="shared" si="6"/>
        <v>-0.11</v>
      </c>
      <c r="T950" s="108">
        <f t="shared" si="7"/>
        <v>-1</v>
      </c>
      <c r="U950" s="106" t="str">
        <f t="shared" si="8"/>
        <v>#N/A</v>
      </c>
      <c r="V950" s="84" t="str">
        <f t="shared" si="9"/>
        <v/>
      </c>
      <c r="W950" s="109" t="str">
        <f t="shared" si="10"/>
        <v/>
      </c>
      <c r="X950" s="109" t="str">
        <f t="shared" si="11"/>
        <v/>
      </c>
      <c r="Y950" s="110" t="str">
        <f t="array" ref="Y950">_xlfn.XLOOKUP(A950,'Video Database'!L:L,'Video Database'!M:M,"")</f>
        <v>Bottom of Funnel</v>
      </c>
    </row>
    <row r="951" ht="22.5" customHeight="1">
      <c r="A951" s="113">
        <f t="shared" si="12"/>
        <v>950</v>
      </c>
      <c r="B951" s="98" t="str">
        <f t="array" ref="B951">_xlfn.XLOOKUP(A951,'Video Database'!L:L,'Video Database'!D:D,"")</f>
        <v>Erin</v>
      </c>
      <c r="C951" s="98" t="str">
        <f t="array" ref="C951">_xlfn.XLOOKUP(A951,'Video Database'!L:L,'Video Database'!E:E,"")</f>
        <v>Account 3</v>
      </c>
      <c r="D951" s="99" t="str">
        <f t="array" ref="D951">_xlfn.XLOOKUP(A951,'Video Database'!L:L,'Video Database'!G:G,"")</f>
        <v>Medicube Kojic Accid Tumeric Power Duo</v>
      </c>
      <c r="E951" s="100">
        <f t="array" ref="E951">_xlfn.XLOOKUP(A951,'Video Database'!L:L,'Video Database'!H:H,"")</f>
        <v>0.7337</v>
      </c>
      <c r="F951" s="101">
        <v>0.0</v>
      </c>
      <c r="G951" s="87">
        <v>0.0</v>
      </c>
      <c r="H951" s="114">
        <f t="array" ref="H951">_xlfn.XLOOKUP(A951,'Video Database'!L:L,'Video Database'!A:A,"")</f>
        <v>46198</v>
      </c>
      <c r="I951" s="103">
        <v>46201.0</v>
      </c>
      <c r="J951" s="104">
        <v>0.0</v>
      </c>
      <c r="K951" s="105"/>
      <c r="L951" s="105" t="str">
        <f t="shared" si="1"/>
        <v/>
      </c>
      <c r="O951" s="106" t="str">
        <f t="shared" si="2"/>
        <v>#N/A</v>
      </c>
      <c r="P951" s="106" t="str">
        <f t="shared" si="3"/>
        <v>#N/A</v>
      </c>
      <c r="Q951" s="84" t="str">
        <f t="shared" si="4"/>
        <v>#N/A</v>
      </c>
      <c r="R951" s="84" t="str">
        <f t="shared" si="5"/>
        <v>#N/A</v>
      </c>
      <c r="S951" s="107">
        <f t="shared" si="6"/>
        <v>-0.7337</v>
      </c>
      <c r="T951" s="108">
        <f t="shared" si="7"/>
        <v>-1</v>
      </c>
      <c r="U951" s="106" t="str">
        <f t="shared" si="8"/>
        <v>#N/A</v>
      </c>
      <c r="V951" s="84" t="str">
        <f t="shared" si="9"/>
        <v/>
      </c>
      <c r="W951" s="109" t="str">
        <f t="shared" si="10"/>
        <v/>
      </c>
      <c r="X951" s="109" t="str">
        <f t="shared" si="11"/>
        <v/>
      </c>
      <c r="Y951" s="110" t="str">
        <f t="array" ref="Y951">_xlfn.XLOOKUP(A951,'Video Database'!L:L,'Video Database'!M:M,"")</f>
        <v>Bottom of Funnel</v>
      </c>
    </row>
    <row r="952" ht="22.5" customHeight="1">
      <c r="A952" s="113">
        <f t="shared" si="12"/>
        <v>951</v>
      </c>
      <c r="B952" s="98" t="str">
        <f t="array" ref="B952">_xlfn.XLOOKUP(A952,'Video Database'!L:L,'Video Database'!D:D,"")</f>
        <v>Erin</v>
      </c>
      <c r="C952" s="98" t="str">
        <f t="array" ref="C952">_xlfn.XLOOKUP(A952,'Video Database'!L:L,'Video Database'!E:E,"")</f>
        <v>Account 3</v>
      </c>
      <c r="D952" s="99" t="str">
        <f t="array" ref="D952">_xlfn.XLOOKUP(A952,'Video Database'!L:L,'Video Database'!G:G,"")</f>
        <v>Color Wow Quick Refresh and Styling Bundle</v>
      </c>
      <c r="E952" s="100">
        <f t="array" ref="E952">_xlfn.XLOOKUP(A952,'Video Database'!L:L,'Video Database'!H:H,"")</f>
        <v>0.7337</v>
      </c>
      <c r="F952" s="101">
        <v>0.0</v>
      </c>
      <c r="G952" s="87">
        <v>0.0</v>
      </c>
      <c r="H952" s="114">
        <f t="array" ref="H952">_xlfn.XLOOKUP(A952,'Video Database'!L:L,'Video Database'!A:A,"")</f>
        <v>46198</v>
      </c>
      <c r="I952" s="103">
        <v>46201.0</v>
      </c>
      <c r="J952" s="104">
        <v>0.0</v>
      </c>
      <c r="K952" s="105"/>
      <c r="L952" s="105" t="str">
        <f t="shared" si="1"/>
        <v/>
      </c>
      <c r="O952" s="106" t="str">
        <f t="shared" si="2"/>
        <v>#N/A</v>
      </c>
      <c r="P952" s="106" t="str">
        <f t="shared" si="3"/>
        <v>#N/A</v>
      </c>
      <c r="Q952" s="84" t="str">
        <f t="shared" si="4"/>
        <v>#N/A</v>
      </c>
      <c r="R952" s="84" t="str">
        <f t="shared" si="5"/>
        <v>#N/A</v>
      </c>
      <c r="S952" s="107">
        <f t="shared" si="6"/>
        <v>-0.7337</v>
      </c>
      <c r="T952" s="108">
        <f t="shared" si="7"/>
        <v>-1</v>
      </c>
      <c r="U952" s="106" t="str">
        <f t="shared" si="8"/>
        <v>#N/A</v>
      </c>
      <c r="V952" s="84" t="str">
        <f t="shared" si="9"/>
        <v/>
      </c>
      <c r="W952" s="109" t="str">
        <f t="shared" si="10"/>
        <v/>
      </c>
      <c r="X952" s="109" t="str">
        <f t="shared" si="11"/>
        <v/>
      </c>
      <c r="Y952" s="110" t="str">
        <f t="array" ref="Y952">_xlfn.XLOOKUP(A952,'Video Database'!L:L,'Video Database'!M:M,"")</f>
        <v>Bottom of Funnel</v>
      </c>
    </row>
    <row r="953" ht="22.5" customHeight="1">
      <c r="A953" s="113">
        <f t="shared" si="12"/>
        <v>952</v>
      </c>
      <c r="B953" s="98" t="str">
        <f t="array" ref="B953">_xlfn.XLOOKUP(A953,'Video Database'!L:L,'Video Database'!D:D,"")</f>
        <v>Erin</v>
      </c>
      <c r="C953" s="98" t="str">
        <f t="array" ref="C953">_xlfn.XLOOKUP(A953,'Video Database'!L:L,'Video Database'!E:E,"")</f>
        <v>Account 3</v>
      </c>
      <c r="D953" s="99" t="str">
        <f t="array" ref="D953">_xlfn.XLOOKUP(A953,'Video Database'!L:L,'Video Database'!G:G,"")</f>
        <v>Camellia Deep Collagen Lifting Gel Mask</v>
      </c>
      <c r="E953" s="100">
        <f t="array" ref="E953">_xlfn.XLOOKUP(A953,'Video Database'!L:L,'Video Database'!H:H,"")</f>
        <v>0.7337</v>
      </c>
      <c r="F953" s="101">
        <v>0.0</v>
      </c>
      <c r="G953" s="87">
        <v>0.0</v>
      </c>
      <c r="H953" s="114">
        <f t="array" ref="H953">_xlfn.XLOOKUP(A953,'Video Database'!L:L,'Video Database'!A:A,"")</f>
        <v>46198</v>
      </c>
      <c r="I953" s="103">
        <v>46201.0</v>
      </c>
      <c r="J953" s="104">
        <v>0.0</v>
      </c>
      <c r="K953" s="105"/>
      <c r="L953" s="105" t="str">
        <f t="shared" si="1"/>
        <v/>
      </c>
      <c r="O953" s="106" t="str">
        <f t="shared" si="2"/>
        <v>#N/A</v>
      </c>
      <c r="P953" s="106" t="str">
        <f t="shared" si="3"/>
        <v>#N/A</v>
      </c>
      <c r="Q953" s="84" t="str">
        <f t="shared" si="4"/>
        <v>#N/A</v>
      </c>
      <c r="R953" s="84" t="str">
        <f t="shared" si="5"/>
        <v>#N/A</v>
      </c>
      <c r="S953" s="107">
        <f t="shared" si="6"/>
        <v>-0.7337</v>
      </c>
      <c r="T953" s="108">
        <f t="shared" si="7"/>
        <v>-1</v>
      </c>
      <c r="U953" s="106" t="str">
        <f t="shared" si="8"/>
        <v>#N/A</v>
      </c>
      <c r="V953" s="84" t="str">
        <f t="shared" si="9"/>
        <v/>
      </c>
      <c r="W953" s="109" t="str">
        <f t="shared" si="10"/>
        <v/>
      </c>
      <c r="X953" s="109" t="str">
        <f t="shared" si="11"/>
        <v/>
      </c>
      <c r="Y953" s="110" t="str">
        <f t="array" ref="Y953">_xlfn.XLOOKUP(A953,'Video Database'!L:L,'Video Database'!M:M,"")</f>
        <v>Bottom of Funnel</v>
      </c>
    </row>
    <row r="954" ht="22.5" customHeight="1">
      <c r="A954" s="113">
        <f t="shared" si="12"/>
        <v>953</v>
      </c>
      <c r="B954" s="98" t="str">
        <f t="array" ref="B954">_xlfn.XLOOKUP(A954,'Video Database'!L:L,'Video Database'!D:D,"")</f>
        <v>Blakely</v>
      </c>
      <c r="C954" s="98" t="str">
        <f t="array" ref="C954">_xlfn.XLOOKUP(A954,'Video Database'!L:L,'Video Database'!E:E,"")</f>
        <v>Account 3</v>
      </c>
      <c r="D954" s="99" t="str">
        <f t="array" ref="D954">_xlfn.XLOOKUP(A954,'Video Database'!L:L,'Video Database'!G:G,"")</f>
        <v>JOYMODE Ignite Libido Support</v>
      </c>
      <c r="E954" s="100">
        <f t="array" ref="E954">_xlfn.XLOOKUP(A954,'Video Database'!L:L,'Video Database'!H:H,"")</f>
        <v>0.11</v>
      </c>
      <c r="F954" s="101">
        <v>0.0</v>
      </c>
      <c r="G954" s="87">
        <v>0.0</v>
      </c>
      <c r="H954" s="114">
        <f t="array" ref="H954">_xlfn.XLOOKUP(A954,'Video Database'!L:L,'Video Database'!A:A,"")</f>
        <v>46198</v>
      </c>
      <c r="I954" s="103">
        <v>46201.0</v>
      </c>
      <c r="J954" s="104">
        <v>0.0</v>
      </c>
      <c r="K954" s="105"/>
      <c r="L954" s="105" t="str">
        <f t="shared" si="1"/>
        <v/>
      </c>
      <c r="O954" s="106" t="str">
        <f t="shared" si="2"/>
        <v>#N/A</v>
      </c>
      <c r="P954" s="106" t="str">
        <f t="shared" si="3"/>
        <v>#N/A</v>
      </c>
      <c r="Q954" s="84" t="str">
        <f t="shared" si="4"/>
        <v>#N/A</v>
      </c>
      <c r="R954" s="84" t="str">
        <f t="shared" si="5"/>
        <v>#N/A</v>
      </c>
      <c r="S954" s="107">
        <f t="shared" si="6"/>
        <v>-0.11</v>
      </c>
      <c r="T954" s="108">
        <f t="shared" si="7"/>
        <v>-1</v>
      </c>
      <c r="U954" s="106" t="str">
        <f t="shared" si="8"/>
        <v>#N/A</v>
      </c>
      <c r="V954" s="84" t="str">
        <f t="shared" si="9"/>
        <v/>
      </c>
      <c r="W954" s="109" t="str">
        <f t="shared" si="10"/>
        <v/>
      </c>
      <c r="X954" s="109" t="str">
        <f t="shared" si="11"/>
        <v/>
      </c>
      <c r="Y954" s="110" t="str">
        <f t="array" ref="Y954">_xlfn.XLOOKUP(A954,'Video Database'!L:L,'Video Database'!M:M,"")</f>
        <v>Bottom of Funnel</v>
      </c>
    </row>
    <row r="955" ht="22.5" customHeight="1">
      <c r="A955" s="113">
        <f t="shared" si="12"/>
        <v>954</v>
      </c>
      <c r="B955" s="98" t="str">
        <f t="array" ref="B955">_xlfn.XLOOKUP(A955,'Video Database'!L:L,'Video Database'!D:D,"")</f>
        <v>Blakely</v>
      </c>
      <c r="C955" s="98" t="str">
        <f t="array" ref="C955">_xlfn.XLOOKUP(A955,'Video Database'!L:L,'Video Database'!E:E,"")</f>
        <v>Account 3</v>
      </c>
      <c r="D955" s="99" t="str">
        <f t="array" ref="D955">_xlfn.XLOOKUP(A955,'Video Database'!L:L,'Video Database'!G:G,"")</f>
        <v>Nutricost Creatine Monohydrate</v>
      </c>
      <c r="E955" s="100">
        <f t="array" ref="E955">_xlfn.XLOOKUP(A955,'Video Database'!L:L,'Video Database'!H:H,"")</f>
        <v>0.11</v>
      </c>
      <c r="F955" s="101">
        <v>0.0</v>
      </c>
      <c r="G955" s="87">
        <v>0.0</v>
      </c>
      <c r="H955" s="114">
        <f t="array" ref="H955">_xlfn.XLOOKUP(A955,'Video Database'!L:L,'Video Database'!A:A,"")</f>
        <v>46198</v>
      </c>
      <c r="I955" s="103">
        <v>46201.0</v>
      </c>
      <c r="J955" s="104">
        <v>0.0</v>
      </c>
      <c r="K955" s="105"/>
      <c r="L955" s="105" t="str">
        <f t="shared" si="1"/>
        <v/>
      </c>
      <c r="O955" s="106" t="str">
        <f t="shared" si="2"/>
        <v>#N/A</v>
      </c>
      <c r="P955" s="106" t="str">
        <f t="shared" si="3"/>
        <v>#N/A</v>
      </c>
      <c r="Q955" s="84" t="str">
        <f t="shared" si="4"/>
        <v>#N/A</v>
      </c>
      <c r="R955" s="84" t="str">
        <f t="shared" si="5"/>
        <v>#N/A</v>
      </c>
      <c r="S955" s="107">
        <f t="shared" si="6"/>
        <v>-0.11</v>
      </c>
      <c r="T955" s="108">
        <f t="shared" si="7"/>
        <v>-1</v>
      </c>
      <c r="U955" s="106" t="str">
        <f t="shared" si="8"/>
        <v>#N/A</v>
      </c>
      <c r="V955" s="84" t="str">
        <f t="shared" si="9"/>
        <v/>
      </c>
      <c r="W955" s="109" t="str">
        <f t="shared" si="10"/>
        <v/>
      </c>
      <c r="X955" s="109" t="str">
        <f t="shared" si="11"/>
        <v/>
      </c>
      <c r="Y955" s="110" t="str">
        <f t="array" ref="Y955">_xlfn.XLOOKUP(A955,'Video Database'!L:L,'Video Database'!M:M,"")</f>
        <v>Product Overlay</v>
      </c>
    </row>
    <row r="956" ht="22.5" customHeight="1">
      <c r="A956" s="113">
        <f t="shared" si="12"/>
        <v>955</v>
      </c>
      <c r="B956" s="98" t="str">
        <f t="array" ref="B956">_xlfn.XLOOKUP(A956,'Video Database'!L:L,'Video Database'!D:D,"")</f>
        <v>Blakely</v>
      </c>
      <c r="C956" s="98" t="str">
        <f t="array" ref="C956">_xlfn.XLOOKUP(A956,'Video Database'!L:L,'Video Database'!E:E,"")</f>
        <v>Account 3</v>
      </c>
      <c r="D956" s="99" t="str">
        <f t="array" ref="D956">_xlfn.XLOOKUP(A956,'Video Database'!L:L,'Video Database'!G:G,"")</f>
        <v>tarte CC Color-Correct Tinted Serum</v>
      </c>
      <c r="E956" s="100">
        <f t="array" ref="E956">_xlfn.XLOOKUP(A956,'Video Database'!L:L,'Video Database'!H:H,"")</f>
        <v>0.11</v>
      </c>
      <c r="F956" s="101">
        <v>0.0</v>
      </c>
      <c r="G956" s="87">
        <v>0.0</v>
      </c>
      <c r="H956" s="114">
        <f t="array" ref="H956">_xlfn.XLOOKUP(A956,'Video Database'!L:L,'Video Database'!A:A,"")</f>
        <v>46198</v>
      </c>
      <c r="I956" s="103">
        <v>46201.0</v>
      </c>
      <c r="J956" s="104">
        <v>0.0</v>
      </c>
      <c r="K956" s="105"/>
      <c r="L956" s="105" t="str">
        <f t="shared" si="1"/>
        <v/>
      </c>
      <c r="O956" s="106" t="str">
        <f t="shared" si="2"/>
        <v>#N/A</v>
      </c>
      <c r="P956" s="106" t="str">
        <f t="shared" si="3"/>
        <v>#N/A</v>
      </c>
      <c r="Q956" s="84" t="str">
        <f t="shared" si="4"/>
        <v>#N/A</v>
      </c>
      <c r="R956" s="84" t="str">
        <f t="shared" si="5"/>
        <v>#N/A</v>
      </c>
      <c r="S956" s="107">
        <f t="shared" si="6"/>
        <v>-0.11</v>
      </c>
      <c r="T956" s="108">
        <f t="shared" si="7"/>
        <v>-1</v>
      </c>
      <c r="U956" s="106" t="str">
        <f t="shared" si="8"/>
        <v>#N/A</v>
      </c>
      <c r="V956" s="84" t="str">
        <f t="shared" si="9"/>
        <v/>
      </c>
      <c r="W956" s="109" t="str">
        <f t="shared" si="10"/>
        <v/>
      </c>
      <c r="X956" s="109" t="str">
        <f t="shared" si="11"/>
        <v/>
      </c>
      <c r="Y956" s="110" t="str">
        <f t="array" ref="Y956">_xlfn.XLOOKUP(A956,'Video Database'!L:L,'Video Database'!M:M,"")</f>
        <v>Bottom of Funnel</v>
      </c>
    </row>
    <row r="957" ht="22.5" customHeight="1">
      <c r="A957" s="113">
        <f t="shared" si="12"/>
        <v>956</v>
      </c>
      <c r="B957" s="98" t="str">
        <f t="array" ref="B957">_xlfn.XLOOKUP(A957,'Video Database'!L:L,'Video Database'!D:D,"")</f>
        <v>Blakely</v>
      </c>
      <c r="C957" s="98" t="str">
        <f t="array" ref="C957">_xlfn.XLOOKUP(A957,'Video Database'!L:L,'Video Database'!E:E,"")</f>
        <v>Account 3</v>
      </c>
      <c r="D957" s="99" t="str">
        <f t="array" ref="D957">_xlfn.XLOOKUP(A957,'Video Database'!L:L,'Video Database'!G:G,"")</f>
        <v>NeilMed Piercing Aftercare Spray XL</v>
      </c>
      <c r="E957" s="100">
        <f t="array" ref="E957">_xlfn.XLOOKUP(A957,'Video Database'!L:L,'Video Database'!H:H,"")</f>
        <v>0.11</v>
      </c>
      <c r="F957" s="101">
        <v>0.0</v>
      </c>
      <c r="G957" s="87">
        <v>0.0</v>
      </c>
      <c r="H957" s="114">
        <f t="array" ref="H957">_xlfn.XLOOKUP(A957,'Video Database'!L:L,'Video Database'!A:A,"")</f>
        <v>46198</v>
      </c>
      <c r="I957" s="103">
        <v>46201.0</v>
      </c>
      <c r="J957" s="104">
        <v>0.0</v>
      </c>
      <c r="K957" s="105"/>
      <c r="L957" s="105" t="str">
        <f t="shared" si="1"/>
        <v/>
      </c>
      <c r="O957" s="106" t="str">
        <f t="shared" si="2"/>
        <v>#N/A</v>
      </c>
      <c r="P957" s="106" t="str">
        <f t="shared" si="3"/>
        <v>#N/A</v>
      </c>
      <c r="Q957" s="84" t="str">
        <f t="shared" si="4"/>
        <v>#N/A</v>
      </c>
      <c r="R957" s="84" t="str">
        <f t="shared" si="5"/>
        <v>#N/A</v>
      </c>
      <c r="S957" s="107">
        <f t="shared" si="6"/>
        <v>-0.11</v>
      </c>
      <c r="T957" s="108">
        <f t="shared" si="7"/>
        <v>-1</v>
      </c>
      <c r="U957" s="106" t="str">
        <f t="shared" si="8"/>
        <v>#N/A</v>
      </c>
      <c r="V957" s="84" t="str">
        <f t="shared" si="9"/>
        <v/>
      </c>
      <c r="W957" s="109" t="str">
        <f t="shared" si="10"/>
        <v/>
      </c>
      <c r="X957" s="109" t="str">
        <f t="shared" si="11"/>
        <v/>
      </c>
      <c r="Y957" s="110" t="str">
        <f t="array" ref="Y957">_xlfn.XLOOKUP(A957,'Video Database'!L:L,'Video Database'!M:M,"")</f>
        <v>Product Overlay</v>
      </c>
    </row>
    <row r="958" ht="22.5" customHeight="1">
      <c r="A958" s="113">
        <f t="shared" si="12"/>
        <v>957</v>
      </c>
      <c r="B958" s="98" t="str">
        <f t="array" ref="B958">_xlfn.XLOOKUP(A958,'Video Database'!L:L,'Video Database'!D:D,"")</f>
        <v>Blakely</v>
      </c>
      <c r="C958" s="98" t="str">
        <f t="array" ref="C958">_xlfn.XLOOKUP(A958,'Video Database'!L:L,'Video Database'!E:E,"")</f>
        <v>Account 3</v>
      </c>
      <c r="D958" s="99" t="str">
        <f t="array" ref="D958">_xlfn.XLOOKUP(A958,'Video Database'!L:L,'Video Database'!G:G,"")</f>
        <v>IRIS Hormone Health Drink Mix</v>
      </c>
      <c r="E958" s="100">
        <f t="array" ref="E958">_xlfn.XLOOKUP(A958,'Video Database'!L:L,'Video Database'!H:H,"")</f>
        <v>0.11</v>
      </c>
      <c r="F958" s="101">
        <v>0.0</v>
      </c>
      <c r="G958" s="87">
        <v>0.0</v>
      </c>
      <c r="H958" s="114">
        <f t="array" ref="H958">_xlfn.XLOOKUP(A958,'Video Database'!L:L,'Video Database'!A:A,"")</f>
        <v>46198</v>
      </c>
      <c r="I958" s="103">
        <v>46201.0</v>
      </c>
      <c r="J958" s="104">
        <v>0.0</v>
      </c>
      <c r="K958" s="105"/>
      <c r="L958" s="105" t="str">
        <f t="shared" si="1"/>
        <v/>
      </c>
      <c r="O958" s="106" t="str">
        <f t="shared" si="2"/>
        <v>#N/A</v>
      </c>
      <c r="P958" s="106" t="str">
        <f t="shared" si="3"/>
        <v>#N/A</v>
      </c>
      <c r="Q958" s="84" t="str">
        <f t="shared" si="4"/>
        <v>#N/A</v>
      </c>
      <c r="R958" s="84" t="str">
        <f t="shared" si="5"/>
        <v>#N/A</v>
      </c>
      <c r="S958" s="107">
        <f t="shared" si="6"/>
        <v>-0.11</v>
      </c>
      <c r="T958" s="108">
        <f t="shared" si="7"/>
        <v>-1</v>
      </c>
      <c r="U958" s="106" t="str">
        <f t="shared" si="8"/>
        <v>#N/A</v>
      </c>
      <c r="V958" s="84" t="str">
        <f t="shared" si="9"/>
        <v/>
      </c>
      <c r="W958" s="109" t="str">
        <f t="shared" si="10"/>
        <v/>
      </c>
      <c r="X958" s="109" t="str">
        <f t="shared" si="11"/>
        <v/>
      </c>
      <c r="Y958" s="110" t="str">
        <f t="array" ref="Y958">_xlfn.XLOOKUP(A958,'Video Database'!L:L,'Video Database'!M:M,"")</f>
        <v>Product Overlay</v>
      </c>
    </row>
    <row r="959" ht="22.5" customHeight="1">
      <c r="A959" s="113">
        <f t="shared" si="12"/>
        <v>958</v>
      </c>
      <c r="B959" s="98" t="str">
        <f t="array" ref="B959">_xlfn.XLOOKUP(A959,'Video Database'!L:L,'Video Database'!D:D,"")</f>
        <v>Erin</v>
      </c>
      <c r="C959" s="98" t="str">
        <f t="array" ref="C959">_xlfn.XLOOKUP(A959,'Video Database'!L:L,'Video Database'!E:E,"")</f>
        <v>Account 3</v>
      </c>
      <c r="D959" s="99" t="str">
        <f t="array" ref="D959">_xlfn.XLOOKUP(A959,'Video Database'!L:L,'Video Database'!G:G,"")</f>
        <v>Camellia Deep Collagen Lifting Gel Mask</v>
      </c>
      <c r="E959" s="100">
        <f t="array" ref="E959">_xlfn.XLOOKUP(A959,'Video Database'!L:L,'Video Database'!H:H,"")</f>
        <v>0.7337</v>
      </c>
      <c r="F959" s="101">
        <v>0.0</v>
      </c>
      <c r="G959" s="87">
        <v>0.0</v>
      </c>
      <c r="H959" s="114">
        <f t="array" ref="H959">_xlfn.XLOOKUP(A959,'Video Database'!L:L,'Video Database'!A:A,"")</f>
        <v>46198</v>
      </c>
      <c r="I959" s="103">
        <v>46201.0</v>
      </c>
      <c r="J959" s="104">
        <v>0.0</v>
      </c>
      <c r="K959" s="105"/>
      <c r="L959" s="105" t="str">
        <f t="shared" si="1"/>
        <v/>
      </c>
      <c r="O959" s="106" t="str">
        <f t="shared" si="2"/>
        <v>#N/A</v>
      </c>
      <c r="P959" s="106" t="str">
        <f t="shared" si="3"/>
        <v>#N/A</v>
      </c>
      <c r="Q959" s="84" t="str">
        <f t="shared" si="4"/>
        <v>#N/A</v>
      </c>
      <c r="R959" s="84" t="str">
        <f t="shared" si="5"/>
        <v>#N/A</v>
      </c>
      <c r="S959" s="107">
        <f t="shared" si="6"/>
        <v>-0.7337</v>
      </c>
      <c r="T959" s="108">
        <f t="shared" si="7"/>
        <v>-1</v>
      </c>
      <c r="U959" s="106" t="str">
        <f t="shared" si="8"/>
        <v>#N/A</v>
      </c>
      <c r="V959" s="84" t="str">
        <f t="shared" si="9"/>
        <v/>
      </c>
      <c r="W959" s="109" t="str">
        <f t="shared" si="10"/>
        <v/>
      </c>
      <c r="X959" s="109" t="str">
        <f t="shared" si="11"/>
        <v/>
      </c>
      <c r="Y959" s="110" t="str">
        <f t="array" ref="Y959">_xlfn.XLOOKUP(A959,'Video Database'!L:L,'Video Database'!M:M,"")</f>
        <v>Bottom of Funnel</v>
      </c>
    </row>
    <row r="960" ht="22.5" customHeight="1">
      <c r="A960" s="113">
        <f t="shared" si="12"/>
        <v>959</v>
      </c>
      <c r="B960" s="98" t="str">
        <f t="array" ref="B960">_xlfn.XLOOKUP(A960,'Video Database'!L:L,'Video Database'!D:D,"")</f>
        <v>Blakely</v>
      </c>
      <c r="C960" s="98" t="str">
        <f t="array" ref="C960">_xlfn.XLOOKUP(A960,'Video Database'!L:L,'Video Database'!E:E,"")</f>
        <v>Account 3</v>
      </c>
      <c r="D960" s="99" t="str">
        <f t="array" ref="D960">_xlfn.XLOOKUP(A960,'Video Database'!L:L,'Video Database'!G:G,"")</f>
        <v>BetterAlt Shilajit Honey Sticks</v>
      </c>
      <c r="E960" s="100">
        <f t="array" ref="E960">_xlfn.XLOOKUP(A960,'Video Database'!L:L,'Video Database'!H:H,"")</f>
        <v>0.11</v>
      </c>
      <c r="F960" s="101">
        <v>0.0</v>
      </c>
      <c r="G960" s="87">
        <v>0.0</v>
      </c>
      <c r="H960" s="114">
        <f t="array" ref="H960">_xlfn.XLOOKUP(A960,'Video Database'!L:L,'Video Database'!A:A,"")</f>
        <v>46198</v>
      </c>
      <c r="I960" s="103">
        <v>46201.0</v>
      </c>
      <c r="J960" s="104">
        <v>0.0</v>
      </c>
      <c r="K960" s="105"/>
      <c r="L960" s="105" t="str">
        <f t="shared" si="1"/>
        <v/>
      </c>
      <c r="O960" s="106" t="str">
        <f t="shared" si="2"/>
        <v>#N/A</v>
      </c>
      <c r="P960" s="106" t="str">
        <f t="shared" si="3"/>
        <v>#N/A</v>
      </c>
      <c r="Q960" s="84" t="str">
        <f t="shared" si="4"/>
        <v>#N/A</v>
      </c>
      <c r="R960" s="84" t="str">
        <f t="shared" si="5"/>
        <v>#N/A</v>
      </c>
      <c r="S960" s="107">
        <f t="shared" si="6"/>
        <v>-0.11</v>
      </c>
      <c r="T960" s="108">
        <f t="shared" si="7"/>
        <v>-1</v>
      </c>
      <c r="U960" s="106" t="str">
        <f t="shared" si="8"/>
        <v>#N/A</v>
      </c>
      <c r="V960" s="84" t="str">
        <f t="shared" si="9"/>
        <v/>
      </c>
      <c r="W960" s="109" t="str">
        <f t="shared" si="10"/>
        <v/>
      </c>
      <c r="X960" s="109" t="str">
        <f t="shared" si="11"/>
        <v/>
      </c>
      <c r="Y960" s="110" t="str">
        <f t="array" ref="Y960">_xlfn.XLOOKUP(A960,'Video Database'!L:L,'Video Database'!M:M,"")</f>
        <v>Product Overlay</v>
      </c>
    </row>
    <row r="961" ht="22.5" customHeight="1">
      <c r="A961" s="113">
        <f t="shared" si="12"/>
        <v>960</v>
      </c>
      <c r="B961" s="98" t="str">
        <f t="array" ref="B961">_xlfn.XLOOKUP(A961,'Video Database'!L:L,'Video Database'!D:D,"")</f>
        <v>Blakely</v>
      </c>
      <c r="C961" s="98" t="str">
        <f t="array" ref="C961">_xlfn.XLOOKUP(A961,'Video Database'!L:L,'Video Database'!E:E,"")</f>
        <v>Account 3</v>
      </c>
      <c r="D961" s="99" t="str">
        <f t="array" ref="D961">_xlfn.XLOOKUP(A961,'Video Database'!L:L,'Video Database'!G:G,"")</f>
        <v>BetterAlt Shilajit Honey Sticks</v>
      </c>
      <c r="E961" s="100">
        <f t="array" ref="E961">_xlfn.XLOOKUP(A961,'Video Database'!L:L,'Video Database'!H:H,"")</f>
        <v>0.11</v>
      </c>
      <c r="F961" s="101">
        <v>0.0</v>
      </c>
      <c r="G961" s="87">
        <v>0.0</v>
      </c>
      <c r="H961" s="114">
        <f t="array" ref="H961">_xlfn.XLOOKUP(A961,'Video Database'!L:L,'Video Database'!A:A,"")</f>
        <v>46198</v>
      </c>
      <c r="I961" s="103">
        <v>46201.0</v>
      </c>
      <c r="J961" s="104">
        <v>0.0</v>
      </c>
      <c r="K961" s="105"/>
      <c r="L961" s="105" t="str">
        <f t="shared" si="1"/>
        <v/>
      </c>
      <c r="O961" s="106" t="str">
        <f t="shared" si="2"/>
        <v>#N/A</v>
      </c>
      <c r="P961" s="106" t="str">
        <f t="shared" si="3"/>
        <v>#N/A</v>
      </c>
      <c r="Q961" s="84" t="str">
        <f t="shared" si="4"/>
        <v>#N/A</v>
      </c>
      <c r="R961" s="84" t="str">
        <f t="shared" si="5"/>
        <v>#N/A</v>
      </c>
      <c r="S961" s="107">
        <f t="shared" si="6"/>
        <v>-0.11</v>
      </c>
      <c r="T961" s="108">
        <f t="shared" si="7"/>
        <v>-1</v>
      </c>
      <c r="U961" s="106" t="str">
        <f t="shared" si="8"/>
        <v>#N/A</v>
      </c>
      <c r="V961" s="84" t="str">
        <f t="shared" si="9"/>
        <v/>
      </c>
      <c r="W961" s="109" t="str">
        <f t="shared" si="10"/>
        <v/>
      </c>
      <c r="X961" s="109" t="str">
        <f t="shared" si="11"/>
        <v/>
      </c>
      <c r="Y961" s="110" t="str">
        <f t="array" ref="Y961">_xlfn.XLOOKUP(A961,'Video Database'!L:L,'Video Database'!M:M,"")</f>
        <v>Product Overlay</v>
      </c>
    </row>
    <row r="962" ht="22.5" customHeight="1">
      <c r="A962" s="113">
        <f t="shared" si="12"/>
        <v>961</v>
      </c>
      <c r="B962" s="98" t="str">
        <f t="array" ref="B962">_xlfn.XLOOKUP(A962,'Video Database'!L:L,'Video Database'!D:D,"")</f>
        <v>Blakely</v>
      </c>
      <c r="C962" s="98" t="str">
        <f t="array" ref="C962">_xlfn.XLOOKUP(A962,'Video Database'!L:L,'Video Database'!E:E,"")</f>
        <v>Account 3</v>
      </c>
      <c r="D962" s="99" t="str">
        <f t="array" ref="D962">_xlfn.XLOOKUP(A962,'Video Database'!L:L,'Video Database'!G:G,"")</f>
        <v>BetterAlt Shilajit Honey Sticks</v>
      </c>
      <c r="E962" s="100">
        <f t="array" ref="E962">_xlfn.XLOOKUP(A962,'Video Database'!L:L,'Video Database'!H:H,"")</f>
        <v>0.11</v>
      </c>
      <c r="F962" s="101">
        <v>0.0</v>
      </c>
      <c r="G962" s="87">
        <v>0.0</v>
      </c>
      <c r="H962" s="114">
        <f t="array" ref="H962">_xlfn.XLOOKUP(A962,'Video Database'!L:L,'Video Database'!A:A,"")</f>
        <v>46198</v>
      </c>
      <c r="I962" s="103">
        <v>46201.0</v>
      </c>
      <c r="J962" s="104">
        <v>0.0</v>
      </c>
      <c r="K962" s="105"/>
      <c r="L962" s="105" t="str">
        <f t="shared" si="1"/>
        <v/>
      </c>
      <c r="O962" s="106" t="str">
        <f t="shared" si="2"/>
        <v>#N/A</v>
      </c>
      <c r="P962" s="106" t="str">
        <f t="shared" si="3"/>
        <v>#N/A</v>
      </c>
      <c r="Q962" s="84" t="str">
        <f t="shared" si="4"/>
        <v>#N/A</v>
      </c>
      <c r="R962" s="84" t="str">
        <f t="shared" si="5"/>
        <v>#N/A</v>
      </c>
      <c r="S962" s="107">
        <f t="shared" si="6"/>
        <v>-0.11</v>
      </c>
      <c r="T962" s="108">
        <f t="shared" si="7"/>
        <v>-1</v>
      </c>
      <c r="U962" s="106" t="str">
        <f t="shared" si="8"/>
        <v>#N/A</v>
      </c>
      <c r="V962" s="84" t="str">
        <f t="shared" si="9"/>
        <v/>
      </c>
      <c r="W962" s="109" t="str">
        <f t="shared" si="10"/>
        <v/>
      </c>
      <c r="X962" s="109" t="str">
        <f t="shared" si="11"/>
        <v/>
      </c>
      <c r="Y962" s="110" t="str">
        <f t="array" ref="Y962">_xlfn.XLOOKUP(A962,'Video Database'!L:L,'Video Database'!M:M,"")</f>
        <v>Product Overlay</v>
      </c>
    </row>
    <row r="963" ht="22.5" customHeight="1">
      <c r="A963" s="113">
        <f t="shared" si="12"/>
        <v>962</v>
      </c>
      <c r="B963" s="98" t="str">
        <f t="array" ref="B963">_xlfn.XLOOKUP(A963,'Video Database'!L:L,'Video Database'!D:D,"")</f>
        <v>Blakely</v>
      </c>
      <c r="C963" s="98" t="str">
        <f t="array" ref="C963">_xlfn.XLOOKUP(A963,'Video Database'!L:L,'Video Database'!E:E,"")</f>
        <v>Account 3</v>
      </c>
      <c r="D963" s="99" t="str">
        <f t="array" ref="D963">_xlfn.XLOOKUP(A963,'Video Database'!L:L,'Video Database'!G:G,"")</f>
        <v>tarte CC Color-Correct Tinted Serum</v>
      </c>
      <c r="E963" s="100">
        <f t="array" ref="E963">_xlfn.XLOOKUP(A963,'Video Database'!L:L,'Video Database'!H:H,"")</f>
        <v>0.11</v>
      </c>
      <c r="F963" s="101">
        <v>0.0</v>
      </c>
      <c r="G963" s="87">
        <v>0.0</v>
      </c>
      <c r="H963" s="114">
        <f t="array" ref="H963">_xlfn.XLOOKUP(A963,'Video Database'!L:L,'Video Database'!A:A,"")</f>
        <v>46198</v>
      </c>
      <c r="I963" s="103">
        <v>46201.0</v>
      </c>
      <c r="J963" s="104">
        <v>0.0</v>
      </c>
      <c r="K963" s="105"/>
      <c r="L963" s="105" t="str">
        <f t="shared" si="1"/>
        <v/>
      </c>
      <c r="O963" s="106" t="str">
        <f t="shared" si="2"/>
        <v>#N/A</v>
      </c>
      <c r="P963" s="106" t="str">
        <f t="shared" si="3"/>
        <v>#N/A</v>
      </c>
      <c r="Q963" s="84" t="str">
        <f t="shared" si="4"/>
        <v>#N/A</v>
      </c>
      <c r="R963" s="84" t="str">
        <f t="shared" si="5"/>
        <v>#N/A</v>
      </c>
      <c r="S963" s="107">
        <f t="shared" si="6"/>
        <v>-0.11</v>
      </c>
      <c r="T963" s="108">
        <f t="shared" si="7"/>
        <v>-1</v>
      </c>
      <c r="U963" s="106" t="str">
        <f t="shared" si="8"/>
        <v>#N/A</v>
      </c>
      <c r="V963" s="84" t="str">
        <f t="shared" si="9"/>
        <v/>
      </c>
      <c r="W963" s="109" t="str">
        <f t="shared" si="10"/>
        <v/>
      </c>
      <c r="X963" s="109" t="str">
        <f t="shared" si="11"/>
        <v/>
      </c>
      <c r="Y963" s="110" t="str">
        <f t="array" ref="Y963">_xlfn.XLOOKUP(A963,'Video Database'!L:L,'Video Database'!M:M,"")</f>
        <v>Product Overlay</v>
      </c>
    </row>
    <row r="964" ht="22.5" customHeight="1">
      <c r="A964" s="113">
        <f t="shared" si="12"/>
        <v>963</v>
      </c>
      <c r="B964" s="98" t="str">
        <f t="array" ref="B964">_xlfn.XLOOKUP(A964,'Video Database'!L:L,'Video Database'!D:D,"")</f>
        <v>Blakely</v>
      </c>
      <c r="C964" s="98" t="str">
        <f t="array" ref="C964">_xlfn.XLOOKUP(A964,'Video Database'!L:L,'Video Database'!E:E,"")</f>
        <v>Account 3</v>
      </c>
      <c r="D964" s="99" t="str">
        <f t="array" ref="D964">_xlfn.XLOOKUP(A964,'Video Database'!L:L,'Video Database'!G:G,"")</f>
        <v>tarte CC Color-Correct Tinted Serum</v>
      </c>
      <c r="E964" s="100">
        <f t="array" ref="E964">_xlfn.XLOOKUP(A964,'Video Database'!L:L,'Video Database'!H:H,"")</f>
        <v>0.11</v>
      </c>
      <c r="F964" s="101">
        <v>0.0</v>
      </c>
      <c r="G964" s="87">
        <v>0.0</v>
      </c>
      <c r="H964" s="114">
        <f t="array" ref="H964">_xlfn.XLOOKUP(A964,'Video Database'!L:L,'Video Database'!A:A,"")</f>
        <v>46198</v>
      </c>
      <c r="I964" s="103">
        <v>46201.0</v>
      </c>
      <c r="J964" s="104">
        <v>0.0</v>
      </c>
      <c r="K964" s="105"/>
      <c r="L964" s="105" t="str">
        <f t="shared" si="1"/>
        <v/>
      </c>
      <c r="O964" s="106" t="str">
        <f t="shared" si="2"/>
        <v>#N/A</v>
      </c>
      <c r="P964" s="106" t="str">
        <f t="shared" si="3"/>
        <v>#N/A</v>
      </c>
      <c r="Q964" s="84" t="str">
        <f t="shared" si="4"/>
        <v>#N/A</v>
      </c>
      <c r="R964" s="84" t="str">
        <f t="shared" si="5"/>
        <v>#N/A</v>
      </c>
      <c r="S964" s="107">
        <f t="shared" si="6"/>
        <v>-0.11</v>
      </c>
      <c r="T964" s="108">
        <f t="shared" si="7"/>
        <v>-1</v>
      </c>
      <c r="U964" s="106" t="str">
        <f t="shared" si="8"/>
        <v>#N/A</v>
      </c>
      <c r="V964" s="84" t="str">
        <f t="shared" si="9"/>
        <v/>
      </c>
      <c r="W964" s="109" t="str">
        <f t="shared" si="10"/>
        <v/>
      </c>
      <c r="X964" s="109" t="str">
        <f t="shared" si="11"/>
        <v/>
      </c>
      <c r="Y964" s="110" t="str">
        <f t="array" ref="Y964">_xlfn.XLOOKUP(A964,'Video Database'!L:L,'Video Database'!M:M,"")</f>
        <v>Product Overlay</v>
      </c>
    </row>
    <row r="965" ht="22.5" customHeight="1">
      <c r="A965" s="113">
        <f t="shared" si="12"/>
        <v>964</v>
      </c>
      <c r="B965" s="98" t="str">
        <f t="array" ref="B965">_xlfn.XLOOKUP(A965,'Video Database'!L:L,'Video Database'!D:D,"")</f>
        <v>Blakely</v>
      </c>
      <c r="C965" s="98" t="str">
        <f t="array" ref="C965">_xlfn.XLOOKUP(A965,'Video Database'!L:L,'Video Database'!E:E,"")</f>
        <v>Account 3</v>
      </c>
      <c r="D965" s="99" t="str">
        <f t="array" ref="D965">_xlfn.XLOOKUP(A965,'Video Database'!L:L,'Video Database'!G:G,"")</f>
        <v>RAW Nutrition Bum Essential Preworkout</v>
      </c>
      <c r="E965" s="100">
        <f t="array" ref="E965">_xlfn.XLOOKUP(A965,'Video Database'!L:L,'Video Database'!H:H,"")</f>
        <v>0.11</v>
      </c>
      <c r="F965" s="101">
        <v>0.0</v>
      </c>
      <c r="G965" s="87">
        <v>0.0</v>
      </c>
      <c r="H965" s="114">
        <f t="array" ref="H965">_xlfn.XLOOKUP(A965,'Video Database'!L:L,'Video Database'!A:A,"")</f>
        <v>46198</v>
      </c>
      <c r="I965" s="103">
        <v>46201.0</v>
      </c>
      <c r="J965" s="104">
        <v>0.0</v>
      </c>
      <c r="K965" s="105"/>
      <c r="L965" s="105" t="str">
        <f t="shared" si="1"/>
        <v/>
      </c>
      <c r="O965" s="106" t="str">
        <f t="shared" si="2"/>
        <v>#N/A</v>
      </c>
      <c r="P965" s="106" t="str">
        <f t="shared" si="3"/>
        <v>#N/A</v>
      </c>
      <c r="Q965" s="84" t="str">
        <f t="shared" si="4"/>
        <v>#N/A</v>
      </c>
      <c r="R965" s="84" t="str">
        <f t="shared" si="5"/>
        <v>#N/A</v>
      </c>
      <c r="S965" s="107">
        <f t="shared" si="6"/>
        <v>-0.11</v>
      </c>
      <c r="T965" s="108">
        <f t="shared" si="7"/>
        <v>-1</v>
      </c>
      <c r="U965" s="106" t="str">
        <f t="shared" si="8"/>
        <v>#N/A</v>
      </c>
      <c r="V965" s="84" t="str">
        <f t="shared" si="9"/>
        <v/>
      </c>
      <c r="W965" s="109" t="str">
        <f t="shared" si="10"/>
        <v/>
      </c>
      <c r="X965" s="109" t="str">
        <f t="shared" si="11"/>
        <v/>
      </c>
      <c r="Y965" s="110" t="str">
        <f t="array" ref="Y965">_xlfn.XLOOKUP(A965,'Video Database'!L:L,'Video Database'!M:M,"")</f>
        <v>Product Overlay</v>
      </c>
    </row>
    <row r="966" ht="22.5" customHeight="1">
      <c r="A966" s="113">
        <f t="shared" si="12"/>
        <v>965</v>
      </c>
      <c r="B966" s="98" t="str">
        <f t="array" ref="B966">_xlfn.XLOOKUP(A966,'Video Database'!L:L,'Video Database'!D:D,"")</f>
        <v>Blakely</v>
      </c>
      <c r="C966" s="98" t="str">
        <f t="array" ref="C966">_xlfn.XLOOKUP(A966,'Video Database'!L:L,'Video Database'!E:E,"")</f>
        <v>Account 3</v>
      </c>
      <c r="D966" s="99" t="str">
        <f t="array" ref="D966">_xlfn.XLOOKUP(A966,'Video Database'!L:L,'Video Database'!G:G,"")</f>
        <v>tarte CC Color-Correct Tinted Serum</v>
      </c>
      <c r="E966" s="100">
        <f t="array" ref="E966">_xlfn.XLOOKUP(A966,'Video Database'!L:L,'Video Database'!H:H,"")</f>
        <v>0.11</v>
      </c>
      <c r="F966" s="101">
        <v>26.78</v>
      </c>
      <c r="G966" s="87">
        <v>1.0</v>
      </c>
      <c r="H966" s="114">
        <f t="array" ref="H966">_xlfn.XLOOKUP(A966,'Video Database'!L:L,'Video Database'!A:A,"")</f>
        <v>46198</v>
      </c>
      <c r="I966" s="103">
        <v>46201.0</v>
      </c>
      <c r="J966" s="104">
        <v>3.6</v>
      </c>
      <c r="K966" s="87">
        <v>1.0</v>
      </c>
      <c r="L966" s="105">
        <f t="shared" si="1"/>
        <v>113</v>
      </c>
      <c r="M966" s="87">
        <v>113.0</v>
      </c>
      <c r="O966" s="106">
        <f t="shared" si="2"/>
        <v>0.008849557522</v>
      </c>
      <c r="P966" s="106">
        <f t="shared" si="3"/>
        <v>1</v>
      </c>
      <c r="Q966" s="84">
        <f t="shared" si="4"/>
        <v>3.6</v>
      </c>
      <c r="R966" s="84">
        <f t="shared" si="5"/>
        <v>26.78</v>
      </c>
      <c r="S966" s="107">
        <f t="shared" si="6"/>
        <v>3.49</v>
      </c>
      <c r="T966" s="108">
        <f t="shared" si="7"/>
        <v>31.72727273</v>
      </c>
      <c r="U966" s="106">
        <f t="shared" si="8"/>
        <v>0.9694444444</v>
      </c>
      <c r="V966" s="129">
        <f t="shared" si="9"/>
        <v>0.11</v>
      </c>
      <c r="W966" s="109">
        <f t="shared" si="10"/>
        <v>0.11</v>
      </c>
      <c r="X966" s="109">
        <f t="shared" si="11"/>
        <v>0.4107542942</v>
      </c>
      <c r="Y966" s="110" t="str">
        <f t="array" ref="Y966">_xlfn.XLOOKUP(A966,'Video Database'!L:L,'Video Database'!M:M,"")</f>
        <v>Bottom of Funnel</v>
      </c>
    </row>
    <row r="967" ht="22.5" customHeight="1">
      <c r="A967" s="113">
        <f t="shared" si="12"/>
        <v>966</v>
      </c>
      <c r="B967" s="98" t="str">
        <f t="array" ref="B967">_xlfn.XLOOKUP(A967,'Video Database'!L:L,'Video Database'!D:D,"")</f>
        <v>Erin</v>
      </c>
      <c r="C967" s="98" t="str">
        <f t="array" ref="C967">_xlfn.XLOOKUP(A967,'Video Database'!L:L,'Video Database'!E:E,"")</f>
        <v>Account 3</v>
      </c>
      <c r="D967" s="99" t="str">
        <f t="array" ref="D967">_xlfn.XLOOKUP(A967,'Video Database'!L:L,'Video Database'!G:G,"")</f>
        <v>Camellia Deep Collagen Lifting Gel Mask</v>
      </c>
      <c r="E967" s="100">
        <f t="array" ref="E967">_xlfn.XLOOKUP(A967,'Video Database'!L:L,'Video Database'!H:H,"")</f>
        <v>0.7337</v>
      </c>
      <c r="F967" s="101">
        <v>0.0</v>
      </c>
      <c r="G967" s="87">
        <v>0.0</v>
      </c>
      <c r="H967" s="114">
        <f t="array" ref="H967">_xlfn.XLOOKUP(A967,'Video Database'!L:L,'Video Database'!A:A,"")</f>
        <v>46198</v>
      </c>
      <c r="I967" s="103">
        <v>46201.0</v>
      </c>
      <c r="J967" s="104">
        <v>0.0</v>
      </c>
      <c r="K967" s="105"/>
      <c r="L967" s="105" t="str">
        <f t="shared" si="1"/>
        <v/>
      </c>
      <c r="O967" s="106" t="str">
        <f t="shared" si="2"/>
        <v>#N/A</v>
      </c>
      <c r="P967" s="106" t="str">
        <f t="shared" si="3"/>
        <v>#N/A</v>
      </c>
      <c r="Q967" s="84" t="str">
        <f t="shared" si="4"/>
        <v>#N/A</v>
      </c>
      <c r="R967" s="84" t="str">
        <f t="shared" si="5"/>
        <v>#N/A</v>
      </c>
      <c r="S967" s="107">
        <f t="shared" si="6"/>
        <v>-0.7337</v>
      </c>
      <c r="T967" s="108">
        <f t="shared" si="7"/>
        <v>-1</v>
      </c>
      <c r="U967" s="106" t="str">
        <f t="shared" si="8"/>
        <v>#N/A</v>
      </c>
      <c r="V967" s="84" t="str">
        <f t="shared" si="9"/>
        <v/>
      </c>
      <c r="W967" s="109" t="str">
        <f t="shared" si="10"/>
        <v/>
      </c>
      <c r="X967" s="109" t="str">
        <f t="shared" si="11"/>
        <v/>
      </c>
      <c r="Y967" s="110" t="str">
        <f t="array" ref="Y967">_xlfn.XLOOKUP(A967,'Video Database'!L:L,'Video Database'!M:M,"")</f>
        <v>Bottom of Funnel</v>
      </c>
    </row>
    <row r="968" ht="22.5" customHeight="1">
      <c r="A968" s="113">
        <f t="shared" si="12"/>
        <v>967</v>
      </c>
      <c r="B968" s="98" t="str">
        <f t="array" ref="B968">_xlfn.XLOOKUP(A968,'Video Database'!L:L,'Video Database'!D:D,"")</f>
        <v>Erin</v>
      </c>
      <c r="C968" s="98" t="str">
        <f t="array" ref="C968">_xlfn.XLOOKUP(A968,'Video Database'!L:L,'Video Database'!E:E,"")</f>
        <v>Account 3</v>
      </c>
      <c r="D968" s="99" t="str">
        <f t="array" ref="D968">_xlfn.XLOOKUP(A968,'Video Database'!L:L,'Video Database'!G:G,"")</f>
        <v>Color Wow Quick Refresh and Styling Bundle</v>
      </c>
      <c r="E968" s="100">
        <f t="array" ref="E968">_xlfn.XLOOKUP(A968,'Video Database'!L:L,'Video Database'!H:H,"")</f>
        <v>0.7337</v>
      </c>
      <c r="F968" s="101">
        <v>0.0</v>
      </c>
      <c r="G968" s="87">
        <v>0.0</v>
      </c>
      <c r="H968" s="114">
        <f t="array" ref="H968">_xlfn.XLOOKUP(A968,'Video Database'!L:L,'Video Database'!A:A,"")</f>
        <v>46198</v>
      </c>
      <c r="I968" s="103">
        <v>46201.0</v>
      </c>
      <c r="J968" s="104">
        <v>0.0</v>
      </c>
      <c r="K968" s="105"/>
      <c r="L968" s="105" t="str">
        <f t="shared" si="1"/>
        <v/>
      </c>
      <c r="O968" s="106" t="str">
        <f t="shared" si="2"/>
        <v>#N/A</v>
      </c>
      <c r="P968" s="106" t="str">
        <f t="shared" si="3"/>
        <v>#N/A</v>
      </c>
      <c r="Q968" s="84" t="str">
        <f t="shared" si="4"/>
        <v>#N/A</v>
      </c>
      <c r="R968" s="84" t="str">
        <f t="shared" si="5"/>
        <v>#N/A</v>
      </c>
      <c r="S968" s="107">
        <f t="shared" si="6"/>
        <v>-0.7337</v>
      </c>
      <c r="T968" s="108">
        <f t="shared" si="7"/>
        <v>-1</v>
      </c>
      <c r="U968" s="106" t="str">
        <f t="shared" si="8"/>
        <v>#N/A</v>
      </c>
      <c r="V968" s="84" t="str">
        <f t="shared" si="9"/>
        <v/>
      </c>
      <c r="W968" s="109" t="str">
        <f t="shared" si="10"/>
        <v/>
      </c>
      <c r="X968" s="109" t="str">
        <f t="shared" si="11"/>
        <v/>
      </c>
      <c r="Y968" s="110" t="str">
        <f t="array" ref="Y968">_xlfn.XLOOKUP(A968,'Video Database'!L:L,'Video Database'!M:M,"")</f>
        <v>Bottom of Funnel</v>
      </c>
    </row>
    <row r="969" ht="22.5" customHeight="1">
      <c r="A969" s="113">
        <f t="shared" si="12"/>
        <v>968</v>
      </c>
      <c r="B969" s="98" t="str">
        <f t="array" ref="B969">_xlfn.XLOOKUP(A969,'Video Database'!L:L,'Video Database'!D:D,"")</f>
        <v>Erin</v>
      </c>
      <c r="C969" s="98" t="str">
        <f t="array" ref="C969">_xlfn.XLOOKUP(A969,'Video Database'!L:L,'Video Database'!E:E,"")</f>
        <v>Account 3</v>
      </c>
      <c r="D969" s="99" t="str">
        <f t="array" ref="D969">_xlfn.XLOOKUP(A969,'Video Database'!L:L,'Video Database'!G:G,"")</f>
        <v>Medicube Kojic Accid Tumeric Power Duo</v>
      </c>
      <c r="E969" s="100">
        <f t="array" ref="E969">_xlfn.XLOOKUP(A969,'Video Database'!L:L,'Video Database'!H:H,"")</f>
        <v>0.7337</v>
      </c>
      <c r="F969" s="101">
        <v>0.0</v>
      </c>
      <c r="G969" s="87">
        <v>0.0</v>
      </c>
      <c r="H969" s="114">
        <f t="array" ref="H969">_xlfn.XLOOKUP(A969,'Video Database'!L:L,'Video Database'!A:A,"")</f>
        <v>46198</v>
      </c>
      <c r="I969" s="103">
        <v>46201.0</v>
      </c>
      <c r="J969" s="104">
        <v>0.0</v>
      </c>
      <c r="K969" s="105"/>
      <c r="L969" s="105" t="str">
        <f t="shared" si="1"/>
        <v/>
      </c>
      <c r="O969" s="106" t="str">
        <f t="shared" si="2"/>
        <v>#N/A</v>
      </c>
      <c r="P969" s="106" t="str">
        <f t="shared" si="3"/>
        <v>#N/A</v>
      </c>
      <c r="Q969" s="84" t="str">
        <f t="shared" si="4"/>
        <v>#N/A</v>
      </c>
      <c r="R969" s="84" t="str">
        <f t="shared" si="5"/>
        <v>#N/A</v>
      </c>
      <c r="S969" s="107">
        <f t="shared" si="6"/>
        <v>-0.7337</v>
      </c>
      <c r="T969" s="108">
        <f t="shared" si="7"/>
        <v>-1</v>
      </c>
      <c r="U969" s="106" t="str">
        <f t="shared" si="8"/>
        <v>#N/A</v>
      </c>
      <c r="V969" s="84" t="str">
        <f t="shared" si="9"/>
        <v/>
      </c>
      <c r="W969" s="109" t="str">
        <f t="shared" si="10"/>
        <v/>
      </c>
      <c r="X969" s="109" t="str">
        <f t="shared" si="11"/>
        <v/>
      </c>
      <c r="Y969" s="110" t="str">
        <f t="array" ref="Y969">_xlfn.XLOOKUP(A969,'Video Database'!L:L,'Video Database'!M:M,"")</f>
        <v>Bottom of Funnel</v>
      </c>
    </row>
    <row r="970" ht="22.5" customHeight="1">
      <c r="A970" s="113">
        <f t="shared" si="12"/>
        <v>969</v>
      </c>
      <c r="B970" s="98" t="str">
        <f t="array" ref="B970">_xlfn.XLOOKUP(A970,'Video Database'!L:L,'Video Database'!D:D,"")</f>
        <v>Erin</v>
      </c>
      <c r="C970" s="98" t="str">
        <f t="array" ref="C970">_xlfn.XLOOKUP(A970,'Video Database'!L:L,'Video Database'!E:E,"")</f>
        <v>Account 3</v>
      </c>
      <c r="D970" s="99" t="str">
        <f t="array" ref="D970">_xlfn.XLOOKUP(A970,'Video Database'!L:L,'Video Database'!G:G,"")</f>
        <v>Medicube Kojic Accid Tumeric Power Duo</v>
      </c>
      <c r="E970" s="100">
        <f t="array" ref="E970">_xlfn.XLOOKUP(A970,'Video Database'!L:L,'Video Database'!H:H,"")</f>
        <v>0.7337</v>
      </c>
      <c r="F970" s="101">
        <v>0.0</v>
      </c>
      <c r="G970" s="87">
        <v>0.0</v>
      </c>
      <c r="H970" s="114">
        <f t="array" ref="H970">_xlfn.XLOOKUP(A970,'Video Database'!L:L,'Video Database'!A:A,"")</f>
        <v>46198</v>
      </c>
      <c r="I970" s="103">
        <v>46201.0</v>
      </c>
      <c r="J970" s="104">
        <v>0.0</v>
      </c>
      <c r="K970" s="105"/>
      <c r="L970" s="105" t="str">
        <f t="shared" si="1"/>
        <v/>
      </c>
      <c r="O970" s="106" t="str">
        <f t="shared" si="2"/>
        <v>#N/A</v>
      </c>
      <c r="P970" s="106" t="str">
        <f t="shared" si="3"/>
        <v>#N/A</v>
      </c>
      <c r="Q970" s="84" t="str">
        <f t="shared" si="4"/>
        <v>#N/A</v>
      </c>
      <c r="R970" s="84" t="str">
        <f t="shared" si="5"/>
        <v>#N/A</v>
      </c>
      <c r="S970" s="107">
        <f t="shared" si="6"/>
        <v>-0.7337</v>
      </c>
      <c r="T970" s="108">
        <f t="shared" si="7"/>
        <v>-1</v>
      </c>
      <c r="U970" s="106" t="str">
        <f t="shared" si="8"/>
        <v>#N/A</v>
      </c>
      <c r="V970" s="84" t="str">
        <f t="shared" si="9"/>
        <v/>
      </c>
      <c r="W970" s="109" t="str">
        <f t="shared" si="10"/>
        <v/>
      </c>
      <c r="X970" s="109" t="str">
        <f t="shared" si="11"/>
        <v/>
      </c>
      <c r="Y970" s="110" t="str">
        <f t="array" ref="Y970">_xlfn.XLOOKUP(A970,'Video Database'!L:L,'Video Database'!M:M,"")</f>
        <v>Bottom of Funnel</v>
      </c>
    </row>
    <row r="971" ht="22.5" customHeight="1">
      <c r="A971" s="113">
        <f t="shared" si="12"/>
        <v>970</v>
      </c>
      <c r="B971" s="98" t="str">
        <f t="array" ref="B971">_xlfn.XLOOKUP(A971,'Video Database'!L:L,'Video Database'!D:D,"")</f>
        <v>Erin</v>
      </c>
      <c r="C971" s="98" t="str">
        <f t="array" ref="C971">_xlfn.XLOOKUP(A971,'Video Database'!L:L,'Video Database'!E:E,"")</f>
        <v>Account 3</v>
      </c>
      <c r="D971" s="99" t="str">
        <f t="array" ref="D971">_xlfn.XLOOKUP(A971,'Video Database'!L:L,'Video Database'!G:G,"")</f>
        <v>Color Wow Quick Refresh and Styling Bundle</v>
      </c>
      <c r="E971" s="100">
        <f t="array" ref="E971">_xlfn.XLOOKUP(A971,'Video Database'!L:L,'Video Database'!H:H,"")</f>
        <v>0.7337</v>
      </c>
      <c r="F971" s="101">
        <v>0.0</v>
      </c>
      <c r="G971" s="87">
        <v>0.0</v>
      </c>
      <c r="H971" s="114">
        <f t="array" ref="H971">_xlfn.XLOOKUP(A971,'Video Database'!L:L,'Video Database'!A:A,"")</f>
        <v>46198</v>
      </c>
      <c r="I971" s="103">
        <v>46201.0</v>
      </c>
      <c r="J971" s="104">
        <v>0.0</v>
      </c>
      <c r="K971" s="105"/>
      <c r="L971" s="105" t="str">
        <f t="shared" si="1"/>
        <v/>
      </c>
      <c r="O971" s="106" t="str">
        <f t="shared" si="2"/>
        <v>#N/A</v>
      </c>
      <c r="P971" s="106" t="str">
        <f t="shared" si="3"/>
        <v>#N/A</v>
      </c>
      <c r="Q971" s="84" t="str">
        <f t="shared" si="4"/>
        <v>#N/A</v>
      </c>
      <c r="R971" s="84" t="str">
        <f t="shared" si="5"/>
        <v>#N/A</v>
      </c>
      <c r="S971" s="107">
        <f t="shared" si="6"/>
        <v>-0.7337</v>
      </c>
      <c r="T971" s="108">
        <f t="shared" si="7"/>
        <v>-1</v>
      </c>
      <c r="U971" s="106" t="str">
        <f t="shared" si="8"/>
        <v>#N/A</v>
      </c>
      <c r="V971" s="84" t="str">
        <f t="shared" si="9"/>
        <v/>
      </c>
      <c r="W971" s="109" t="str">
        <f t="shared" si="10"/>
        <v/>
      </c>
      <c r="X971" s="109" t="str">
        <f t="shared" si="11"/>
        <v/>
      </c>
      <c r="Y971" s="110" t="str">
        <f t="array" ref="Y971">_xlfn.XLOOKUP(A971,'Video Database'!L:L,'Video Database'!M:M,"")</f>
        <v>Bottom of Funnel</v>
      </c>
    </row>
    <row r="972" ht="22.5" customHeight="1">
      <c r="A972" s="113">
        <f t="shared" si="12"/>
        <v>971</v>
      </c>
      <c r="B972" s="98" t="str">
        <f t="array" ref="B972">_xlfn.XLOOKUP(A972,'Video Database'!L:L,'Video Database'!D:D,"")</f>
        <v>Blakely</v>
      </c>
      <c r="C972" s="98" t="str">
        <f t="array" ref="C972">_xlfn.XLOOKUP(A972,'Video Database'!L:L,'Video Database'!E:E,"")</f>
        <v>Account 4</v>
      </c>
      <c r="D972" s="99" t="str">
        <f t="array" ref="D972">_xlfn.XLOOKUP(A972,'Video Database'!L:L,'Video Database'!G:G,"")</f>
        <v>Nutricost Creatine Monohydrate</v>
      </c>
      <c r="E972" s="100">
        <f t="array" ref="E972">_xlfn.XLOOKUP(A972,'Video Database'!L:L,'Video Database'!H:H,"")</f>
        <v>0.11</v>
      </c>
      <c r="F972" s="101">
        <v>0.0</v>
      </c>
      <c r="G972" s="87">
        <v>0.0</v>
      </c>
      <c r="H972" s="114">
        <f t="array" ref="H972">_xlfn.XLOOKUP(A972,'Video Database'!L:L,'Video Database'!A:A,"")</f>
        <v>46198</v>
      </c>
      <c r="I972" s="103">
        <v>46201.0</v>
      </c>
      <c r="J972" s="104">
        <v>0.0</v>
      </c>
      <c r="K972" s="105"/>
      <c r="L972" s="105" t="str">
        <f t="shared" si="1"/>
        <v/>
      </c>
      <c r="O972" s="106" t="str">
        <f t="shared" si="2"/>
        <v>#N/A</v>
      </c>
      <c r="P972" s="106" t="str">
        <f t="shared" si="3"/>
        <v>#N/A</v>
      </c>
      <c r="Q972" s="84" t="str">
        <f t="shared" si="4"/>
        <v>#N/A</v>
      </c>
      <c r="R972" s="84" t="str">
        <f t="shared" si="5"/>
        <v>#N/A</v>
      </c>
      <c r="S972" s="107">
        <f t="shared" si="6"/>
        <v>-0.11</v>
      </c>
      <c r="T972" s="108">
        <f t="shared" si="7"/>
        <v>-1</v>
      </c>
      <c r="U972" s="106" t="str">
        <f t="shared" si="8"/>
        <v>#N/A</v>
      </c>
      <c r="V972" s="84" t="str">
        <f t="shared" si="9"/>
        <v/>
      </c>
      <c r="W972" s="109" t="str">
        <f t="shared" si="10"/>
        <v/>
      </c>
      <c r="X972" s="109" t="str">
        <f t="shared" si="11"/>
        <v/>
      </c>
      <c r="Y972" s="110" t="str">
        <f t="array" ref="Y972">_xlfn.XLOOKUP(A972,'Video Database'!L:L,'Video Database'!M:M,"")</f>
        <v>Bottom of Funnel</v>
      </c>
    </row>
    <row r="973" ht="22.5" customHeight="1">
      <c r="A973" s="113">
        <f t="shared" si="12"/>
        <v>972</v>
      </c>
      <c r="B973" s="98" t="str">
        <f t="array" ref="B973">_xlfn.XLOOKUP(A973,'Video Database'!L:L,'Video Database'!D:D,"")</f>
        <v>Blakely</v>
      </c>
      <c r="C973" s="98" t="str">
        <f t="array" ref="C973">_xlfn.XLOOKUP(A973,'Video Database'!L:L,'Video Database'!E:E,"")</f>
        <v>Account 4</v>
      </c>
      <c r="D973" s="99" t="str">
        <f t="array" ref="D973">_xlfn.XLOOKUP(A973,'Video Database'!L:L,'Video Database'!G:G,"")</f>
        <v>JOYMODE Ignite Libido Support</v>
      </c>
      <c r="E973" s="100">
        <f t="array" ref="E973">_xlfn.XLOOKUP(A973,'Video Database'!L:L,'Video Database'!H:H,"")</f>
        <v>0.11</v>
      </c>
      <c r="F973" s="101">
        <v>0.0</v>
      </c>
      <c r="G973" s="87">
        <v>0.0</v>
      </c>
      <c r="H973" s="114">
        <f t="array" ref="H973">_xlfn.XLOOKUP(A973,'Video Database'!L:L,'Video Database'!A:A,"")</f>
        <v>46198</v>
      </c>
      <c r="I973" s="103">
        <v>46201.0</v>
      </c>
      <c r="J973" s="104">
        <v>0.0</v>
      </c>
      <c r="K973" s="105"/>
      <c r="L973" s="105" t="str">
        <f t="shared" si="1"/>
        <v/>
      </c>
      <c r="O973" s="106" t="str">
        <f t="shared" si="2"/>
        <v>#N/A</v>
      </c>
      <c r="P973" s="106" t="str">
        <f t="shared" si="3"/>
        <v>#N/A</v>
      </c>
      <c r="Q973" s="84" t="str">
        <f t="shared" si="4"/>
        <v>#N/A</v>
      </c>
      <c r="R973" s="84" t="str">
        <f t="shared" si="5"/>
        <v>#N/A</v>
      </c>
      <c r="S973" s="107">
        <f t="shared" si="6"/>
        <v>-0.11</v>
      </c>
      <c r="T973" s="108">
        <f t="shared" si="7"/>
        <v>-1</v>
      </c>
      <c r="U973" s="106" t="str">
        <f t="shared" si="8"/>
        <v>#N/A</v>
      </c>
      <c r="V973" s="84" t="str">
        <f t="shared" si="9"/>
        <v/>
      </c>
      <c r="W973" s="109" t="str">
        <f t="shared" si="10"/>
        <v/>
      </c>
      <c r="X973" s="109" t="str">
        <f t="shared" si="11"/>
        <v/>
      </c>
      <c r="Y973" s="110" t="str">
        <f t="array" ref="Y973">_xlfn.XLOOKUP(A973,'Video Database'!L:L,'Video Database'!M:M,"")</f>
        <v>Bottom of Funnel</v>
      </c>
    </row>
    <row r="974" ht="22.5" customHeight="1">
      <c r="A974" s="113">
        <f t="shared" si="12"/>
        <v>973</v>
      </c>
      <c r="B974" s="98" t="str">
        <f t="array" ref="B974">_xlfn.XLOOKUP(A974,'Video Database'!L:L,'Video Database'!D:D,"")</f>
        <v>Blakely</v>
      </c>
      <c r="C974" s="98" t="str">
        <f t="array" ref="C974">_xlfn.XLOOKUP(A974,'Video Database'!L:L,'Video Database'!E:E,"")</f>
        <v>Account 4</v>
      </c>
      <c r="D974" s="99" t="str">
        <f t="array" ref="D974">_xlfn.XLOOKUP(A974,'Video Database'!L:L,'Video Database'!G:G,"")</f>
        <v>Nutricost Caffine Capsules</v>
      </c>
      <c r="E974" s="100">
        <f t="array" ref="E974">_xlfn.XLOOKUP(A974,'Video Database'!L:L,'Video Database'!H:H,"")</f>
        <v>0.11</v>
      </c>
      <c r="F974" s="101">
        <v>0.0</v>
      </c>
      <c r="G974" s="87">
        <v>0.0</v>
      </c>
      <c r="H974" s="114">
        <f t="array" ref="H974">_xlfn.XLOOKUP(A974,'Video Database'!L:L,'Video Database'!A:A,"")</f>
        <v>46198</v>
      </c>
      <c r="I974" s="103">
        <v>46201.0</v>
      </c>
      <c r="J974" s="104">
        <v>0.0</v>
      </c>
      <c r="K974" s="105"/>
      <c r="L974" s="105" t="str">
        <f t="shared" si="1"/>
        <v/>
      </c>
      <c r="O974" s="106" t="str">
        <f t="shared" si="2"/>
        <v>#N/A</v>
      </c>
      <c r="P974" s="106" t="str">
        <f t="shared" si="3"/>
        <v>#N/A</v>
      </c>
      <c r="Q974" s="84" t="str">
        <f t="shared" si="4"/>
        <v>#N/A</v>
      </c>
      <c r="R974" s="84" t="str">
        <f t="shared" si="5"/>
        <v>#N/A</v>
      </c>
      <c r="S974" s="107">
        <f t="shared" si="6"/>
        <v>-0.11</v>
      </c>
      <c r="T974" s="108">
        <f t="shared" si="7"/>
        <v>-1</v>
      </c>
      <c r="U974" s="106" t="str">
        <f t="shared" si="8"/>
        <v>#N/A</v>
      </c>
      <c r="V974" s="84" t="str">
        <f t="shared" si="9"/>
        <v/>
      </c>
      <c r="W974" s="109" t="str">
        <f t="shared" si="10"/>
        <v/>
      </c>
      <c r="X974" s="109" t="str">
        <f t="shared" si="11"/>
        <v/>
      </c>
      <c r="Y974" s="110" t="str">
        <f t="array" ref="Y974">_xlfn.XLOOKUP(A974,'Video Database'!L:L,'Video Database'!M:M,"")</f>
        <v>Bottom of Funnel</v>
      </c>
    </row>
    <row r="975" ht="22.5" customHeight="1">
      <c r="A975" s="113">
        <f t="shared" si="12"/>
        <v>974</v>
      </c>
      <c r="B975" s="98" t="str">
        <f t="array" ref="B975">_xlfn.XLOOKUP(A975,'Video Database'!L:L,'Video Database'!D:D,"")</f>
        <v>Blakely</v>
      </c>
      <c r="C975" s="98" t="str">
        <f t="array" ref="C975">_xlfn.XLOOKUP(A975,'Video Database'!L:L,'Video Database'!E:E,"")</f>
        <v>Account 4</v>
      </c>
      <c r="D975" s="99" t="str">
        <f t="array" ref="D975">_xlfn.XLOOKUP(A975,'Video Database'!L:L,'Video Database'!G:G,"")</f>
        <v>IRIS Hormone Health Drink Mix</v>
      </c>
      <c r="E975" s="100">
        <f t="array" ref="E975">_xlfn.XLOOKUP(A975,'Video Database'!L:L,'Video Database'!H:H,"")</f>
        <v>0.11</v>
      </c>
      <c r="F975" s="101">
        <v>0.0</v>
      </c>
      <c r="G975" s="87">
        <v>0.0</v>
      </c>
      <c r="H975" s="114">
        <f t="array" ref="H975">_xlfn.XLOOKUP(A975,'Video Database'!L:L,'Video Database'!A:A,"")</f>
        <v>46198</v>
      </c>
      <c r="I975" s="103">
        <v>46201.0</v>
      </c>
      <c r="J975" s="104">
        <v>0.0</v>
      </c>
      <c r="K975" s="105"/>
      <c r="L975" s="105" t="str">
        <f t="shared" si="1"/>
        <v/>
      </c>
      <c r="O975" s="106" t="str">
        <f t="shared" si="2"/>
        <v>#N/A</v>
      </c>
      <c r="P975" s="106" t="str">
        <f t="shared" si="3"/>
        <v>#N/A</v>
      </c>
      <c r="Q975" s="84" t="str">
        <f t="shared" si="4"/>
        <v>#N/A</v>
      </c>
      <c r="R975" s="84" t="str">
        <f t="shared" si="5"/>
        <v>#N/A</v>
      </c>
      <c r="S975" s="107">
        <f t="shared" si="6"/>
        <v>-0.11</v>
      </c>
      <c r="T975" s="108">
        <f t="shared" si="7"/>
        <v>-1</v>
      </c>
      <c r="U975" s="106" t="str">
        <f t="shared" si="8"/>
        <v>#N/A</v>
      </c>
      <c r="V975" s="84" t="str">
        <f t="shared" si="9"/>
        <v/>
      </c>
      <c r="W975" s="109" t="str">
        <f t="shared" si="10"/>
        <v/>
      </c>
      <c r="X975" s="109" t="str">
        <f t="shared" si="11"/>
        <v/>
      </c>
      <c r="Y975" s="110" t="str">
        <f t="array" ref="Y975">_xlfn.XLOOKUP(A975,'Video Database'!L:L,'Video Database'!M:M,"")</f>
        <v>Bottom of Funnel</v>
      </c>
    </row>
    <row r="976" ht="22.5" customHeight="1">
      <c r="A976" s="113">
        <f t="shared" si="12"/>
        <v>975</v>
      </c>
      <c r="B976" s="98" t="str">
        <f t="array" ref="B976">_xlfn.XLOOKUP(A976,'Video Database'!L:L,'Video Database'!D:D,"")</f>
        <v>Blakely</v>
      </c>
      <c r="C976" s="98" t="str">
        <f t="array" ref="C976">_xlfn.XLOOKUP(A976,'Video Database'!L:L,'Video Database'!E:E,"")</f>
        <v>Account 4</v>
      </c>
      <c r="D976" s="99" t="str">
        <f t="array" ref="D976">_xlfn.XLOOKUP(A976,'Video Database'!L:L,'Video Database'!G:G,"")</f>
        <v>NeilMed Piercing Aftercare Spray XL</v>
      </c>
      <c r="E976" s="100">
        <f t="array" ref="E976">_xlfn.XLOOKUP(A976,'Video Database'!L:L,'Video Database'!H:H,"")</f>
        <v>0.11</v>
      </c>
      <c r="F976" s="101">
        <v>0.0</v>
      </c>
      <c r="G976" s="87">
        <v>0.0</v>
      </c>
      <c r="H976" s="114">
        <f t="array" ref="H976">_xlfn.XLOOKUP(A976,'Video Database'!L:L,'Video Database'!A:A,"")</f>
        <v>46198</v>
      </c>
      <c r="I976" s="103">
        <v>46201.0</v>
      </c>
      <c r="J976" s="104">
        <v>0.0</v>
      </c>
      <c r="K976" s="105"/>
      <c r="L976" s="105" t="str">
        <f t="shared" si="1"/>
        <v/>
      </c>
      <c r="O976" s="106" t="str">
        <f t="shared" si="2"/>
        <v>#N/A</v>
      </c>
      <c r="P976" s="106" t="str">
        <f t="shared" si="3"/>
        <v>#N/A</v>
      </c>
      <c r="Q976" s="84" t="str">
        <f t="shared" si="4"/>
        <v>#N/A</v>
      </c>
      <c r="R976" s="84" t="str">
        <f t="shared" si="5"/>
        <v>#N/A</v>
      </c>
      <c r="S976" s="107">
        <f t="shared" si="6"/>
        <v>-0.11</v>
      </c>
      <c r="T976" s="108">
        <f t="shared" si="7"/>
        <v>-1</v>
      </c>
      <c r="U976" s="106" t="str">
        <f t="shared" si="8"/>
        <v>#N/A</v>
      </c>
      <c r="V976" s="84" t="str">
        <f t="shared" si="9"/>
        <v/>
      </c>
      <c r="W976" s="109" t="str">
        <f t="shared" si="10"/>
        <v/>
      </c>
      <c r="X976" s="109" t="str">
        <f t="shared" si="11"/>
        <v/>
      </c>
      <c r="Y976" s="110" t="str">
        <f t="array" ref="Y976">_xlfn.XLOOKUP(A976,'Video Database'!L:L,'Video Database'!M:M,"")</f>
        <v>Product Overlay</v>
      </c>
    </row>
    <row r="977" ht="22.5" customHeight="1">
      <c r="A977" s="113">
        <f t="shared" si="12"/>
        <v>976</v>
      </c>
      <c r="B977" s="98" t="str">
        <f t="array" ref="B977">_xlfn.XLOOKUP(A977,'Video Database'!L:L,'Video Database'!D:D,"")</f>
        <v>Blakely</v>
      </c>
      <c r="C977" s="98" t="str">
        <f t="array" ref="C977">_xlfn.XLOOKUP(A977,'Video Database'!L:L,'Video Database'!E:E,"")</f>
        <v>Account 4</v>
      </c>
      <c r="D977" s="99" t="str">
        <f t="array" ref="D977">_xlfn.XLOOKUP(A977,'Video Database'!L:L,'Video Database'!G:G,"")</f>
        <v>Gorilla Mode Base Preworkout</v>
      </c>
      <c r="E977" s="100">
        <f t="array" ref="E977">_xlfn.XLOOKUP(A977,'Video Database'!L:L,'Video Database'!H:H,"")</f>
        <v>0.11</v>
      </c>
      <c r="F977" s="101">
        <v>0.0</v>
      </c>
      <c r="G977" s="87">
        <v>0.0</v>
      </c>
      <c r="H977" s="114">
        <f t="array" ref="H977">_xlfn.XLOOKUP(A977,'Video Database'!L:L,'Video Database'!A:A,"")</f>
        <v>46198</v>
      </c>
      <c r="I977" s="103">
        <v>46201.0</v>
      </c>
      <c r="J977" s="104">
        <v>0.0</v>
      </c>
      <c r="K977" s="105"/>
      <c r="L977" s="105" t="str">
        <f t="shared" si="1"/>
        <v/>
      </c>
      <c r="O977" s="106" t="str">
        <f t="shared" si="2"/>
        <v>#N/A</v>
      </c>
      <c r="P977" s="106" t="str">
        <f t="shared" si="3"/>
        <v>#N/A</v>
      </c>
      <c r="Q977" s="84" t="str">
        <f t="shared" si="4"/>
        <v>#N/A</v>
      </c>
      <c r="R977" s="84" t="str">
        <f t="shared" si="5"/>
        <v>#N/A</v>
      </c>
      <c r="S977" s="107">
        <f t="shared" si="6"/>
        <v>-0.11</v>
      </c>
      <c r="T977" s="108">
        <f t="shared" si="7"/>
        <v>-1</v>
      </c>
      <c r="U977" s="106" t="str">
        <f t="shared" si="8"/>
        <v>#N/A</v>
      </c>
      <c r="V977" s="84" t="str">
        <f t="shared" si="9"/>
        <v/>
      </c>
      <c r="W977" s="109" t="str">
        <f t="shared" si="10"/>
        <v/>
      </c>
      <c r="X977" s="109" t="str">
        <f t="shared" si="11"/>
        <v/>
      </c>
      <c r="Y977" s="110" t="str">
        <f t="array" ref="Y977">_xlfn.XLOOKUP(A977,'Video Database'!L:L,'Video Database'!M:M,"")</f>
        <v>Product Overlay</v>
      </c>
    </row>
    <row r="978" ht="22.5" customHeight="1">
      <c r="A978" s="113">
        <f t="shared" si="12"/>
        <v>977</v>
      </c>
      <c r="B978" s="98" t="str">
        <f t="array" ref="B978">_xlfn.XLOOKUP(A978,'Video Database'!L:L,'Video Database'!D:D,"")</f>
        <v>Blakely</v>
      </c>
      <c r="C978" s="98" t="str">
        <f t="array" ref="C978">_xlfn.XLOOKUP(A978,'Video Database'!L:L,'Video Database'!E:E,"")</f>
        <v>Account 4</v>
      </c>
      <c r="D978" s="99" t="str">
        <f t="array" ref="D978">_xlfn.XLOOKUP(A978,'Video Database'!L:L,'Video Database'!G:G,"")</f>
        <v>RAW Nutrition Bum Essential Preworkout</v>
      </c>
      <c r="E978" s="100">
        <f t="array" ref="E978">_xlfn.XLOOKUP(A978,'Video Database'!L:L,'Video Database'!H:H,"")</f>
        <v>0.11</v>
      </c>
      <c r="F978" s="101">
        <v>0.0</v>
      </c>
      <c r="G978" s="87">
        <v>0.0</v>
      </c>
      <c r="H978" s="114">
        <f t="array" ref="H978">_xlfn.XLOOKUP(A978,'Video Database'!L:L,'Video Database'!A:A,"")</f>
        <v>46198</v>
      </c>
      <c r="I978" s="103">
        <v>46201.0</v>
      </c>
      <c r="J978" s="104">
        <v>0.0</v>
      </c>
      <c r="K978" s="105"/>
      <c r="L978" s="105" t="str">
        <f t="shared" si="1"/>
        <v/>
      </c>
      <c r="O978" s="106" t="str">
        <f t="shared" si="2"/>
        <v>#N/A</v>
      </c>
      <c r="P978" s="106" t="str">
        <f t="shared" si="3"/>
        <v>#N/A</v>
      </c>
      <c r="Q978" s="84" t="str">
        <f t="shared" si="4"/>
        <v>#N/A</v>
      </c>
      <c r="R978" s="84" t="str">
        <f t="shared" si="5"/>
        <v>#N/A</v>
      </c>
      <c r="S978" s="107">
        <f t="shared" si="6"/>
        <v>-0.11</v>
      </c>
      <c r="T978" s="108">
        <f t="shared" si="7"/>
        <v>-1</v>
      </c>
      <c r="U978" s="106" t="str">
        <f t="shared" si="8"/>
        <v>#N/A</v>
      </c>
      <c r="V978" s="84" t="str">
        <f t="shared" si="9"/>
        <v/>
      </c>
      <c r="W978" s="109" t="str">
        <f t="shared" si="10"/>
        <v/>
      </c>
      <c r="X978" s="109" t="str">
        <f t="shared" si="11"/>
        <v/>
      </c>
      <c r="Y978" s="110" t="str">
        <f t="array" ref="Y978">_xlfn.XLOOKUP(A978,'Video Database'!L:L,'Video Database'!M:M,"")</f>
        <v>Bottom of Funnel</v>
      </c>
    </row>
    <row r="979" ht="22.5" customHeight="1">
      <c r="A979" s="113">
        <f t="shared" si="12"/>
        <v>978</v>
      </c>
      <c r="B979" s="98" t="str">
        <f t="array" ref="B979">_xlfn.XLOOKUP(A979,'Video Database'!L:L,'Video Database'!D:D,"")</f>
        <v>Blakely</v>
      </c>
      <c r="C979" s="98" t="str">
        <f t="array" ref="C979">_xlfn.XLOOKUP(A979,'Video Database'!L:L,'Video Database'!E:E,"")</f>
        <v>Account 4</v>
      </c>
      <c r="D979" s="99" t="str">
        <f t="array" ref="D979">_xlfn.XLOOKUP(A979,'Video Database'!L:L,'Video Database'!G:G,"")</f>
        <v>Beast Bites Creatine Gummies</v>
      </c>
      <c r="E979" s="100">
        <f t="array" ref="E979">_xlfn.XLOOKUP(A979,'Video Database'!L:L,'Video Database'!H:H,"")</f>
        <v>0.11</v>
      </c>
      <c r="F979" s="101">
        <v>0.0</v>
      </c>
      <c r="G979" s="87">
        <v>0.0</v>
      </c>
      <c r="H979" s="114">
        <f t="array" ref="H979">_xlfn.XLOOKUP(A979,'Video Database'!L:L,'Video Database'!A:A,"")</f>
        <v>46198</v>
      </c>
      <c r="I979" s="103">
        <v>46201.0</v>
      </c>
      <c r="J979" s="104">
        <v>0.0</v>
      </c>
      <c r="K979" s="105"/>
      <c r="L979" s="105" t="str">
        <f t="shared" si="1"/>
        <v/>
      </c>
      <c r="O979" s="106" t="str">
        <f t="shared" si="2"/>
        <v>#N/A</v>
      </c>
      <c r="P979" s="106" t="str">
        <f t="shared" si="3"/>
        <v>#N/A</v>
      </c>
      <c r="Q979" s="84" t="str">
        <f t="shared" si="4"/>
        <v>#N/A</v>
      </c>
      <c r="R979" s="84" t="str">
        <f t="shared" si="5"/>
        <v>#N/A</v>
      </c>
      <c r="S979" s="107">
        <f t="shared" si="6"/>
        <v>-0.11</v>
      </c>
      <c r="T979" s="108">
        <f t="shared" si="7"/>
        <v>-1</v>
      </c>
      <c r="U979" s="106" t="str">
        <f t="shared" si="8"/>
        <v>#N/A</v>
      </c>
      <c r="V979" s="84" t="str">
        <f t="shared" si="9"/>
        <v/>
      </c>
      <c r="W979" s="109" t="str">
        <f t="shared" si="10"/>
        <v/>
      </c>
      <c r="X979" s="109" t="str">
        <f t="shared" si="11"/>
        <v/>
      </c>
      <c r="Y979" s="110" t="str">
        <f t="array" ref="Y979">_xlfn.XLOOKUP(A979,'Video Database'!L:L,'Video Database'!M:M,"")</f>
        <v>Product Overlay</v>
      </c>
    </row>
    <row r="980" ht="22.5" customHeight="1">
      <c r="A980" s="113">
        <f t="shared" si="12"/>
        <v>979</v>
      </c>
      <c r="B980" s="98" t="str">
        <f t="array" ref="B980">_xlfn.XLOOKUP(A980,'Video Database'!L:L,'Video Database'!D:D,"")</f>
        <v>Blakely</v>
      </c>
      <c r="C980" s="98" t="str">
        <f t="array" ref="C980">_xlfn.XLOOKUP(A980,'Video Database'!L:L,'Video Database'!E:E,"")</f>
        <v>Account 4</v>
      </c>
      <c r="D980" s="99" t="str">
        <f t="array" ref="D980">_xlfn.XLOOKUP(A980,'Video Database'!L:L,'Video Database'!G:G,"")</f>
        <v>Ekkovision Lifting Straps (D-ring)</v>
      </c>
      <c r="E980" s="100">
        <f t="array" ref="E980">_xlfn.XLOOKUP(A980,'Video Database'!L:L,'Video Database'!H:H,"")</f>
        <v>0.11</v>
      </c>
      <c r="F980" s="101">
        <v>0.0</v>
      </c>
      <c r="G980" s="87">
        <v>0.0</v>
      </c>
      <c r="H980" s="114">
        <f t="array" ref="H980">_xlfn.XLOOKUP(A980,'Video Database'!L:L,'Video Database'!A:A,"")</f>
        <v>46198</v>
      </c>
      <c r="I980" s="103">
        <v>46201.0</v>
      </c>
      <c r="J980" s="104">
        <v>0.0</v>
      </c>
      <c r="K980" s="105"/>
      <c r="L980" s="105" t="str">
        <f t="shared" si="1"/>
        <v/>
      </c>
      <c r="O980" s="106" t="str">
        <f t="shared" si="2"/>
        <v>#N/A</v>
      </c>
      <c r="P980" s="106" t="str">
        <f t="shared" si="3"/>
        <v>#N/A</v>
      </c>
      <c r="Q980" s="84" t="str">
        <f t="shared" si="4"/>
        <v>#N/A</v>
      </c>
      <c r="R980" s="84" t="str">
        <f t="shared" si="5"/>
        <v>#N/A</v>
      </c>
      <c r="S980" s="107">
        <f t="shared" si="6"/>
        <v>-0.11</v>
      </c>
      <c r="T980" s="108">
        <f t="shared" si="7"/>
        <v>-1</v>
      </c>
      <c r="U980" s="106" t="str">
        <f t="shared" si="8"/>
        <v>#N/A</v>
      </c>
      <c r="V980" s="84" t="str">
        <f t="shared" si="9"/>
        <v/>
      </c>
      <c r="W980" s="109" t="str">
        <f t="shared" si="10"/>
        <v/>
      </c>
      <c r="X980" s="109" t="str">
        <f t="shared" si="11"/>
        <v/>
      </c>
      <c r="Y980" s="110" t="str">
        <f t="array" ref="Y980">_xlfn.XLOOKUP(A980,'Video Database'!L:L,'Video Database'!M:M,"")</f>
        <v>Bottom of Funnel</v>
      </c>
    </row>
    <row r="981" ht="22.5" customHeight="1">
      <c r="A981" s="113">
        <f t="shared" si="12"/>
        <v>980</v>
      </c>
      <c r="B981" s="98" t="str">
        <f t="array" ref="B981">_xlfn.XLOOKUP(A981,'Video Database'!L:L,'Video Database'!D:D,"")</f>
        <v>Blakely</v>
      </c>
      <c r="C981" s="98" t="str">
        <f t="array" ref="C981">_xlfn.XLOOKUP(A981,'Video Database'!L:L,'Video Database'!E:E,"")</f>
        <v>Account 4</v>
      </c>
      <c r="D981" s="99" t="str">
        <f t="array" ref="D981">_xlfn.XLOOKUP(A981,'Video Database'!L:L,'Video Database'!G:G,"")</f>
        <v>BetterAlt Shilajit Honey Sticks</v>
      </c>
      <c r="E981" s="100">
        <f t="array" ref="E981">_xlfn.XLOOKUP(A981,'Video Database'!L:L,'Video Database'!H:H,"")</f>
        <v>0.11</v>
      </c>
      <c r="F981" s="101">
        <v>0.0</v>
      </c>
      <c r="G981" s="87">
        <v>0.0</v>
      </c>
      <c r="H981" s="114">
        <f t="array" ref="H981">_xlfn.XLOOKUP(A981,'Video Database'!L:L,'Video Database'!A:A,"")</f>
        <v>46198</v>
      </c>
      <c r="I981" s="103">
        <v>46201.0</v>
      </c>
      <c r="J981" s="104">
        <v>0.0</v>
      </c>
      <c r="K981" s="105"/>
      <c r="L981" s="105" t="str">
        <f t="shared" si="1"/>
        <v/>
      </c>
      <c r="O981" s="106" t="str">
        <f t="shared" si="2"/>
        <v>#N/A</v>
      </c>
      <c r="P981" s="106" t="str">
        <f t="shared" si="3"/>
        <v>#N/A</v>
      </c>
      <c r="Q981" s="84" t="str">
        <f t="shared" si="4"/>
        <v>#N/A</v>
      </c>
      <c r="R981" s="84" t="str">
        <f t="shared" si="5"/>
        <v>#N/A</v>
      </c>
      <c r="S981" s="107">
        <f t="shared" si="6"/>
        <v>-0.11</v>
      </c>
      <c r="T981" s="108">
        <f t="shared" si="7"/>
        <v>-1</v>
      </c>
      <c r="U981" s="106" t="str">
        <f t="shared" si="8"/>
        <v>#N/A</v>
      </c>
      <c r="V981" s="84" t="str">
        <f t="shared" si="9"/>
        <v/>
      </c>
      <c r="W981" s="109" t="str">
        <f t="shared" si="10"/>
        <v/>
      </c>
      <c r="X981" s="109" t="str">
        <f t="shared" si="11"/>
        <v/>
      </c>
      <c r="Y981" s="110" t="str">
        <f t="array" ref="Y981">_xlfn.XLOOKUP(A981,'Video Database'!L:L,'Video Database'!M:M,"")</f>
        <v>Product Overlay</v>
      </c>
    </row>
    <row r="982" ht="22.5" customHeight="1">
      <c r="A982" s="113">
        <f t="shared" si="12"/>
        <v>981</v>
      </c>
      <c r="B982" s="98" t="str">
        <f t="array" ref="B982">_xlfn.XLOOKUP(A982,'Video Database'!L:L,'Video Database'!D:D,"")</f>
        <v>Erin</v>
      </c>
      <c r="C982" s="98" t="str">
        <f t="array" ref="C982">_xlfn.XLOOKUP(A982,'Video Database'!L:L,'Video Database'!E:E,"")</f>
        <v>Account 4</v>
      </c>
      <c r="D982" s="99" t="str">
        <f t="array" ref="D982">_xlfn.XLOOKUP(A982,'Video Database'!L:L,'Video Database'!G:G,"")</f>
        <v>Camellia Deep Collagen Lifting Gel Mask</v>
      </c>
      <c r="E982" s="100">
        <f t="array" ref="E982">_xlfn.XLOOKUP(A982,'Video Database'!L:L,'Video Database'!H:H,"")</f>
        <v>0.7337</v>
      </c>
      <c r="F982" s="101">
        <v>0.0</v>
      </c>
      <c r="G982" s="87">
        <v>0.0</v>
      </c>
      <c r="H982" s="114">
        <f t="array" ref="H982">_xlfn.XLOOKUP(A982,'Video Database'!L:L,'Video Database'!A:A,"")</f>
        <v>46198</v>
      </c>
      <c r="I982" s="103">
        <v>46201.0</v>
      </c>
      <c r="J982" s="104">
        <v>0.0</v>
      </c>
      <c r="K982" s="105"/>
      <c r="L982" s="105" t="str">
        <f t="shared" si="1"/>
        <v/>
      </c>
      <c r="O982" s="106" t="str">
        <f t="shared" si="2"/>
        <v>#N/A</v>
      </c>
      <c r="P982" s="106" t="str">
        <f t="shared" si="3"/>
        <v>#N/A</v>
      </c>
      <c r="Q982" s="84" t="str">
        <f t="shared" si="4"/>
        <v>#N/A</v>
      </c>
      <c r="R982" s="84" t="str">
        <f t="shared" si="5"/>
        <v>#N/A</v>
      </c>
      <c r="S982" s="107">
        <f t="shared" si="6"/>
        <v>-0.7337</v>
      </c>
      <c r="T982" s="108">
        <f t="shared" si="7"/>
        <v>-1</v>
      </c>
      <c r="U982" s="106" t="str">
        <f t="shared" si="8"/>
        <v>#N/A</v>
      </c>
      <c r="V982" s="84" t="str">
        <f t="shared" si="9"/>
        <v/>
      </c>
      <c r="W982" s="109" t="str">
        <f t="shared" si="10"/>
        <v/>
      </c>
      <c r="X982" s="109" t="str">
        <f t="shared" si="11"/>
        <v/>
      </c>
      <c r="Y982" s="110" t="str">
        <f t="array" ref="Y982">_xlfn.XLOOKUP(A982,'Video Database'!L:L,'Video Database'!M:M,"")</f>
        <v>Bottom of Funnel</v>
      </c>
    </row>
    <row r="983" ht="22.5" customHeight="1">
      <c r="A983" s="113">
        <f t="shared" si="12"/>
        <v>982</v>
      </c>
      <c r="B983" s="98" t="str">
        <f t="array" ref="B983">_xlfn.XLOOKUP(A983,'Video Database'!L:L,'Video Database'!D:D,"")</f>
        <v>Blakely</v>
      </c>
      <c r="C983" s="98" t="str">
        <f t="array" ref="C983">_xlfn.XLOOKUP(A983,'Video Database'!L:L,'Video Database'!E:E,"")</f>
        <v>Account 4</v>
      </c>
      <c r="D983" s="99" t="str">
        <f t="array" ref="D983">_xlfn.XLOOKUP(A983,'Video Database'!L:L,'Video Database'!G:G,"")</f>
        <v>tarte CC Color-Correct Tinted Serum</v>
      </c>
      <c r="E983" s="100">
        <f t="array" ref="E983">_xlfn.XLOOKUP(A983,'Video Database'!L:L,'Video Database'!H:H,"")</f>
        <v>0.11</v>
      </c>
      <c r="F983" s="101">
        <v>0.0</v>
      </c>
      <c r="G983" s="87">
        <v>0.0</v>
      </c>
      <c r="H983" s="114">
        <f t="array" ref="H983">_xlfn.XLOOKUP(A983,'Video Database'!L:L,'Video Database'!A:A,"")</f>
        <v>46198</v>
      </c>
      <c r="I983" s="103">
        <v>46201.0</v>
      </c>
      <c r="J983" s="104">
        <v>0.0</v>
      </c>
      <c r="K983" s="105"/>
      <c r="L983" s="105" t="str">
        <f t="shared" si="1"/>
        <v/>
      </c>
      <c r="O983" s="106" t="str">
        <f t="shared" si="2"/>
        <v>#N/A</v>
      </c>
      <c r="P983" s="106" t="str">
        <f t="shared" si="3"/>
        <v>#N/A</v>
      </c>
      <c r="Q983" s="84" t="str">
        <f t="shared" si="4"/>
        <v>#N/A</v>
      </c>
      <c r="R983" s="84" t="str">
        <f t="shared" si="5"/>
        <v>#N/A</v>
      </c>
      <c r="S983" s="107">
        <f t="shared" si="6"/>
        <v>-0.11</v>
      </c>
      <c r="T983" s="108">
        <f t="shared" si="7"/>
        <v>-1</v>
      </c>
      <c r="U983" s="106" t="str">
        <f t="shared" si="8"/>
        <v>#N/A</v>
      </c>
      <c r="V983" s="84" t="str">
        <f t="shared" si="9"/>
        <v/>
      </c>
      <c r="W983" s="109" t="str">
        <f t="shared" si="10"/>
        <v/>
      </c>
      <c r="X983" s="109" t="str">
        <f t="shared" si="11"/>
        <v/>
      </c>
      <c r="Y983" s="110" t="str">
        <f t="array" ref="Y983">_xlfn.XLOOKUP(A983,'Video Database'!L:L,'Video Database'!M:M,"")</f>
        <v>Product Overlay</v>
      </c>
    </row>
    <row r="984" ht="22.5" customHeight="1">
      <c r="A984" s="113">
        <f t="shared" si="12"/>
        <v>983</v>
      </c>
      <c r="B984" s="98" t="str">
        <f t="array" ref="B984">_xlfn.XLOOKUP(A984,'Video Database'!L:L,'Video Database'!D:D,"")</f>
        <v>Erin</v>
      </c>
      <c r="C984" s="98" t="str">
        <f t="array" ref="C984">_xlfn.XLOOKUP(A984,'Video Database'!L:L,'Video Database'!E:E,"")</f>
        <v>Account 4</v>
      </c>
      <c r="D984" s="99" t="str">
        <f t="array" ref="D984">_xlfn.XLOOKUP(A984,'Video Database'!L:L,'Video Database'!G:G,"")</f>
        <v>Color Wow Quick Refresh and Styling Bundle</v>
      </c>
      <c r="E984" s="100">
        <f t="array" ref="E984">_xlfn.XLOOKUP(A984,'Video Database'!L:L,'Video Database'!H:H,"")</f>
        <v>0.7337</v>
      </c>
      <c r="F984" s="101">
        <v>0.0</v>
      </c>
      <c r="G984" s="87">
        <v>0.0</v>
      </c>
      <c r="H984" s="114">
        <f t="array" ref="H984">_xlfn.XLOOKUP(A984,'Video Database'!L:L,'Video Database'!A:A,"")</f>
        <v>46198</v>
      </c>
      <c r="I984" s="103">
        <v>46201.0</v>
      </c>
      <c r="J984" s="104">
        <v>0.0</v>
      </c>
      <c r="K984" s="105"/>
      <c r="L984" s="105" t="str">
        <f t="shared" si="1"/>
        <v/>
      </c>
      <c r="O984" s="106" t="str">
        <f t="shared" si="2"/>
        <v>#N/A</v>
      </c>
      <c r="P984" s="106" t="str">
        <f t="shared" si="3"/>
        <v>#N/A</v>
      </c>
      <c r="Q984" s="84" t="str">
        <f t="shared" si="4"/>
        <v>#N/A</v>
      </c>
      <c r="R984" s="84" t="str">
        <f t="shared" si="5"/>
        <v>#N/A</v>
      </c>
      <c r="S984" s="107">
        <f t="shared" si="6"/>
        <v>-0.7337</v>
      </c>
      <c r="T984" s="108">
        <f t="shared" si="7"/>
        <v>-1</v>
      </c>
      <c r="U984" s="106" t="str">
        <f t="shared" si="8"/>
        <v>#N/A</v>
      </c>
      <c r="V984" s="84" t="str">
        <f t="shared" si="9"/>
        <v/>
      </c>
      <c r="W984" s="109" t="str">
        <f t="shared" si="10"/>
        <v/>
      </c>
      <c r="X984" s="109" t="str">
        <f t="shared" si="11"/>
        <v/>
      </c>
      <c r="Y984" s="110" t="str">
        <f t="array" ref="Y984">_xlfn.XLOOKUP(A984,'Video Database'!L:L,'Video Database'!M:M,"")</f>
        <v>Bottom of Funnel</v>
      </c>
    </row>
    <row r="985" ht="22.5" customHeight="1">
      <c r="A985" s="113">
        <f t="shared" si="12"/>
        <v>984</v>
      </c>
      <c r="B985" s="98" t="str">
        <f t="array" ref="B985">_xlfn.XLOOKUP(A985,'Video Database'!L:L,'Video Database'!D:D,"")</f>
        <v>Erin</v>
      </c>
      <c r="C985" s="98" t="str">
        <f t="array" ref="C985">_xlfn.XLOOKUP(A985,'Video Database'!L:L,'Video Database'!E:E,"")</f>
        <v>Account 4</v>
      </c>
      <c r="D985" s="99" t="str">
        <f t="array" ref="D985">_xlfn.XLOOKUP(A985,'Video Database'!L:L,'Video Database'!G:G,"")</f>
        <v>Medicube Kojic Accid Tumeric Power Duo</v>
      </c>
      <c r="E985" s="100">
        <f t="array" ref="E985">_xlfn.XLOOKUP(A985,'Video Database'!L:L,'Video Database'!H:H,"")</f>
        <v>0.7337</v>
      </c>
      <c r="F985" s="101">
        <v>0.0</v>
      </c>
      <c r="G985" s="87">
        <v>0.0</v>
      </c>
      <c r="H985" s="114">
        <f t="array" ref="H985">_xlfn.XLOOKUP(A985,'Video Database'!L:L,'Video Database'!A:A,"")</f>
        <v>46198</v>
      </c>
      <c r="I985" s="103">
        <v>46201.0</v>
      </c>
      <c r="J985" s="104">
        <v>0.0</v>
      </c>
      <c r="K985" s="105"/>
      <c r="L985" s="105" t="str">
        <f t="shared" si="1"/>
        <v/>
      </c>
      <c r="O985" s="106" t="str">
        <f t="shared" si="2"/>
        <v>#N/A</v>
      </c>
      <c r="P985" s="106" t="str">
        <f t="shared" si="3"/>
        <v>#N/A</v>
      </c>
      <c r="Q985" s="84" t="str">
        <f t="shared" si="4"/>
        <v>#N/A</v>
      </c>
      <c r="R985" s="84" t="str">
        <f t="shared" si="5"/>
        <v>#N/A</v>
      </c>
      <c r="S985" s="107">
        <f t="shared" si="6"/>
        <v>-0.7337</v>
      </c>
      <c r="T985" s="108">
        <f t="shared" si="7"/>
        <v>-1</v>
      </c>
      <c r="U985" s="106" t="str">
        <f t="shared" si="8"/>
        <v>#N/A</v>
      </c>
      <c r="V985" s="84" t="str">
        <f t="shared" si="9"/>
        <v/>
      </c>
      <c r="W985" s="109" t="str">
        <f t="shared" si="10"/>
        <v/>
      </c>
      <c r="X985" s="109" t="str">
        <f t="shared" si="11"/>
        <v/>
      </c>
      <c r="Y985" s="110" t="str">
        <f t="array" ref="Y985">_xlfn.XLOOKUP(A985,'Video Database'!L:L,'Video Database'!M:M,"")</f>
        <v>Bottom of Funnel</v>
      </c>
    </row>
    <row r="986" ht="22.5" customHeight="1">
      <c r="A986" s="113">
        <f t="shared" si="12"/>
        <v>985</v>
      </c>
      <c r="B986" s="98" t="str">
        <f t="array" ref="B986">_xlfn.XLOOKUP(A986,'Video Database'!L:L,'Video Database'!D:D,"")</f>
        <v>Blakely</v>
      </c>
      <c r="C986" s="98" t="str">
        <f t="array" ref="C986">_xlfn.XLOOKUP(A986,'Video Database'!L:L,'Video Database'!E:E,"")</f>
        <v>Account 4</v>
      </c>
      <c r="D986" s="99" t="str">
        <f t="array" ref="D986">_xlfn.XLOOKUP(A986,'Video Database'!L:L,'Video Database'!G:G,"")</f>
        <v>Ekkovision Lifting Straps (D-ring)</v>
      </c>
      <c r="E986" s="100">
        <f t="array" ref="E986">_xlfn.XLOOKUP(A986,'Video Database'!L:L,'Video Database'!H:H,"")</f>
        <v>0.11</v>
      </c>
      <c r="F986" s="101">
        <v>0.0</v>
      </c>
      <c r="G986" s="87">
        <v>0.0</v>
      </c>
      <c r="H986" s="114">
        <f t="array" ref="H986">_xlfn.XLOOKUP(A986,'Video Database'!L:L,'Video Database'!A:A,"")</f>
        <v>46198</v>
      </c>
      <c r="I986" s="103">
        <v>46201.0</v>
      </c>
      <c r="J986" s="104">
        <v>0.0</v>
      </c>
      <c r="K986" s="105"/>
      <c r="L986" s="105" t="str">
        <f t="shared" si="1"/>
        <v/>
      </c>
      <c r="O986" s="106" t="str">
        <f t="shared" si="2"/>
        <v>#N/A</v>
      </c>
      <c r="P986" s="106" t="str">
        <f t="shared" si="3"/>
        <v>#N/A</v>
      </c>
      <c r="Q986" s="84" t="str">
        <f t="shared" si="4"/>
        <v>#N/A</v>
      </c>
      <c r="R986" s="84" t="str">
        <f t="shared" si="5"/>
        <v>#N/A</v>
      </c>
      <c r="S986" s="107">
        <f t="shared" si="6"/>
        <v>-0.11</v>
      </c>
      <c r="T986" s="108">
        <f t="shared" si="7"/>
        <v>-1</v>
      </c>
      <c r="U986" s="106" t="str">
        <f t="shared" si="8"/>
        <v>#N/A</v>
      </c>
      <c r="V986" s="84" t="str">
        <f t="shared" si="9"/>
        <v/>
      </c>
      <c r="W986" s="109" t="str">
        <f t="shared" si="10"/>
        <v/>
      </c>
      <c r="X986" s="109" t="str">
        <f t="shared" si="11"/>
        <v/>
      </c>
      <c r="Y986" s="110" t="str">
        <f t="array" ref="Y986">_xlfn.XLOOKUP(A986,'Video Database'!L:L,'Video Database'!M:M,"")</f>
        <v>Product Overlay</v>
      </c>
    </row>
    <row r="987" ht="22.5" customHeight="1">
      <c r="A987" s="113">
        <f t="shared" si="12"/>
        <v>986</v>
      </c>
      <c r="B987" s="98" t="str">
        <f t="array" ref="B987">_xlfn.XLOOKUP(A987,'Video Database'!L:L,'Video Database'!D:D,"")</f>
        <v>Blakely</v>
      </c>
      <c r="C987" s="98" t="str">
        <f t="array" ref="C987">_xlfn.XLOOKUP(A987,'Video Database'!L:L,'Video Database'!E:E,"")</f>
        <v>Account 4</v>
      </c>
      <c r="D987" s="99" t="str">
        <f t="array" ref="D987">_xlfn.XLOOKUP(A987,'Video Database'!L:L,'Video Database'!G:G,"")</f>
        <v>IRIS Hormone Health Drink Mix</v>
      </c>
      <c r="E987" s="100">
        <f t="array" ref="E987">_xlfn.XLOOKUP(A987,'Video Database'!L:L,'Video Database'!H:H,"")</f>
        <v>0.11</v>
      </c>
      <c r="F987" s="101">
        <v>0.0</v>
      </c>
      <c r="G987" s="87">
        <v>0.0</v>
      </c>
      <c r="H987" s="114">
        <f t="array" ref="H987">_xlfn.XLOOKUP(A987,'Video Database'!L:L,'Video Database'!A:A,"")</f>
        <v>46198</v>
      </c>
      <c r="I987" s="103">
        <v>46201.0</v>
      </c>
      <c r="J987" s="104">
        <v>0.0</v>
      </c>
      <c r="K987" s="105"/>
      <c r="L987" s="105" t="str">
        <f t="shared" si="1"/>
        <v/>
      </c>
      <c r="O987" s="106" t="str">
        <f t="shared" si="2"/>
        <v>#N/A</v>
      </c>
      <c r="P987" s="106" t="str">
        <f t="shared" si="3"/>
        <v>#N/A</v>
      </c>
      <c r="Q987" s="84" t="str">
        <f t="shared" si="4"/>
        <v>#N/A</v>
      </c>
      <c r="R987" s="84" t="str">
        <f t="shared" si="5"/>
        <v>#N/A</v>
      </c>
      <c r="S987" s="107">
        <f t="shared" si="6"/>
        <v>-0.11</v>
      </c>
      <c r="T987" s="108">
        <f t="shared" si="7"/>
        <v>-1</v>
      </c>
      <c r="U987" s="106" t="str">
        <f t="shared" si="8"/>
        <v>#N/A</v>
      </c>
      <c r="V987" s="84" t="str">
        <f t="shared" si="9"/>
        <v/>
      </c>
      <c r="W987" s="109" t="str">
        <f t="shared" si="10"/>
        <v/>
      </c>
      <c r="X987" s="109" t="str">
        <f t="shared" si="11"/>
        <v/>
      </c>
      <c r="Y987" s="110" t="str">
        <f t="array" ref="Y987">_xlfn.XLOOKUP(A987,'Video Database'!L:L,'Video Database'!M:M,"")</f>
        <v>Bottom of Funnel</v>
      </c>
    </row>
    <row r="988" ht="22.5" customHeight="1">
      <c r="A988" s="113">
        <f t="shared" si="12"/>
        <v>987</v>
      </c>
      <c r="B988" s="98" t="str">
        <f t="array" ref="B988">_xlfn.XLOOKUP(A988,'Video Database'!L:L,'Video Database'!D:D,"")</f>
        <v>Erin</v>
      </c>
      <c r="C988" s="98" t="str">
        <f t="array" ref="C988">_xlfn.XLOOKUP(A988,'Video Database'!L:L,'Video Database'!E:E,"")</f>
        <v>Account 4</v>
      </c>
      <c r="D988" s="99" t="str">
        <f t="array" ref="D988">_xlfn.XLOOKUP(A988,'Video Database'!L:L,'Video Database'!G:G,"")</f>
        <v>Camellia Deep Collagen Lifting Gel Mask</v>
      </c>
      <c r="E988" s="100">
        <f t="array" ref="E988">_xlfn.XLOOKUP(A988,'Video Database'!L:L,'Video Database'!H:H,"")</f>
        <v>0.7337</v>
      </c>
      <c r="F988" s="101">
        <v>0.0</v>
      </c>
      <c r="G988" s="87">
        <v>0.0</v>
      </c>
      <c r="H988" s="114">
        <f t="array" ref="H988">_xlfn.XLOOKUP(A988,'Video Database'!L:L,'Video Database'!A:A,"")</f>
        <v>46198</v>
      </c>
      <c r="I988" s="103">
        <v>46201.0</v>
      </c>
      <c r="J988" s="104">
        <v>0.0</v>
      </c>
      <c r="K988" s="105"/>
      <c r="L988" s="105" t="str">
        <f t="shared" si="1"/>
        <v/>
      </c>
      <c r="O988" s="106" t="str">
        <f t="shared" si="2"/>
        <v>#N/A</v>
      </c>
      <c r="P988" s="106" t="str">
        <f t="shared" si="3"/>
        <v>#N/A</v>
      </c>
      <c r="Q988" s="84" t="str">
        <f t="shared" si="4"/>
        <v>#N/A</v>
      </c>
      <c r="R988" s="84" t="str">
        <f t="shared" si="5"/>
        <v>#N/A</v>
      </c>
      <c r="S988" s="107">
        <f t="shared" si="6"/>
        <v>-0.7337</v>
      </c>
      <c r="T988" s="108">
        <f t="shared" si="7"/>
        <v>-1</v>
      </c>
      <c r="U988" s="106" t="str">
        <f t="shared" si="8"/>
        <v>#N/A</v>
      </c>
      <c r="V988" s="84" t="str">
        <f t="shared" si="9"/>
        <v/>
      </c>
      <c r="W988" s="109" t="str">
        <f t="shared" si="10"/>
        <v/>
      </c>
      <c r="X988" s="109" t="str">
        <f t="shared" si="11"/>
        <v/>
      </c>
      <c r="Y988" s="110" t="str">
        <f t="array" ref="Y988">_xlfn.XLOOKUP(A988,'Video Database'!L:L,'Video Database'!M:M,"")</f>
        <v>Bottom of Funnel</v>
      </c>
    </row>
    <row r="989" ht="22.5" customHeight="1">
      <c r="A989" s="113">
        <f t="shared" si="12"/>
        <v>988</v>
      </c>
      <c r="B989" s="98" t="str">
        <f t="array" ref="B989">_xlfn.XLOOKUP(A989,'Video Database'!L:L,'Video Database'!D:D,"")</f>
        <v>Blakely</v>
      </c>
      <c r="C989" s="98" t="str">
        <f t="array" ref="C989">_xlfn.XLOOKUP(A989,'Video Database'!L:L,'Video Database'!E:E,"")</f>
        <v>Account 4</v>
      </c>
      <c r="D989" s="99" t="str">
        <f t="array" ref="D989">_xlfn.XLOOKUP(A989,'Video Database'!L:L,'Video Database'!G:G,"")</f>
        <v>NeilMed Piercing Aftercare Spray XL</v>
      </c>
      <c r="E989" s="100">
        <f t="array" ref="E989">_xlfn.XLOOKUP(A989,'Video Database'!L:L,'Video Database'!H:H,"")</f>
        <v>0.11</v>
      </c>
      <c r="F989" s="101">
        <v>0.0</v>
      </c>
      <c r="G989" s="87">
        <v>0.0</v>
      </c>
      <c r="H989" s="114">
        <f t="array" ref="H989">_xlfn.XLOOKUP(A989,'Video Database'!L:L,'Video Database'!A:A,"")</f>
        <v>46198</v>
      </c>
      <c r="I989" s="103">
        <v>46201.0</v>
      </c>
      <c r="J989" s="104">
        <v>0.0</v>
      </c>
      <c r="K989" s="105"/>
      <c r="L989" s="105" t="str">
        <f t="shared" si="1"/>
        <v/>
      </c>
      <c r="O989" s="106" t="str">
        <f t="shared" si="2"/>
        <v>#N/A</v>
      </c>
      <c r="P989" s="106" t="str">
        <f t="shared" si="3"/>
        <v>#N/A</v>
      </c>
      <c r="Q989" s="84" t="str">
        <f t="shared" si="4"/>
        <v>#N/A</v>
      </c>
      <c r="R989" s="84" t="str">
        <f t="shared" si="5"/>
        <v>#N/A</v>
      </c>
      <c r="S989" s="107">
        <f t="shared" si="6"/>
        <v>-0.11</v>
      </c>
      <c r="T989" s="108">
        <f t="shared" si="7"/>
        <v>-1</v>
      </c>
      <c r="U989" s="106" t="str">
        <f t="shared" si="8"/>
        <v>#N/A</v>
      </c>
      <c r="V989" s="84" t="str">
        <f t="shared" si="9"/>
        <v/>
      </c>
      <c r="W989" s="109" t="str">
        <f t="shared" si="10"/>
        <v/>
      </c>
      <c r="X989" s="109" t="str">
        <f t="shared" si="11"/>
        <v/>
      </c>
      <c r="Y989" s="110" t="str">
        <f t="array" ref="Y989">_xlfn.XLOOKUP(A989,'Video Database'!L:L,'Video Database'!M:M,"")</f>
        <v>Product Overlay</v>
      </c>
    </row>
    <row r="990" ht="22.5" customHeight="1">
      <c r="A990" s="113">
        <f t="shared" si="12"/>
        <v>989</v>
      </c>
      <c r="B990" s="98" t="str">
        <f t="array" ref="B990">_xlfn.XLOOKUP(A990,'Video Database'!L:L,'Video Database'!D:D,"")</f>
        <v>Blakely</v>
      </c>
      <c r="C990" s="98" t="str">
        <f t="array" ref="C990">_xlfn.XLOOKUP(A990,'Video Database'!L:L,'Video Database'!E:E,"")</f>
        <v>Account 4</v>
      </c>
      <c r="D990" s="99" t="str">
        <f t="array" ref="D990">_xlfn.XLOOKUP(A990,'Video Database'!L:L,'Video Database'!G:G,"")</f>
        <v>BetterAlt Shilajit Honey Sticks</v>
      </c>
      <c r="E990" s="100">
        <f t="array" ref="E990">_xlfn.XLOOKUP(A990,'Video Database'!L:L,'Video Database'!H:H,"")</f>
        <v>0.11</v>
      </c>
      <c r="F990" s="101">
        <v>0.0</v>
      </c>
      <c r="G990" s="87">
        <v>0.0</v>
      </c>
      <c r="H990" s="114">
        <f t="array" ref="H990">_xlfn.XLOOKUP(A990,'Video Database'!L:L,'Video Database'!A:A,"")</f>
        <v>46198</v>
      </c>
      <c r="I990" s="103">
        <v>46201.0</v>
      </c>
      <c r="J990" s="104">
        <v>0.0</v>
      </c>
      <c r="K990" s="105"/>
      <c r="L990" s="105" t="str">
        <f t="shared" si="1"/>
        <v/>
      </c>
      <c r="O990" s="106" t="str">
        <f t="shared" si="2"/>
        <v>#N/A</v>
      </c>
      <c r="P990" s="106" t="str">
        <f t="shared" si="3"/>
        <v>#N/A</v>
      </c>
      <c r="Q990" s="84" t="str">
        <f t="shared" si="4"/>
        <v>#N/A</v>
      </c>
      <c r="R990" s="84" t="str">
        <f t="shared" si="5"/>
        <v>#N/A</v>
      </c>
      <c r="S990" s="107">
        <f t="shared" si="6"/>
        <v>-0.11</v>
      </c>
      <c r="T990" s="108">
        <f t="shared" si="7"/>
        <v>-1</v>
      </c>
      <c r="U990" s="106" t="str">
        <f t="shared" si="8"/>
        <v>#N/A</v>
      </c>
      <c r="V990" s="84" t="str">
        <f t="shared" si="9"/>
        <v/>
      </c>
      <c r="W990" s="109" t="str">
        <f t="shared" si="10"/>
        <v/>
      </c>
      <c r="X990" s="109" t="str">
        <f t="shared" si="11"/>
        <v/>
      </c>
      <c r="Y990" s="110" t="str">
        <f t="array" ref="Y990">_xlfn.XLOOKUP(A990,'Video Database'!L:L,'Video Database'!M:M,"")</f>
        <v>Bottom of Funnel</v>
      </c>
    </row>
    <row r="991" ht="22.5" customHeight="1">
      <c r="A991" s="113">
        <f t="shared" si="12"/>
        <v>990</v>
      </c>
      <c r="B991" s="98" t="str">
        <f t="array" ref="B991">_xlfn.XLOOKUP(A991,'Video Database'!L:L,'Video Database'!D:D,"")</f>
        <v>Blakely</v>
      </c>
      <c r="C991" s="98" t="str">
        <f t="array" ref="C991">_xlfn.XLOOKUP(A991,'Video Database'!L:L,'Video Database'!E:E,"")</f>
        <v>Account 4</v>
      </c>
      <c r="D991" s="99" t="str">
        <f t="array" ref="D991">_xlfn.XLOOKUP(A991,'Video Database'!L:L,'Video Database'!G:G,"")</f>
        <v>tarte CC Color-Correct Tinted Serum</v>
      </c>
      <c r="E991" s="100">
        <f t="array" ref="E991">_xlfn.XLOOKUP(A991,'Video Database'!L:L,'Video Database'!H:H,"")</f>
        <v>0.11</v>
      </c>
      <c r="F991" s="101">
        <v>0.0</v>
      </c>
      <c r="G991" s="87">
        <v>0.0</v>
      </c>
      <c r="H991" s="114">
        <f t="array" ref="H991">_xlfn.XLOOKUP(A991,'Video Database'!L:L,'Video Database'!A:A,"")</f>
        <v>46198</v>
      </c>
      <c r="I991" s="103">
        <v>46201.0</v>
      </c>
      <c r="J991" s="104">
        <v>0.0</v>
      </c>
      <c r="K991" s="105"/>
      <c r="L991" s="105" t="str">
        <f t="shared" si="1"/>
        <v/>
      </c>
      <c r="O991" s="106" t="str">
        <f t="shared" si="2"/>
        <v>#N/A</v>
      </c>
      <c r="P991" s="106" t="str">
        <f t="shared" si="3"/>
        <v>#N/A</v>
      </c>
      <c r="Q991" s="84" t="str">
        <f t="shared" si="4"/>
        <v>#N/A</v>
      </c>
      <c r="R991" s="84" t="str">
        <f t="shared" si="5"/>
        <v>#N/A</v>
      </c>
      <c r="S991" s="107">
        <f t="shared" si="6"/>
        <v>-0.11</v>
      </c>
      <c r="T991" s="108">
        <f t="shared" si="7"/>
        <v>-1</v>
      </c>
      <c r="U991" s="106" t="str">
        <f t="shared" si="8"/>
        <v>#N/A</v>
      </c>
      <c r="V991" s="84" t="str">
        <f t="shared" si="9"/>
        <v/>
      </c>
      <c r="W991" s="109" t="str">
        <f t="shared" si="10"/>
        <v/>
      </c>
      <c r="X991" s="109" t="str">
        <f t="shared" si="11"/>
        <v/>
      </c>
      <c r="Y991" s="110" t="str">
        <f t="array" ref="Y991">_xlfn.XLOOKUP(A991,'Video Database'!L:L,'Video Database'!M:M,"")</f>
        <v>Bottom of Funnel</v>
      </c>
    </row>
    <row r="992" ht="22.5" customHeight="1">
      <c r="A992" s="113">
        <f t="shared" si="12"/>
        <v>991</v>
      </c>
      <c r="B992" s="98" t="str">
        <f t="array" ref="B992">_xlfn.XLOOKUP(A992,'Video Database'!L:L,'Video Database'!D:D,"")</f>
        <v>Erin</v>
      </c>
      <c r="C992" s="98" t="str">
        <f t="array" ref="C992">_xlfn.XLOOKUP(A992,'Video Database'!L:L,'Video Database'!E:E,"")</f>
        <v>Account 4</v>
      </c>
      <c r="D992" s="99" t="str">
        <f t="array" ref="D992">_xlfn.XLOOKUP(A992,'Video Database'!L:L,'Video Database'!G:G,"")</f>
        <v>Medicube Kojic Accid Tumeric Power Duo</v>
      </c>
      <c r="E992" s="100">
        <f t="array" ref="E992">_xlfn.XLOOKUP(A992,'Video Database'!L:L,'Video Database'!H:H,"")</f>
        <v>0.7337</v>
      </c>
      <c r="F992" s="101">
        <v>0.0</v>
      </c>
      <c r="G992" s="87">
        <v>0.0</v>
      </c>
      <c r="H992" s="114">
        <f t="array" ref="H992">_xlfn.XLOOKUP(A992,'Video Database'!L:L,'Video Database'!A:A,"")</f>
        <v>46198</v>
      </c>
      <c r="I992" s="103">
        <v>46201.0</v>
      </c>
      <c r="J992" s="104">
        <v>0.0</v>
      </c>
      <c r="K992" s="105"/>
      <c r="L992" s="105" t="str">
        <f t="shared" si="1"/>
        <v/>
      </c>
      <c r="O992" s="106" t="str">
        <f t="shared" si="2"/>
        <v>#N/A</v>
      </c>
      <c r="P992" s="106" t="str">
        <f t="shared" si="3"/>
        <v>#N/A</v>
      </c>
      <c r="Q992" s="84" t="str">
        <f t="shared" si="4"/>
        <v>#N/A</v>
      </c>
      <c r="R992" s="84" t="str">
        <f t="shared" si="5"/>
        <v>#N/A</v>
      </c>
      <c r="S992" s="107">
        <f t="shared" si="6"/>
        <v>-0.7337</v>
      </c>
      <c r="T992" s="108">
        <f t="shared" si="7"/>
        <v>-1</v>
      </c>
      <c r="U992" s="106" t="str">
        <f t="shared" si="8"/>
        <v>#N/A</v>
      </c>
      <c r="V992" s="84" t="str">
        <f t="shared" si="9"/>
        <v/>
      </c>
      <c r="W992" s="109" t="str">
        <f t="shared" si="10"/>
        <v/>
      </c>
      <c r="X992" s="109" t="str">
        <f t="shared" si="11"/>
        <v/>
      </c>
      <c r="Y992" s="110" t="str">
        <f t="array" ref="Y992">_xlfn.XLOOKUP(A992,'Video Database'!L:L,'Video Database'!M:M,"")</f>
        <v>Bottom of Funnel</v>
      </c>
    </row>
    <row r="993" ht="22.5" customHeight="1">
      <c r="A993" s="113">
        <f t="shared" si="12"/>
        <v>992</v>
      </c>
      <c r="B993" s="98" t="str">
        <f t="array" ref="B993">_xlfn.XLOOKUP(A993,'Video Database'!L:L,'Video Database'!D:D,"")</f>
        <v>Erin</v>
      </c>
      <c r="C993" s="98" t="str">
        <f t="array" ref="C993">_xlfn.XLOOKUP(A993,'Video Database'!L:L,'Video Database'!E:E,"")</f>
        <v>Account 4</v>
      </c>
      <c r="D993" s="99" t="str">
        <f t="array" ref="D993">_xlfn.XLOOKUP(A993,'Video Database'!L:L,'Video Database'!G:G,"")</f>
        <v>Color Wow Quick Refresh and Styling Bundle</v>
      </c>
      <c r="E993" s="100">
        <f t="array" ref="E993">_xlfn.XLOOKUP(A993,'Video Database'!L:L,'Video Database'!H:H,"")</f>
        <v>0.7337</v>
      </c>
      <c r="F993" s="101">
        <v>0.0</v>
      </c>
      <c r="G993" s="87">
        <v>0.0</v>
      </c>
      <c r="H993" s="114">
        <f t="array" ref="H993">_xlfn.XLOOKUP(A993,'Video Database'!L:L,'Video Database'!A:A,"")</f>
        <v>46198</v>
      </c>
      <c r="I993" s="103">
        <v>46201.0</v>
      </c>
      <c r="J993" s="104">
        <v>0.0</v>
      </c>
      <c r="K993" s="105"/>
      <c r="L993" s="105" t="str">
        <f t="shared" si="1"/>
        <v/>
      </c>
      <c r="O993" s="106" t="str">
        <f t="shared" si="2"/>
        <v>#N/A</v>
      </c>
      <c r="P993" s="106" t="str">
        <f t="shared" si="3"/>
        <v>#N/A</v>
      </c>
      <c r="Q993" s="84" t="str">
        <f t="shared" si="4"/>
        <v>#N/A</v>
      </c>
      <c r="R993" s="84" t="str">
        <f t="shared" si="5"/>
        <v>#N/A</v>
      </c>
      <c r="S993" s="107">
        <f t="shared" si="6"/>
        <v>-0.7337</v>
      </c>
      <c r="T993" s="108">
        <f t="shared" si="7"/>
        <v>-1</v>
      </c>
      <c r="U993" s="106" t="str">
        <f t="shared" si="8"/>
        <v>#N/A</v>
      </c>
      <c r="V993" s="84" t="str">
        <f t="shared" si="9"/>
        <v/>
      </c>
      <c r="W993" s="109" t="str">
        <f t="shared" si="10"/>
        <v/>
      </c>
      <c r="X993" s="109" t="str">
        <f t="shared" si="11"/>
        <v/>
      </c>
      <c r="Y993" s="110" t="str">
        <f t="array" ref="Y993">_xlfn.XLOOKUP(A993,'Video Database'!L:L,'Video Database'!M:M,"")</f>
        <v>Bottom of Funnel</v>
      </c>
    </row>
    <row r="994" ht="22.5" customHeight="1">
      <c r="A994" s="113">
        <f t="shared" si="12"/>
        <v>993</v>
      </c>
      <c r="B994" s="98" t="str">
        <f t="array" ref="B994">_xlfn.XLOOKUP(A994,'Video Database'!L:L,'Video Database'!D:D,"")</f>
        <v>Blakely</v>
      </c>
      <c r="C994" s="98" t="str">
        <f t="array" ref="C994">_xlfn.XLOOKUP(A994,'Video Database'!L:L,'Video Database'!E:E,"")</f>
        <v>Account 1</v>
      </c>
      <c r="D994" s="99" t="str">
        <f t="array" ref="D994">_xlfn.XLOOKUP(A994,'Video Database'!L:L,'Video Database'!G:G,"")</f>
        <v>BetterAlt Shilajit Honey Sticks</v>
      </c>
      <c r="E994" s="100">
        <f t="array" ref="E994">_xlfn.XLOOKUP(A994,'Video Database'!L:L,'Video Database'!H:H,"")</f>
        <v>0.11</v>
      </c>
      <c r="F994" s="101">
        <v>0.0</v>
      </c>
      <c r="G994" s="87">
        <v>0.0</v>
      </c>
      <c r="H994" s="114">
        <f t="array" ref="H994">_xlfn.XLOOKUP(A994,'Video Database'!L:L,'Video Database'!A:A,"")</f>
        <v>46199</v>
      </c>
      <c r="I994" s="103">
        <v>46201.0</v>
      </c>
      <c r="J994" s="104">
        <v>0.0</v>
      </c>
      <c r="K994" s="105"/>
      <c r="L994" s="105" t="str">
        <f t="shared" si="1"/>
        <v/>
      </c>
      <c r="O994" s="106" t="str">
        <f t="shared" si="2"/>
        <v>#N/A</v>
      </c>
      <c r="P994" s="106" t="str">
        <f t="shared" si="3"/>
        <v>#N/A</v>
      </c>
      <c r="Q994" s="84" t="str">
        <f t="shared" si="4"/>
        <v>#N/A</v>
      </c>
      <c r="R994" s="84" t="str">
        <f t="shared" si="5"/>
        <v>#N/A</v>
      </c>
      <c r="S994" s="107">
        <f t="shared" si="6"/>
        <v>-0.11</v>
      </c>
      <c r="T994" s="108">
        <f t="shared" si="7"/>
        <v>-1</v>
      </c>
      <c r="U994" s="106" t="str">
        <f t="shared" si="8"/>
        <v>#N/A</v>
      </c>
      <c r="V994" s="84" t="str">
        <f t="shared" si="9"/>
        <v/>
      </c>
      <c r="W994" s="109" t="str">
        <f t="shared" si="10"/>
        <v/>
      </c>
      <c r="X994" s="109" t="str">
        <f t="shared" si="11"/>
        <v/>
      </c>
      <c r="Y994" s="110" t="str">
        <f t="array" ref="Y994">_xlfn.XLOOKUP(A994,'Video Database'!L:L,'Video Database'!M:M,"")</f>
        <v>Bottom of Funnel</v>
      </c>
    </row>
    <row r="995" ht="22.5" customHeight="1">
      <c r="A995" s="113">
        <f t="shared" si="12"/>
        <v>994</v>
      </c>
      <c r="B995" s="98" t="str">
        <f t="array" ref="B995">_xlfn.XLOOKUP(A995,'Video Database'!L:L,'Video Database'!D:D,"")</f>
        <v>Blakely</v>
      </c>
      <c r="C995" s="98" t="str">
        <f t="array" ref="C995">_xlfn.XLOOKUP(A995,'Video Database'!L:L,'Video Database'!E:E,"")</f>
        <v>Account 1</v>
      </c>
      <c r="D995" s="99" t="str">
        <f t="array" ref="D995">_xlfn.XLOOKUP(A995,'Video Database'!L:L,'Video Database'!G:G,"")</f>
        <v>IRIS Hormone Health Drink Mix</v>
      </c>
      <c r="E995" s="100">
        <f t="array" ref="E995">_xlfn.XLOOKUP(A995,'Video Database'!L:L,'Video Database'!H:H,"")</f>
        <v>0.11</v>
      </c>
      <c r="F995" s="101">
        <v>0.0</v>
      </c>
      <c r="G995" s="87">
        <v>0.0</v>
      </c>
      <c r="H995" s="114">
        <f t="array" ref="H995">_xlfn.XLOOKUP(A995,'Video Database'!L:L,'Video Database'!A:A,"")</f>
        <v>46199</v>
      </c>
      <c r="I995" s="103">
        <v>46201.0</v>
      </c>
      <c r="J995" s="104">
        <v>0.0</v>
      </c>
      <c r="K995" s="105"/>
      <c r="L995" s="105" t="str">
        <f t="shared" si="1"/>
        <v/>
      </c>
      <c r="O995" s="106" t="str">
        <f t="shared" si="2"/>
        <v>#N/A</v>
      </c>
      <c r="P995" s="106" t="str">
        <f t="shared" si="3"/>
        <v>#N/A</v>
      </c>
      <c r="Q995" s="84" t="str">
        <f t="shared" si="4"/>
        <v>#N/A</v>
      </c>
      <c r="R995" s="84" t="str">
        <f t="shared" si="5"/>
        <v>#N/A</v>
      </c>
      <c r="S995" s="107">
        <f t="shared" si="6"/>
        <v>-0.11</v>
      </c>
      <c r="T995" s="108">
        <f t="shared" si="7"/>
        <v>-1</v>
      </c>
      <c r="U995" s="106" t="str">
        <f t="shared" si="8"/>
        <v>#N/A</v>
      </c>
      <c r="V995" s="84" t="str">
        <f t="shared" si="9"/>
        <v/>
      </c>
      <c r="W995" s="109" t="str">
        <f t="shared" si="10"/>
        <v/>
      </c>
      <c r="X995" s="109" t="str">
        <f t="shared" si="11"/>
        <v/>
      </c>
      <c r="Y995" s="110" t="str">
        <f t="array" ref="Y995">_xlfn.XLOOKUP(A995,'Video Database'!L:L,'Video Database'!M:M,"")</f>
        <v>Bottom of Funnel</v>
      </c>
    </row>
    <row r="996" ht="22.5" customHeight="1">
      <c r="A996" s="113">
        <f t="shared" si="12"/>
        <v>995</v>
      </c>
      <c r="B996" s="98" t="str">
        <f t="array" ref="B996">_xlfn.XLOOKUP(A996,'Video Database'!L:L,'Video Database'!D:D,"")</f>
        <v>Blakely</v>
      </c>
      <c r="C996" s="98" t="str">
        <f t="array" ref="C996">_xlfn.XLOOKUP(A996,'Video Database'!L:L,'Video Database'!E:E,"")</f>
        <v>Account 1</v>
      </c>
      <c r="D996" s="99" t="str">
        <f t="array" ref="D996">_xlfn.XLOOKUP(A996,'Video Database'!L:L,'Video Database'!G:G,"")</f>
        <v>NeilMed Piercing Aftercare Spray XL</v>
      </c>
      <c r="E996" s="100">
        <f t="array" ref="E996">_xlfn.XLOOKUP(A996,'Video Database'!L:L,'Video Database'!H:H,"")</f>
        <v>0.11</v>
      </c>
      <c r="F996" s="101">
        <v>0.0</v>
      </c>
      <c r="G996" s="87">
        <v>0.0</v>
      </c>
      <c r="H996" s="114">
        <f t="array" ref="H996">_xlfn.XLOOKUP(A996,'Video Database'!L:L,'Video Database'!A:A,"")</f>
        <v>46199</v>
      </c>
      <c r="I996" s="103">
        <v>46201.0</v>
      </c>
      <c r="J996" s="104">
        <v>0.0</v>
      </c>
      <c r="K996" s="105"/>
      <c r="L996" s="105" t="str">
        <f t="shared" si="1"/>
        <v/>
      </c>
      <c r="O996" s="106" t="str">
        <f t="shared" si="2"/>
        <v>#N/A</v>
      </c>
      <c r="P996" s="106" t="str">
        <f t="shared" si="3"/>
        <v>#N/A</v>
      </c>
      <c r="Q996" s="84" t="str">
        <f t="shared" si="4"/>
        <v>#N/A</v>
      </c>
      <c r="R996" s="84" t="str">
        <f t="shared" si="5"/>
        <v>#N/A</v>
      </c>
      <c r="S996" s="107">
        <f t="shared" si="6"/>
        <v>-0.11</v>
      </c>
      <c r="T996" s="108">
        <f t="shared" si="7"/>
        <v>-1</v>
      </c>
      <c r="U996" s="106" t="str">
        <f t="shared" si="8"/>
        <v>#N/A</v>
      </c>
      <c r="V996" s="84" t="str">
        <f t="shared" si="9"/>
        <v/>
      </c>
      <c r="W996" s="109" t="str">
        <f t="shared" si="10"/>
        <v/>
      </c>
      <c r="X996" s="109" t="str">
        <f t="shared" si="11"/>
        <v/>
      </c>
      <c r="Y996" s="110" t="str">
        <f t="array" ref="Y996">_xlfn.XLOOKUP(A996,'Video Database'!L:L,'Video Database'!M:M,"")</f>
        <v>Bottom of Funnel</v>
      </c>
    </row>
    <row r="997" ht="22.5" customHeight="1">
      <c r="A997" s="113">
        <f t="shared" si="12"/>
        <v>996</v>
      </c>
      <c r="B997" s="98" t="str">
        <f t="array" ref="B997">_xlfn.XLOOKUP(A997,'Video Database'!L:L,'Video Database'!D:D,"")</f>
        <v>Blakely</v>
      </c>
      <c r="C997" s="98" t="str">
        <f t="array" ref="C997">_xlfn.XLOOKUP(A997,'Video Database'!L:L,'Video Database'!E:E,"")</f>
        <v>Account 1</v>
      </c>
      <c r="D997" s="99" t="str">
        <f t="array" ref="D997">_xlfn.XLOOKUP(A997,'Video Database'!L:L,'Video Database'!G:G,"")</f>
        <v>Beast Bites Creatine Gummies</v>
      </c>
      <c r="E997" s="100">
        <f t="array" ref="E997">_xlfn.XLOOKUP(A997,'Video Database'!L:L,'Video Database'!H:H,"")</f>
        <v>0.11</v>
      </c>
      <c r="F997" s="101">
        <v>0.0</v>
      </c>
      <c r="G997" s="87">
        <v>0.0</v>
      </c>
      <c r="H997" s="114">
        <f t="array" ref="H997">_xlfn.XLOOKUP(A997,'Video Database'!L:L,'Video Database'!A:A,"")</f>
        <v>46199</v>
      </c>
      <c r="I997" s="103">
        <v>46201.0</v>
      </c>
      <c r="J997" s="104">
        <v>0.0</v>
      </c>
      <c r="K997" s="105"/>
      <c r="L997" s="105" t="str">
        <f t="shared" si="1"/>
        <v/>
      </c>
      <c r="O997" s="106" t="str">
        <f t="shared" si="2"/>
        <v>#N/A</v>
      </c>
      <c r="P997" s="106" t="str">
        <f t="shared" si="3"/>
        <v>#N/A</v>
      </c>
      <c r="Q997" s="84" t="str">
        <f t="shared" si="4"/>
        <v>#N/A</v>
      </c>
      <c r="R997" s="84" t="str">
        <f t="shared" si="5"/>
        <v>#N/A</v>
      </c>
      <c r="S997" s="107">
        <f t="shared" si="6"/>
        <v>-0.11</v>
      </c>
      <c r="T997" s="108">
        <f t="shared" si="7"/>
        <v>-1</v>
      </c>
      <c r="U997" s="106" t="str">
        <f t="shared" si="8"/>
        <v>#N/A</v>
      </c>
      <c r="V997" s="84" t="str">
        <f t="shared" si="9"/>
        <v/>
      </c>
      <c r="W997" s="109" t="str">
        <f t="shared" si="10"/>
        <v/>
      </c>
      <c r="X997" s="109" t="str">
        <f t="shared" si="11"/>
        <v/>
      </c>
      <c r="Y997" s="110" t="str">
        <f t="array" ref="Y997">_xlfn.XLOOKUP(A997,'Video Database'!L:L,'Video Database'!M:M,"")</f>
        <v>Bottom of Funnel</v>
      </c>
    </row>
    <row r="998" ht="22.5" customHeight="1">
      <c r="A998" s="113">
        <f t="shared" si="12"/>
        <v>997</v>
      </c>
      <c r="B998" s="98" t="str">
        <f t="array" ref="B998">_xlfn.XLOOKUP(A998,'Video Database'!L:L,'Video Database'!D:D,"")</f>
        <v>Erin</v>
      </c>
      <c r="C998" s="98" t="str">
        <f t="array" ref="C998">_xlfn.XLOOKUP(A998,'Video Database'!L:L,'Video Database'!E:E,"")</f>
        <v>Account 1</v>
      </c>
      <c r="D998" s="99" t="str">
        <f t="array" ref="D998">_xlfn.XLOOKUP(A998,'Video Database'!L:L,'Video Database'!G:G,"")</f>
        <v>Medicube Kojic Accid Tumeric Power Duo</v>
      </c>
      <c r="E998" s="100">
        <f t="array" ref="E998">_xlfn.XLOOKUP(A998,'Video Database'!L:L,'Video Database'!H:H,"")</f>
        <v>0.7337</v>
      </c>
      <c r="F998" s="101">
        <v>18.85</v>
      </c>
      <c r="G998" s="87">
        <v>1.0</v>
      </c>
      <c r="H998" s="114">
        <f t="array" ref="H998">_xlfn.XLOOKUP(A998,'Video Database'!L:L,'Video Database'!A:A,"")</f>
        <v>46199</v>
      </c>
      <c r="I998" s="103">
        <v>46209.0</v>
      </c>
      <c r="J998" s="104">
        <v>4.35</v>
      </c>
      <c r="K998" s="87">
        <v>5.0</v>
      </c>
      <c r="L998" s="105">
        <f t="shared" si="1"/>
        <v>832</v>
      </c>
      <c r="M998" s="87">
        <v>832.0</v>
      </c>
      <c r="O998" s="106">
        <f t="shared" si="2"/>
        <v>0.006009615385</v>
      </c>
      <c r="P998" s="106">
        <f t="shared" si="3"/>
        <v>0.2</v>
      </c>
      <c r="Q998" s="84">
        <f t="shared" si="4"/>
        <v>4.35</v>
      </c>
      <c r="R998" s="84">
        <f t="shared" si="5"/>
        <v>18.85</v>
      </c>
      <c r="S998" s="107">
        <f t="shared" si="6"/>
        <v>3.6163</v>
      </c>
      <c r="T998" s="108">
        <f t="shared" si="7"/>
        <v>4.928853755</v>
      </c>
      <c r="U998" s="106">
        <f t="shared" si="8"/>
        <v>0.8313333333</v>
      </c>
      <c r="V998" s="129">
        <f t="shared" si="9"/>
        <v>0.7337</v>
      </c>
      <c r="W998" s="109">
        <f t="shared" si="10"/>
        <v>0.14674</v>
      </c>
      <c r="X998" s="109">
        <f t="shared" si="11"/>
        <v>3.892307692</v>
      </c>
      <c r="Y998" s="110" t="str">
        <f t="array" ref="Y998">_xlfn.XLOOKUP(A998,'Video Database'!L:L,'Video Database'!M:M,"")</f>
        <v>Bottom of Funnel</v>
      </c>
    </row>
    <row r="999" ht="22.5" customHeight="1">
      <c r="A999" s="113">
        <f t="shared" si="12"/>
        <v>998</v>
      </c>
      <c r="B999" s="98" t="str">
        <f t="array" ref="B999">_xlfn.XLOOKUP(A999,'Video Database'!L:L,'Video Database'!D:D,"")</f>
        <v>Blakely</v>
      </c>
      <c r="C999" s="98" t="str">
        <f t="array" ref="C999">_xlfn.XLOOKUP(A999,'Video Database'!L:L,'Video Database'!E:E,"")</f>
        <v>Account 1</v>
      </c>
      <c r="D999" s="99" t="str">
        <f t="array" ref="D999">_xlfn.XLOOKUP(A999,'Video Database'!L:L,'Video Database'!G:G,"")</f>
        <v>tarte CC Color-Correct Tinted Serum</v>
      </c>
      <c r="E999" s="100">
        <f t="array" ref="E999">_xlfn.XLOOKUP(A999,'Video Database'!L:L,'Video Database'!H:H,"")</f>
        <v>0.11</v>
      </c>
      <c r="F999" s="101">
        <v>0.0</v>
      </c>
      <c r="G999" s="87">
        <v>0.0</v>
      </c>
      <c r="H999" s="114">
        <f t="array" ref="H999">_xlfn.XLOOKUP(A999,'Video Database'!L:L,'Video Database'!A:A,"")</f>
        <v>46199</v>
      </c>
      <c r="I999" s="103">
        <v>46201.0</v>
      </c>
      <c r="J999" s="104">
        <v>0.0</v>
      </c>
      <c r="K999" s="105"/>
      <c r="L999" s="105" t="str">
        <f t="shared" si="1"/>
        <v/>
      </c>
      <c r="O999" s="106" t="str">
        <f t="shared" si="2"/>
        <v>#N/A</v>
      </c>
      <c r="P999" s="106" t="str">
        <f t="shared" si="3"/>
        <v>#N/A</v>
      </c>
      <c r="Q999" s="84" t="str">
        <f t="shared" si="4"/>
        <v>#N/A</v>
      </c>
      <c r="R999" s="84" t="str">
        <f t="shared" si="5"/>
        <v>#N/A</v>
      </c>
      <c r="S999" s="107">
        <f t="shared" si="6"/>
        <v>-0.11</v>
      </c>
      <c r="T999" s="108">
        <f t="shared" si="7"/>
        <v>-1</v>
      </c>
      <c r="U999" s="106" t="str">
        <f t="shared" si="8"/>
        <v>#N/A</v>
      </c>
      <c r="V999" s="84" t="str">
        <f t="shared" si="9"/>
        <v/>
      </c>
      <c r="W999" s="109" t="str">
        <f t="shared" si="10"/>
        <v/>
      </c>
      <c r="X999" s="109" t="str">
        <f t="shared" si="11"/>
        <v/>
      </c>
      <c r="Y999" s="110" t="str">
        <f t="array" ref="Y999">_xlfn.XLOOKUP(A999,'Video Database'!L:L,'Video Database'!M:M,"")</f>
        <v>Product Overlay</v>
      </c>
    </row>
    <row r="1000" ht="22.5" customHeight="1">
      <c r="A1000" s="113">
        <f t="shared" si="12"/>
        <v>999</v>
      </c>
      <c r="B1000" s="98" t="str">
        <f t="array" ref="B1000">_xlfn.XLOOKUP(A1000,'Video Database'!L:L,'Video Database'!D:D,"")</f>
        <v>Blakely</v>
      </c>
      <c r="C1000" s="98" t="str">
        <f t="array" ref="C1000">_xlfn.XLOOKUP(A1000,'Video Database'!L:L,'Video Database'!E:E,"")</f>
        <v>Account 1</v>
      </c>
      <c r="D1000" s="99" t="str">
        <f t="array" ref="D1000">_xlfn.XLOOKUP(A1000,'Video Database'!L:L,'Video Database'!G:G,"")</f>
        <v>tarte CC Color-Correct Tinted Serum</v>
      </c>
      <c r="E1000" s="100">
        <f t="array" ref="E1000">_xlfn.XLOOKUP(A1000,'Video Database'!L:L,'Video Database'!H:H,"")</f>
        <v>0.11</v>
      </c>
      <c r="F1000" s="101">
        <v>0.0</v>
      </c>
      <c r="G1000" s="87">
        <v>0.0</v>
      </c>
      <c r="H1000" s="114">
        <f t="array" ref="H1000">_xlfn.XLOOKUP(A1000,'Video Database'!L:L,'Video Database'!A:A,"")</f>
        <v>46199</v>
      </c>
      <c r="I1000" s="103">
        <v>46201.0</v>
      </c>
      <c r="J1000" s="104">
        <v>0.0</v>
      </c>
      <c r="K1000" s="105"/>
      <c r="L1000" s="105" t="str">
        <f t="shared" si="1"/>
        <v/>
      </c>
      <c r="O1000" s="106" t="str">
        <f t="shared" si="2"/>
        <v>#N/A</v>
      </c>
      <c r="P1000" s="106" t="str">
        <f t="shared" si="3"/>
        <v>#N/A</v>
      </c>
      <c r="Q1000" s="84" t="str">
        <f t="shared" si="4"/>
        <v>#N/A</v>
      </c>
      <c r="R1000" s="84" t="str">
        <f t="shared" si="5"/>
        <v>#N/A</v>
      </c>
      <c r="S1000" s="107">
        <f t="shared" si="6"/>
        <v>-0.11</v>
      </c>
      <c r="T1000" s="108">
        <f t="shared" si="7"/>
        <v>-1</v>
      </c>
      <c r="U1000" s="106" t="str">
        <f t="shared" si="8"/>
        <v>#N/A</v>
      </c>
      <c r="V1000" s="84" t="str">
        <f t="shared" si="9"/>
        <v/>
      </c>
      <c r="W1000" s="109" t="str">
        <f t="shared" si="10"/>
        <v/>
      </c>
      <c r="X1000" s="109" t="str">
        <f t="shared" si="11"/>
        <v/>
      </c>
      <c r="Y1000" s="110" t="str">
        <f t="array" ref="Y1000">_xlfn.XLOOKUP(A1000,'Video Database'!L:L,'Video Database'!M:M,"")</f>
        <v>Product Overlay</v>
      </c>
    </row>
    <row r="1001" ht="22.5" customHeight="1">
      <c r="A1001" s="113">
        <f t="shared" si="12"/>
        <v>1000</v>
      </c>
      <c r="B1001" s="98" t="str">
        <f t="array" ref="B1001">_xlfn.XLOOKUP(A1001,'Video Database'!L:L,'Video Database'!D:D,"")</f>
        <v>Erin</v>
      </c>
      <c r="C1001" s="98" t="str">
        <f t="array" ref="C1001">_xlfn.XLOOKUP(A1001,'Video Database'!L:L,'Video Database'!E:E,"")</f>
        <v>Account 1</v>
      </c>
      <c r="D1001" s="99" t="str">
        <f t="array" ref="D1001">_xlfn.XLOOKUP(A1001,'Video Database'!L:L,'Video Database'!G:G,"")</f>
        <v>Color Wow Quick Refresh and Styling Bundle</v>
      </c>
      <c r="E1001" s="100">
        <f t="array" ref="E1001">_xlfn.XLOOKUP(A1001,'Video Database'!L:L,'Video Database'!H:H,"")</f>
        <v>0.7337</v>
      </c>
      <c r="F1001" s="101">
        <v>0.0</v>
      </c>
      <c r="G1001" s="87">
        <v>0.0</v>
      </c>
      <c r="H1001" s="114">
        <f t="array" ref="H1001">_xlfn.XLOOKUP(A1001,'Video Database'!L:L,'Video Database'!A:A,"")</f>
        <v>46199</v>
      </c>
      <c r="I1001" s="103">
        <v>46201.0</v>
      </c>
      <c r="J1001" s="104">
        <v>0.0</v>
      </c>
      <c r="K1001" s="105"/>
      <c r="L1001" s="105" t="str">
        <f t="shared" si="1"/>
        <v/>
      </c>
      <c r="O1001" s="106" t="str">
        <f t="shared" si="2"/>
        <v>#N/A</v>
      </c>
      <c r="P1001" s="106" t="str">
        <f t="shared" si="3"/>
        <v>#N/A</v>
      </c>
      <c r="Q1001" s="84" t="str">
        <f t="shared" si="4"/>
        <v>#N/A</v>
      </c>
      <c r="R1001" s="84" t="str">
        <f t="shared" si="5"/>
        <v>#N/A</v>
      </c>
      <c r="S1001" s="107">
        <f t="shared" si="6"/>
        <v>-0.7337</v>
      </c>
      <c r="T1001" s="108">
        <f t="shared" si="7"/>
        <v>-1</v>
      </c>
      <c r="U1001" s="106" t="str">
        <f t="shared" si="8"/>
        <v>#N/A</v>
      </c>
      <c r="V1001" s="84" t="str">
        <f t="shared" si="9"/>
        <v/>
      </c>
      <c r="W1001" s="109" t="str">
        <f t="shared" si="10"/>
        <v/>
      </c>
      <c r="X1001" s="109" t="str">
        <f t="shared" si="11"/>
        <v/>
      </c>
      <c r="Y1001" s="110" t="str">
        <f t="array" ref="Y1001">_xlfn.XLOOKUP(A1001,'Video Database'!L:L,'Video Database'!M:M,"")</f>
        <v>Bottom of Funnel</v>
      </c>
    </row>
    <row r="1002" ht="22.5" customHeight="1">
      <c r="A1002" s="113">
        <f t="shared" si="12"/>
        <v>1001</v>
      </c>
      <c r="B1002" s="98" t="str">
        <f t="array" ref="B1002">_xlfn.XLOOKUP(A1002,'Video Database'!L:L,'Video Database'!D:D,"")</f>
        <v>Blakely</v>
      </c>
      <c r="C1002" s="98" t="str">
        <f t="array" ref="C1002">_xlfn.XLOOKUP(A1002,'Video Database'!L:L,'Video Database'!E:E,"")</f>
        <v>Account 1</v>
      </c>
      <c r="D1002" s="99" t="str">
        <f t="array" ref="D1002">_xlfn.XLOOKUP(A1002,'Video Database'!L:L,'Video Database'!G:G,"")</f>
        <v>BetterAlt Shilajit Honey Sticks</v>
      </c>
      <c r="E1002" s="100">
        <f t="array" ref="E1002">_xlfn.XLOOKUP(A1002,'Video Database'!L:L,'Video Database'!H:H,"")</f>
        <v>0.11</v>
      </c>
      <c r="F1002" s="101">
        <v>0.0</v>
      </c>
      <c r="G1002" s="87">
        <v>0.0</v>
      </c>
      <c r="H1002" s="114">
        <f t="array" ref="H1002">_xlfn.XLOOKUP(A1002,'Video Database'!L:L,'Video Database'!A:A,"")</f>
        <v>46199</v>
      </c>
      <c r="I1002" s="103">
        <v>46201.0</v>
      </c>
      <c r="J1002" s="104">
        <v>0.0</v>
      </c>
      <c r="K1002" s="105"/>
      <c r="L1002" s="105" t="str">
        <f t="shared" si="1"/>
        <v/>
      </c>
      <c r="O1002" s="106" t="str">
        <f t="shared" si="2"/>
        <v>#N/A</v>
      </c>
      <c r="P1002" s="106" t="str">
        <f t="shared" si="3"/>
        <v>#N/A</v>
      </c>
      <c r="Q1002" s="84" t="str">
        <f t="shared" si="4"/>
        <v>#N/A</v>
      </c>
      <c r="R1002" s="84" t="str">
        <f t="shared" si="5"/>
        <v>#N/A</v>
      </c>
      <c r="S1002" s="107">
        <f t="shared" si="6"/>
        <v>-0.11</v>
      </c>
      <c r="T1002" s="108">
        <f t="shared" si="7"/>
        <v>-1</v>
      </c>
      <c r="U1002" s="106" t="str">
        <f t="shared" si="8"/>
        <v>#N/A</v>
      </c>
      <c r="V1002" s="84" t="str">
        <f t="shared" si="9"/>
        <v/>
      </c>
      <c r="W1002" s="109" t="str">
        <f t="shared" si="10"/>
        <v/>
      </c>
      <c r="X1002" s="109" t="str">
        <f t="shared" si="11"/>
        <v/>
      </c>
      <c r="Y1002" s="110" t="str">
        <f t="array" ref="Y1002">_xlfn.XLOOKUP(A1002,'Video Database'!L:L,'Video Database'!M:M,"")</f>
        <v>Product Overlay</v>
      </c>
    </row>
    <row r="1003" ht="22.5" customHeight="1">
      <c r="A1003" s="113">
        <f t="shared" si="12"/>
        <v>1002</v>
      </c>
      <c r="B1003" s="98" t="str">
        <f t="array" ref="B1003">_xlfn.XLOOKUP(A1003,'Video Database'!L:L,'Video Database'!D:D,"")</f>
        <v>Erin</v>
      </c>
      <c r="C1003" s="98" t="str">
        <f t="array" ref="C1003">_xlfn.XLOOKUP(A1003,'Video Database'!L:L,'Video Database'!E:E,"")</f>
        <v>Account 1</v>
      </c>
      <c r="D1003" s="99" t="str">
        <f t="array" ref="D1003">_xlfn.XLOOKUP(A1003,'Video Database'!L:L,'Video Database'!G:G,"")</f>
        <v>Camellia Deep Collagen Lifting Gel Mask</v>
      </c>
      <c r="E1003" s="100">
        <f t="array" ref="E1003">_xlfn.XLOOKUP(A1003,'Video Database'!L:L,'Video Database'!H:H,"")</f>
        <v>0.7337</v>
      </c>
      <c r="F1003" s="101">
        <v>23.51</v>
      </c>
      <c r="G1003" s="87">
        <v>1.0</v>
      </c>
      <c r="H1003" s="114">
        <f t="array" ref="H1003">_xlfn.XLOOKUP(A1003,'Video Database'!L:L,'Video Database'!A:A,"")</f>
        <v>46199</v>
      </c>
      <c r="I1003" s="103">
        <v>46209.0</v>
      </c>
      <c r="J1003" s="104">
        <v>2.93</v>
      </c>
      <c r="K1003" s="87">
        <v>1.0</v>
      </c>
      <c r="L1003" s="105">
        <f t="shared" si="1"/>
        <v>15</v>
      </c>
      <c r="M1003" s="87">
        <v>15.0</v>
      </c>
      <c r="O1003" s="106">
        <f t="shared" si="2"/>
        <v>0.06666666667</v>
      </c>
      <c r="P1003" s="106">
        <f t="shared" si="3"/>
        <v>1</v>
      </c>
      <c r="Q1003" s="84">
        <f t="shared" si="4"/>
        <v>2.93</v>
      </c>
      <c r="R1003" s="84">
        <f t="shared" si="5"/>
        <v>23.51</v>
      </c>
      <c r="S1003" s="107">
        <f t="shared" si="6"/>
        <v>2.1963</v>
      </c>
      <c r="T1003" s="108">
        <f t="shared" si="7"/>
        <v>2.993457817</v>
      </c>
      <c r="U1003" s="106">
        <f t="shared" si="8"/>
        <v>0.7495904437</v>
      </c>
      <c r="V1003" s="129">
        <f t="shared" si="9"/>
        <v>0.7337</v>
      </c>
      <c r="W1003" s="109">
        <f t="shared" si="10"/>
        <v>0.7337</v>
      </c>
      <c r="X1003" s="109">
        <f t="shared" si="11"/>
        <v>3.12079966</v>
      </c>
      <c r="Y1003" s="110" t="str">
        <f t="array" ref="Y1003">_xlfn.XLOOKUP(A1003,'Video Database'!L:L,'Video Database'!M:M,"")</f>
        <v>Bottom of Funnel</v>
      </c>
    </row>
    <row r="1004" ht="22.5" customHeight="1">
      <c r="A1004" s="113">
        <f t="shared" si="12"/>
        <v>1003</v>
      </c>
      <c r="B1004" s="98" t="str">
        <f t="array" ref="B1004">_xlfn.XLOOKUP(A1004,'Video Database'!L:L,'Video Database'!D:D,"")</f>
        <v>Blakely</v>
      </c>
      <c r="C1004" s="98" t="str">
        <f t="array" ref="C1004">_xlfn.XLOOKUP(A1004,'Video Database'!L:L,'Video Database'!E:E,"")</f>
        <v>Account 2</v>
      </c>
      <c r="D1004" s="99" t="str">
        <f t="array" ref="D1004">_xlfn.XLOOKUP(A1004,'Video Database'!L:L,'Video Database'!G:G,"")</f>
        <v>tarte CC Color-Correct Tinted Serum</v>
      </c>
      <c r="E1004" s="100">
        <f t="array" ref="E1004">_xlfn.XLOOKUP(A1004,'Video Database'!L:L,'Video Database'!H:H,"")</f>
        <v>0.11</v>
      </c>
      <c r="F1004" s="101">
        <v>0.0</v>
      </c>
      <c r="G1004" s="87">
        <v>0.0</v>
      </c>
      <c r="H1004" s="114">
        <f t="array" ref="H1004">_xlfn.XLOOKUP(A1004,'Video Database'!L:L,'Video Database'!A:A,"")</f>
        <v>46199</v>
      </c>
      <c r="I1004" s="103">
        <v>46201.0</v>
      </c>
      <c r="J1004" s="104">
        <v>0.0</v>
      </c>
      <c r="K1004" s="105"/>
      <c r="L1004" s="105" t="str">
        <f t="shared" si="1"/>
        <v/>
      </c>
      <c r="O1004" s="106" t="str">
        <f t="shared" si="2"/>
        <v>#N/A</v>
      </c>
      <c r="P1004" s="106" t="str">
        <f t="shared" si="3"/>
        <v>#N/A</v>
      </c>
      <c r="Q1004" s="84" t="str">
        <f t="shared" si="4"/>
        <v>#N/A</v>
      </c>
      <c r="R1004" s="84" t="str">
        <f t="shared" si="5"/>
        <v>#N/A</v>
      </c>
      <c r="S1004" s="107">
        <f t="shared" si="6"/>
        <v>-0.11</v>
      </c>
      <c r="T1004" s="108">
        <f t="shared" si="7"/>
        <v>-1</v>
      </c>
      <c r="U1004" s="106" t="str">
        <f t="shared" si="8"/>
        <v>#N/A</v>
      </c>
      <c r="V1004" s="84" t="str">
        <f t="shared" si="9"/>
        <v/>
      </c>
      <c r="W1004" s="109" t="str">
        <f t="shared" si="10"/>
        <v/>
      </c>
      <c r="X1004" s="109" t="str">
        <f t="shared" si="11"/>
        <v/>
      </c>
      <c r="Y1004" s="110" t="str">
        <f t="array" ref="Y1004">_xlfn.XLOOKUP(A1004,'Video Database'!L:L,'Video Database'!M:M,"")</f>
        <v>Product Overlay</v>
      </c>
    </row>
    <row r="1005" ht="22.5" customHeight="1">
      <c r="A1005" s="113">
        <f t="shared" si="12"/>
        <v>1004</v>
      </c>
      <c r="B1005" s="98" t="str">
        <f t="array" ref="B1005">_xlfn.XLOOKUP(A1005,'Video Database'!L:L,'Video Database'!D:D,"")</f>
        <v>Blakely</v>
      </c>
      <c r="C1005" s="98" t="str">
        <f t="array" ref="C1005">_xlfn.XLOOKUP(A1005,'Video Database'!L:L,'Video Database'!E:E,"")</f>
        <v>Account 2</v>
      </c>
      <c r="D1005" s="99" t="str">
        <f t="array" ref="D1005">_xlfn.XLOOKUP(A1005,'Video Database'!L:L,'Video Database'!G:G,"")</f>
        <v>Nutricost Creatine Monohydrate</v>
      </c>
      <c r="E1005" s="100">
        <f t="array" ref="E1005">_xlfn.XLOOKUP(A1005,'Video Database'!L:L,'Video Database'!H:H,"")</f>
        <v>0.11</v>
      </c>
      <c r="F1005" s="101">
        <v>0.0</v>
      </c>
      <c r="G1005" s="87">
        <v>0.0</v>
      </c>
      <c r="H1005" s="114">
        <f t="array" ref="H1005">_xlfn.XLOOKUP(A1005,'Video Database'!L:L,'Video Database'!A:A,"")</f>
        <v>46199</v>
      </c>
      <c r="I1005" s="103">
        <v>46201.0</v>
      </c>
      <c r="J1005" s="104">
        <v>0.0</v>
      </c>
      <c r="K1005" s="105"/>
      <c r="L1005" s="105" t="str">
        <f t="shared" si="1"/>
        <v/>
      </c>
      <c r="O1005" s="106" t="str">
        <f t="shared" si="2"/>
        <v>#N/A</v>
      </c>
      <c r="P1005" s="106" t="str">
        <f t="shared" si="3"/>
        <v>#N/A</v>
      </c>
      <c r="Q1005" s="84" t="str">
        <f t="shared" si="4"/>
        <v>#N/A</v>
      </c>
      <c r="R1005" s="84" t="str">
        <f t="shared" si="5"/>
        <v>#N/A</v>
      </c>
      <c r="S1005" s="107">
        <f t="shared" si="6"/>
        <v>-0.11</v>
      </c>
      <c r="T1005" s="108">
        <f t="shared" si="7"/>
        <v>-1</v>
      </c>
      <c r="U1005" s="106" t="str">
        <f t="shared" si="8"/>
        <v>#N/A</v>
      </c>
      <c r="V1005" s="84" t="str">
        <f t="shared" si="9"/>
        <v/>
      </c>
      <c r="W1005" s="109" t="str">
        <f t="shared" si="10"/>
        <v/>
      </c>
      <c r="X1005" s="109" t="str">
        <f t="shared" si="11"/>
        <v/>
      </c>
      <c r="Y1005" s="110" t="str">
        <f t="array" ref="Y1005">_xlfn.XLOOKUP(A1005,'Video Database'!L:L,'Video Database'!M:M,"")</f>
        <v>Bottom of Funnel</v>
      </c>
    </row>
    <row r="1006" ht="22.5" customHeight="1">
      <c r="A1006" s="113">
        <f t="shared" si="12"/>
        <v>1005</v>
      </c>
      <c r="B1006" s="98" t="str">
        <f t="array" ref="B1006">_xlfn.XLOOKUP(A1006,'Video Database'!L:L,'Video Database'!D:D,"")</f>
        <v>Blakely</v>
      </c>
      <c r="C1006" s="98" t="str">
        <f t="array" ref="C1006">_xlfn.XLOOKUP(A1006,'Video Database'!L:L,'Video Database'!E:E,"")</f>
        <v>Account 2</v>
      </c>
      <c r="D1006" s="99" t="str">
        <f t="array" ref="D1006">_xlfn.XLOOKUP(A1006,'Video Database'!L:L,'Video Database'!G:G,"")</f>
        <v>Nutricost Caffine Capsules</v>
      </c>
      <c r="E1006" s="100">
        <f t="array" ref="E1006">_xlfn.XLOOKUP(A1006,'Video Database'!L:L,'Video Database'!H:H,"")</f>
        <v>0.11</v>
      </c>
      <c r="F1006" s="101">
        <v>0.0</v>
      </c>
      <c r="G1006" s="87">
        <v>0.0</v>
      </c>
      <c r="H1006" s="114">
        <f t="array" ref="H1006">_xlfn.XLOOKUP(A1006,'Video Database'!L:L,'Video Database'!A:A,"")</f>
        <v>46199</v>
      </c>
      <c r="I1006" s="103">
        <v>46201.0</v>
      </c>
      <c r="J1006" s="104">
        <v>0.0</v>
      </c>
      <c r="K1006" s="105"/>
      <c r="L1006" s="105" t="str">
        <f t="shared" si="1"/>
        <v/>
      </c>
      <c r="O1006" s="106" t="str">
        <f t="shared" si="2"/>
        <v>#N/A</v>
      </c>
      <c r="P1006" s="106" t="str">
        <f t="shared" si="3"/>
        <v>#N/A</v>
      </c>
      <c r="Q1006" s="84" t="str">
        <f t="shared" si="4"/>
        <v>#N/A</v>
      </c>
      <c r="R1006" s="84" t="str">
        <f t="shared" si="5"/>
        <v>#N/A</v>
      </c>
      <c r="S1006" s="107">
        <f t="shared" si="6"/>
        <v>-0.11</v>
      </c>
      <c r="T1006" s="108">
        <f t="shared" si="7"/>
        <v>-1</v>
      </c>
      <c r="U1006" s="106" t="str">
        <f t="shared" si="8"/>
        <v>#N/A</v>
      </c>
      <c r="V1006" s="84" t="str">
        <f t="shared" si="9"/>
        <v/>
      </c>
      <c r="W1006" s="109" t="str">
        <f t="shared" si="10"/>
        <v/>
      </c>
      <c r="X1006" s="109" t="str">
        <f t="shared" si="11"/>
        <v/>
      </c>
      <c r="Y1006" s="110" t="str">
        <f t="array" ref="Y1006">_xlfn.XLOOKUP(A1006,'Video Database'!L:L,'Video Database'!M:M,"")</f>
        <v>Product Overlay</v>
      </c>
    </row>
    <row r="1007" ht="22.5" customHeight="1">
      <c r="A1007" s="113">
        <f t="shared" si="12"/>
        <v>1006</v>
      </c>
      <c r="B1007" s="98" t="str">
        <f t="array" ref="B1007">_xlfn.XLOOKUP(A1007,'Video Database'!L:L,'Video Database'!D:D,"")</f>
        <v>Blakely</v>
      </c>
      <c r="C1007" s="98" t="str">
        <f t="array" ref="C1007">_xlfn.XLOOKUP(A1007,'Video Database'!L:L,'Video Database'!E:E,"")</f>
        <v>Account 2</v>
      </c>
      <c r="D1007" s="99" t="str">
        <f t="array" ref="D1007">_xlfn.XLOOKUP(A1007,'Video Database'!L:L,'Video Database'!G:G,"")</f>
        <v>Beast Bites Creatine Gummies</v>
      </c>
      <c r="E1007" s="100">
        <f t="array" ref="E1007">_xlfn.XLOOKUP(A1007,'Video Database'!L:L,'Video Database'!H:H,"")</f>
        <v>0.11</v>
      </c>
      <c r="F1007" s="101">
        <v>0.0</v>
      </c>
      <c r="G1007" s="87">
        <v>0.0</v>
      </c>
      <c r="H1007" s="114">
        <f t="array" ref="H1007">_xlfn.XLOOKUP(A1007,'Video Database'!L:L,'Video Database'!A:A,"")</f>
        <v>46199</v>
      </c>
      <c r="I1007" s="103">
        <v>46201.0</v>
      </c>
      <c r="J1007" s="104">
        <v>0.0</v>
      </c>
      <c r="K1007" s="105"/>
      <c r="L1007" s="105" t="str">
        <f t="shared" si="1"/>
        <v/>
      </c>
      <c r="O1007" s="106" t="str">
        <f t="shared" si="2"/>
        <v>#N/A</v>
      </c>
      <c r="P1007" s="106" t="str">
        <f t="shared" si="3"/>
        <v>#N/A</v>
      </c>
      <c r="Q1007" s="84" t="str">
        <f t="shared" si="4"/>
        <v>#N/A</v>
      </c>
      <c r="R1007" s="84" t="str">
        <f t="shared" si="5"/>
        <v>#N/A</v>
      </c>
      <c r="S1007" s="107">
        <f t="shared" si="6"/>
        <v>-0.11</v>
      </c>
      <c r="T1007" s="108">
        <f t="shared" si="7"/>
        <v>-1</v>
      </c>
      <c r="U1007" s="106" t="str">
        <f t="shared" si="8"/>
        <v>#N/A</v>
      </c>
      <c r="V1007" s="84" t="str">
        <f t="shared" si="9"/>
        <v/>
      </c>
      <c r="W1007" s="109" t="str">
        <f t="shared" si="10"/>
        <v/>
      </c>
      <c r="X1007" s="109" t="str">
        <f t="shared" si="11"/>
        <v/>
      </c>
      <c r="Y1007" s="110" t="str">
        <f t="array" ref="Y1007">_xlfn.XLOOKUP(A1007,'Video Database'!L:L,'Video Database'!M:M,"")</f>
        <v>Bottom of Funnel</v>
      </c>
    </row>
    <row r="1008" ht="22.5" customHeight="1">
      <c r="A1008" s="113">
        <f t="shared" si="12"/>
        <v>1007</v>
      </c>
      <c r="B1008" s="98" t="str">
        <f t="array" ref="B1008">_xlfn.XLOOKUP(A1008,'Video Database'!L:L,'Video Database'!D:D,"")</f>
        <v>Erin</v>
      </c>
      <c r="C1008" s="98" t="str">
        <f t="array" ref="C1008">_xlfn.XLOOKUP(A1008,'Video Database'!L:L,'Video Database'!E:E,"")</f>
        <v>Account 2</v>
      </c>
      <c r="D1008" s="99" t="str">
        <f t="array" ref="D1008">_xlfn.XLOOKUP(A1008,'Video Database'!L:L,'Video Database'!G:G,"")</f>
        <v>Camellia Deep Collagen Lifting Gel Mask</v>
      </c>
      <c r="E1008" s="100">
        <f t="array" ref="E1008">_xlfn.XLOOKUP(A1008,'Video Database'!L:L,'Video Database'!H:H,"")</f>
        <v>0.7337</v>
      </c>
      <c r="F1008" s="101">
        <v>0.0</v>
      </c>
      <c r="G1008" s="87">
        <v>0.0</v>
      </c>
      <c r="H1008" s="114">
        <f t="array" ref="H1008">_xlfn.XLOOKUP(A1008,'Video Database'!L:L,'Video Database'!A:A,"")</f>
        <v>46199</v>
      </c>
      <c r="I1008" s="103">
        <v>46201.0</v>
      </c>
      <c r="J1008" s="104">
        <v>0.0</v>
      </c>
      <c r="K1008" s="105"/>
      <c r="L1008" s="105" t="str">
        <f t="shared" si="1"/>
        <v/>
      </c>
      <c r="O1008" s="106" t="str">
        <f t="shared" si="2"/>
        <v>#N/A</v>
      </c>
      <c r="P1008" s="106" t="str">
        <f t="shared" si="3"/>
        <v>#N/A</v>
      </c>
      <c r="Q1008" s="84" t="str">
        <f t="shared" si="4"/>
        <v>#N/A</v>
      </c>
      <c r="R1008" s="84" t="str">
        <f t="shared" si="5"/>
        <v>#N/A</v>
      </c>
      <c r="S1008" s="107">
        <f t="shared" si="6"/>
        <v>-0.7337</v>
      </c>
      <c r="T1008" s="108">
        <f t="shared" si="7"/>
        <v>-1</v>
      </c>
      <c r="U1008" s="106" t="str">
        <f t="shared" si="8"/>
        <v>#N/A</v>
      </c>
      <c r="V1008" s="84" t="str">
        <f t="shared" si="9"/>
        <v/>
      </c>
      <c r="W1008" s="109" t="str">
        <f t="shared" si="10"/>
        <v/>
      </c>
      <c r="X1008" s="109" t="str">
        <f t="shared" si="11"/>
        <v/>
      </c>
      <c r="Y1008" s="110" t="str">
        <f t="array" ref="Y1008">_xlfn.XLOOKUP(A1008,'Video Database'!L:L,'Video Database'!M:M,"")</f>
        <v>Bottom of Funnel</v>
      </c>
    </row>
    <row r="1009" ht="22.5" customHeight="1">
      <c r="A1009" s="113">
        <f t="shared" si="12"/>
        <v>1008</v>
      </c>
      <c r="B1009" s="98" t="str">
        <f t="array" ref="B1009">_xlfn.XLOOKUP(A1009,'Video Database'!L:L,'Video Database'!D:D,"")</f>
        <v>Blakely</v>
      </c>
      <c r="C1009" s="98" t="str">
        <f t="array" ref="C1009">_xlfn.XLOOKUP(A1009,'Video Database'!L:L,'Video Database'!E:E,"")</f>
        <v>Account 2</v>
      </c>
      <c r="D1009" s="99" t="str">
        <f t="array" ref="D1009">_xlfn.XLOOKUP(A1009,'Video Database'!L:L,'Video Database'!G:G,"")</f>
        <v>tarte CC Color-Correct Tinted Serum</v>
      </c>
      <c r="E1009" s="100">
        <f t="array" ref="E1009">_xlfn.XLOOKUP(A1009,'Video Database'!L:L,'Video Database'!H:H,"")</f>
        <v>0.11</v>
      </c>
      <c r="F1009" s="101">
        <v>0.0</v>
      </c>
      <c r="G1009" s="87">
        <v>0.0</v>
      </c>
      <c r="H1009" s="114">
        <f t="array" ref="H1009">_xlfn.XLOOKUP(A1009,'Video Database'!L:L,'Video Database'!A:A,"")</f>
        <v>46199</v>
      </c>
      <c r="I1009" s="103">
        <v>46201.0</v>
      </c>
      <c r="J1009" s="104">
        <v>0.0</v>
      </c>
      <c r="K1009" s="105"/>
      <c r="L1009" s="105" t="str">
        <f t="shared" si="1"/>
        <v/>
      </c>
      <c r="O1009" s="106" t="str">
        <f t="shared" si="2"/>
        <v>#N/A</v>
      </c>
      <c r="P1009" s="106" t="str">
        <f t="shared" si="3"/>
        <v>#N/A</v>
      </c>
      <c r="Q1009" s="84" t="str">
        <f t="shared" si="4"/>
        <v>#N/A</v>
      </c>
      <c r="R1009" s="84" t="str">
        <f t="shared" si="5"/>
        <v>#N/A</v>
      </c>
      <c r="S1009" s="107">
        <f t="shared" si="6"/>
        <v>-0.11</v>
      </c>
      <c r="T1009" s="108">
        <f t="shared" si="7"/>
        <v>-1</v>
      </c>
      <c r="U1009" s="106" t="str">
        <f t="shared" si="8"/>
        <v>#N/A</v>
      </c>
      <c r="V1009" s="84" t="str">
        <f t="shared" si="9"/>
        <v/>
      </c>
      <c r="W1009" s="109" t="str">
        <f t="shared" si="10"/>
        <v/>
      </c>
      <c r="X1009" s="109" t="str">
        <f t="shared" si="11"/>
        <v/>
      </c>
      <c r="Y1009" s="110" t="str">
        <f t="array" ref="Y1009">_xlfn.XLOOKUP(A1009,'Video Database'!L:L,'Video Database'!M:M,"")</f>
        <v>Product Overlay</v>
      </c>
    </row>
    <row r="1010" ht="22.5" customHeight="1">
      <c r="A1010" s="113">
        <f t="shared" si="12"/>
        <v>1009</v>
      </c>
      <c r="B1010" s="98" t="str">
        <f t="array" ref="B1010">_xlfn.XLOOKUP(A1010,'Video Database'!L:L,'Video Database'!D:D,"")</f>
        <v>Erin</v>
      </c>
      <c r="C1010" s="98" t="str">
        <f t="array" ref="C1010">_xlfn.XLOOKUP(A1010,'Video Database'!L:L,'Video Database'!E:E,"")</f>
        <v>Account 2</v>
      </c>
      <c r="D1010" s="99" t="str">
        <f t="array" ref="D1010">_xlfn.XLOOKUP(A1010,'Video Database'!L:L,'Video Database'!G:G,"")</f>
        <v>Medicube Kojic Accid Tumeric Power Duo</v>
      </c>
      <c r="E1010" s="100">
        <f t="array" ref="E1010">_xlfn.XLOOKUP(A1010,'Video Database'!L:L,'Video Database'!H:H,"")</f>
        <v>0.7337</v>
      </c>
      <c r="F1010" s="101">
        <v>0.0</v>
      </c>
      <c r="G1010" s="87">
        <v>0.0</v>
      </c>
      <c r="H1010" s="114">
        <f t="array" ref="H1010">_xlfn.XLOOKUP(A1010,'Video Database'!L:L,'Video Database'!A:A,"")</f>
        <v>46199</v>
      </c>
      <c r="I1010" s="103">
        <v>46201.0</v>
      </c>
      <c r="J1010" s="104">
        <v>0.0</v>
      </c>
      <c r="K1010" s="105"/>
      <c r="L1010" s="105" t="str">
        <f t="shared" si="1"/>
        <v/>
      </c>
      <c r="O1010" s="106" t="str">
        <f t="shared" si="2"/>
        <v>#N/A</v>
      </c>
      <c r="P1010" s="106" t="str">
        <f t="shared" si="3"/>
        <v>#N/A</v>
      </c>
      <c r="Q1010" s="84" t="str">
        <f t="shared" si="4"/>
        <v>#N/A</v>
      </c>
      <c r="R1010" s="84" t="str">
        <f t="shared" si="5"/>
        <v>#N/A</v>
      </c>
      <c r="S1010" s="107">
        <f t="shared" si="6"/>
        <v>-0.7337</v>
      </c>
      <c r="T1010" s="108">
        <f t="shared" si="7"/>
        <v>-1</v>
      </c>
      <c r="U1010" s="106" t="str">
        <f t="shared" si="8"/>
        <v>#N/A</v>
      </c>
      <c r="V1010" s="84" t="str">
        <f t="shared" si="9"/>
        <v/>
      </c>
      <c r="W1010" s="109" t="str">
        <f t="shared" si="10"/>
        <v/>
      </c>
      <c r="X1010" s="109" t="str">
        <f t="shared" si="11"/>
        <v/>
      </c>
      <c r="Y1010" s="110" t="str">
        <f t="array" ref="Y1010">_xlfn.XLOOKUP(A1010,'Video Database'!L:L,'Video Database'!M:M,"")</f>
        <v>Bottom of Funnel</v>
      </c>
    </row>
    <row r="1011" ht="22.5" customHeight="1">
      <c r="A1011" s="113">
        <f t="shared" si="12"/>
        <v>1010</v>
      </c>
      <c r="B1011" s="98" t="str">
        <f t="array" ref="B1011">_xlfn.XLOOKUP(A1011,'Video Database'!L:L,'Video Database'!D:D,"")</f>
        <v>Erin</v>
      </c>
      <c r="C1011" s="98" t="str">
        <f t="array" ref="C1011">_xlfn.XLOOKUP(A1011,'Video Database'!L:L,'Video Database'!E:E,"")</f>
        <v>Account 2</v>
      </c>
      <c r="D1011" s="99" t="str">
        <f t="array" ref="D1011">_xlfn.XLOOKUP(A1011,'Video Database'!L:L,'Video Database'!G:G,"")</f>
        <v>Color Wow Quick Refresh and Styling Bundle</v>
      </c>
      <c r="E1011" s="100">
        <f t="array" ref="E1011">_xlfn.XLOOKUP(A1011,'Video Database'!L:L,'Video Database'!H:H,"")</f>
        <v>0.7337</v>
      </c>
      <c r="F1011" s="101">
        <v>0.0</v>
      </c>
      <c r="G1011" s="87">
        <v>0.0</v>
      </c>
      <c r="H1011" s="114">
        <f t="array" ref="H1011">_xlfn.XLOOKUP(A1011,'Video Database'!L:L,'Video Database'!A:A,"")</f>
        <v>46199</v>
      </c>
      <c r="I1011" s="103">
        <v>46201.0</v>
      </c>
      <c r="J1011" s="104">
        <v>0.0</v>
      </c>
      <c r="K1011" s="105"/>
      <c r="L1011" s="105" t="str">
        <f t="shared" si="1"/>
        <v/>
      </c>
      <c r="O1011" s="106" t="str">
        <f t="shared" si="2"/>
        <v>#N/A</v>
      </c>
      <c r="P1011" s="106" t="str">
        <f t="shared" si="3"/>
        <v>#N/A</v>
      </c>
      <c r="Q1011" s="84" t="str">
        <f t="shared" si="4"/>
        <v>#N/A</v>
      </c>
      <c r="R1011" s="84" t="str">
        <f t="shared" si="5"/>
        <v>#N/A</v>
      </c>
      <c r="S1011" s="107">
        <f t="shared" si="6"/>
        <v>-0.7337</v>
      </c>
      <c r="T1011" s="108">
        <f t="shared" si="7"/>
        <v>-1</v>
      </c>
      <c r="U1011" s="106" t="str">
        <f t="shared" si="8"/>
        <v>#N/A</v>
      </c>
      <c r="V1011" s="84" t="str">
        <f t="shared" si="9"/>
        <v/>
      </c>
      <c r="W1011" s="109" t="str">
        <f t="shared" si="10"/>
        <v/>
      </c>
      <c r="X1011" s="109" t="str">
        <f t="shared" si="11"/>
        <v/>
      </c>
      <c r="Y1011" s="110" t="str">
        <f t="array" ref="Y1011">_xlfn.XLOOKUP(A1011,'Video Database'!L:L,'Video Database'!M:M,"")</f>
        <v>Bottom of Funnel</v>
      </c>
    </row>
    <row r="1012" ht="22.5" customHeight="1">
      <c r="A1012" s="113">
        <f t="shared" si="12"/>
        <v>1011</v>
      </c>
      <c r="B1012" s="98" t="str">
        <f t="array" ref="B1012">_xlfn.XLOOKUP(A1012,'Video Database'!L:L,'Video Database'!D:D,"")</f>
        <v>Blakely</v>
      </c>
      <c r="C1012" s="98" t="str">
        <f t="array" ref="C1012">_xlfn.XLOOKUP(A1012,'Video Database'!L:L,'Video Database'!E:E,"")</f>
        <v>Account 2</v>
      </c>
      <c r="D1012" s="99" t="str">
        <f t="array" ref="D1012">_xlfn.XLOOKUP(A1012,'Video Database'!L:L,'Video Database'!G:G,"")</f>
        <v>BetterAlt Shilajit Honey Sticks</v>
      </c>
      <c r="E1012" s="100">
        <f t="array" ref="E1012">_xlfn.XLOOKUP(A1012,'Video Database'!L:L,'Video Database'!H:H,"")</f>
        <v>0.11</v>
      </c>
      <c r="F1012" s="101">
        <v>0.0</v>
      </c>
      <c r="G1012" s="87">
        <v>0.0</v>
      </c>
      <c r="H1012" s="114">
        <f t="array" ref="H1012">_xlfn.XLOOKUP(A1012,'Video Database'!L:L,'Video Database'!A:A,"")</f>
        <v>46199</v>
      </c>
      <c r="I1012" s="103">
        <v>46201.0</v>
      </c>
      <c r="J1012" s="104">
        <v>0.0</v>
      </c>
      <c r="K1012" s="105"/>
      <c r="L1012" s="105" t="str">
        <f t="shared" si="1"/>
        <v/>
      </c>
      <c r="O1012" s="106" t="str">
        <f t="shared" si="2"/>
        <v>#N/A</v>
      </c>
      <c r="P1012" s="106" t="str">
        <f t="shared" si="3"/>
        <v>#N/A</v>
      </c>
      <c r="Q1012" s="84" t="str">
        <f t="shared" si="4"/>
        <v>#N/A</v>
      </c>
      <c r="R1012" s="84" t="str">
        <f t="shared" si="5"/>
        <v>#N/A</v>
      </c>
      <c r="S1012" s="107">
        <f t="shared" si="6"/>
        <v>-0.11</v>
      </c>
      <c r="T1012" s="108">
        <f t="shared" si="7"/>
        <v>-1</v>
      </c>
      <c r="U1012" s="106" t="str">
        <f t="shared" si="8"/>
        <v>#N/A</v>
      </c>
      <c r="V1012" s="84" t="str">
        <f t="shared" si="9"/>
        <v/>
      </c>
      <c r="W1012" s="109" t="str">
        <f t="shared" si="10"/>
        <v/>
      </c>
      <c r="X1012" s="109" t="str">
        <f t="shared" si="11"/>
        <v/>
      </c>
      <c r="Y1012" s="110" t="str">
        <f t="array" ref="Y1012">_xlfn.XLOOKUP(A1012,'Video Database'!L:L,'Video Database'!M:M,"")</f>
        <v>Product Overlay</v>
      </c>
    </row>
    <row r="1013" ht="22.5" customHeight="1">
      <c r="A1013" s="113">
        <f t="shared" si="12"/>
        <v>1012</v>
      </c>
      <c r="B1013" s="98" t="str">
        <f t="array" ref="B1013">_xlfn.XLOOKUP(A1013,'Video Database'!L:L,'Video Database'!D:D,"")</f>
        <v>Blakely</v>
      </c>
      <c r="C1013" s="98" t="str">
        <f t="array" ref="C1013">_xlfn.XLOOKUP(A1013,'Video Database'!L:L,'Video Database'!E:E,"")</f>
        <v>Account 2</v>
      </c>
      <c r="D1013" s="99" t="str">
        <f t="array" ref="D1013">_xlfn.XLOOKUP(A1013,'Video Database'!L:L,'Video Database'!G:G,"")</f>
        <v>BetterAlt Shilajit Honey Sticks</v>
      </c>
      <c r="E1013" s="100">
        <f t="array" ref="E1013">_xlfn.XLOOKUP(A1013,'Video Database'!L:L,'Video Database'!H:H,"")</f>
        <v>0.11</v>
      </c>
      <c r="F1013" s="101">
        <v>0.0</v>
      </c>
      <c r="G1013" s="87">
        <v>0.0</v>
      </c>
      <c r="H1013" s="114">
        <f t="array" ref="H1013">_xlfn.XLOOKUP(A1013,'Video Database'!L:L,'Video Database'!A:A,"")</f>
        <v>46199</v>
      </c>
      <c r="I1013" s="103">
        <v>46201.0</v>
      </c>
      <c r="J1013" s="104">
        <v>0.0</v>
      </c>
      <c r="K1013" s="105"/>
      <c r="L1013" s="105" t="str">
        <f t="shared" si="1"/>
        <v/>
      </c>
      <c r="O1013" s="106" t="str">
        <f t="shared" si="2"/>
        <v>#N/A</v>
      </c>
      <c r="P1013" s="106" t="str">
        <f t="shared" si="3"/>
        <v>#N/A</v>
      </c>
      <c r="Q1013" s="84" t="str">
        <f t="shared" si="4"/>
        <v>#N/A</v>
      </c>
      <c r="R1013" s="84" t="str">
        <f t="shared" si="5"/>
        <v>#N/A</v>
      </c>
      <c r="S1013" s="107">
        <f t="shared" si="6"/>
        <v>-0.11</v>
      </c>
      <c r="T1013" s="108">
        <f t="shared" si="7"/>
        <v>-1</v>
      </c>
      <c r="U1013" s="106" t="str">
        <f t="shared" si="8"/>
        <v>#N/A</v>
      </c>
      <c r="V1013" s="84" t="str">
        <f t="shared" si="9"/>
        <v/>
      </c>
      <c r="W1013" s="109" t="str">
        <f t="shared" si="10"/>
        <v/>
      </c>
      <c r="X1013" s="109" t="str">
        <f t="shared" si="11"/>
        <v/>
      </c>
      <c r="Y1013" s="110" t="str">
        <f t="array" ref="Y1013">_xlfn.XLOOKUP(A1013,'Video Database'!L:L,'Video Database'!M:M,"")</f>
        <v>Bottom of Funnel</v>
      </c>
    </row>
    <row r="1014" ht="22.5" customHeight="1">
      <c r="A1014" s="113">
        <f t="shared" si="12"/>
        <v>1013</v>
      </c>
      <c r="B1014" s="98" t="str">
        <f t="array" ref="B1014">_xlfn.XLOOKUP(A1014,'Video Database'!L:L,'Video Database'!D:D,"")</f>
        <v>Blakely</v>
      </c>
      <c r="C1014" s="98" t="str">
        <f t="array" ref="C1014">_xlfn.XLOOKUP(A1014,'Video Database'!L:L,'Video Database'!E:E,"")</f>
        <v>Account 3</v>
      </c>
      <c r="D1014" s="99" t="str">
        <f t="array" ref="D1014">_xlfn.XLOOKUP(A1014,'Video Database'!L:L,'Video Database'!G:G,"")</f>
        <v>tarte CC Color-Correct Tinted Serum</v>
      </c>
      <c r="E1014" s="100">
        <f t="array" ref="E1014">_xlfn.XLOOKUP(A1014,'Video Database'!L:L,'Video Database'!H:H,"")</f>
        <v>0.11</v>
      </c>
      <c r="F1014" s="101">
        <v>35.82</v>
      </c>
      <c r="G1014" s="87">
        <v>1.0</v>
      </c>
      <c r="H1014" s="114">
        <f t="array" ref="H1014">_xlfn.XLOOKUP(A1014,'Video Database'!L:L,'Video Database'!A:A,"")</f>
        <v>46199</v>
      </c>
      <c r="I1014" s="103">
        <v>46201.0</v>
      </c>
      <c r="J1014" s="104">
        <v>7.2</v>
      </c>
      <c r="K1014" s="87">
        <v>3.0</v>
      </c>
      <c r="L1014" s="105">
        <f t="shared" si="1"/>
        <v>255</v>
      </c>
      <c r="M1014" s="87">
        <v>255.0</v>
      </c>
      <c r="O1014" s="106">
        <f t="shared" si="2"/>
        <v>0.01176470588</v>
      </c>
      <c r="P1014" s="106">
        <f t="shared" si="3"/>
        <v>0.3333333333</v>
      </c>
      <c r="Q1014" s="84">
        <f t="shared" si="4"/>
        <v>7.2</v>
      </c>
      <c r="R1014" s="84">
        <f t="shared" si="5"/>
        <v>35.82</v>
      </c>
      <c r="S1014" s="107">
        <f t="shared" si="6"/>
        <v>7.09</v>
      </c>
      <c r="T1014" s="108">
        <f t="shared" si="7"/>
        <v>64.45454545</v>
      </c>
      <c r="U1014" s="106">
        <f t="shared" si="8"/>
        <v>0.9847222222</v>
      </c>
      <c r="V1014" s="129">
        <f t="shared" si="9"/>
        <v>0.11</v>
      </c>
      <c r="W1014" s="109">
        <f t="shared" si="10"/>
        <v>0.03666666667</v>
      </c>
      <c r="X1014" s="109">
        <f t="shared" si="11"/>
        <v>0.3070910106</v>
      </c>
      <c r="Y1014" s="110" t="str">
        <f t="array" ref="Y1014">_xlfn.XLOOKUP(A1014,'Video Database'!L:L,'Video Database'!M:M,"")</f>
        <v>Product Overlay</v>
      </c>
    </row>
    <row r="1015" ht="22.5" customHeight="1">
      <c r="A1015" s="113">
        <f t="shared" si="12"/>
        <v>1014</v>
      </c>
      <c r="B1015" s="98" t="str">
        <f t="array" ref="B1015">_xlfn.XLOOKUP(A1015,'Video Database'!L:L,'Video Database'!D:D,"")</f>
        <v>Blakely</v>
      </c>
      <c r="C1015" s="98" t="str">
        <f t="array" ref="C1015">_xlfn.XLOOKUP(A1015,'Video Database'!L:L,'Video Database'!E:E,"")</f>
        <v>Account 3</v>
      </c>
      <c r="D1015" s="99" t="str">
        <f t="array" ref="D1015">_xlfn.XLOOKUP(A1015,'Video Database'!L:L,'Video Database'!G:G,"")</f>
        <v>tarte CC Color-Correct Tinted Serum</v>
      </c>
      <c r="E1015" s="100">
        <f t="array" ref="E1015">_xlfn.XLOOKUP(A1015,'Video Database'!L:L,'Video Database'!H:H,"")</f>
        <v>0.11</v>
      </c>
      <c r="F1015" s="101">
        <v>0.0</v>
      </c>
      <c r="G1015" s="87">
        <v>0.0</v>
      </c>
      <c r="H1015" s="114">
        <f t="array" ref="H1015">_xlfn.XLOOKUP(A1015,'Video Database'!L:L,'Video Database'!A:A,"")</f>
        <v>46199</v>
      </c>
      <c r="I1015" s="103">
        <v>46201.0</v>
      </c>
      <c r="J1015" s="104">
        <v>0.0</v>
      </c>
      <c r="K1015" s="105"/>
      <c r="L1015" s="105" t="str">
        <f t="shared" si="1"/>
        <v/>
      </c>
      <c r="O1015" s="106" t="str">
        <f t="shared" si="2"/>
        <v>#N/A</v>
      </c>
      <c r="P1015" s="106" t="str">
        <f t="shared" si="3"/>
        <v>#N/A</v>
      </c>
      <c r="Q1015" s="84" t="str">
        <f t="shared" si="4"/>
        <v>#N/A</v>
      </c>
      <c r="R1015" s="84" t="str">
        <f t="shared" si="5"/>
        <v>#N/A</v>
      </c>
      <c r="S1015" s="107">
        <f t="shared" si="6"/>
        <v>-0.11</v>
      </c>
      <c r="T1015" s="108">
        <f t="shared" si="7"/>
        <v>-1</v>
      </c>
      <c r="U1015" s="106" t="str">
        <f t="shared" si="8"/>
        <v>#N/A</v>
      </c>
      <c r="V1015" s="84" t="str">
        <f t="shared" si="9"/>
        <v/>
      </c>
      <c r="W1015" s="109" t="str">
        <f t="shared" si="10"/>
        <v/>
      </c>
      <c r="X1015" s="109" t="str">
        <f t="shared" si="11"/>
        <v/>
      </c>
      <c r="Y1015" s="110" t="str">
        <f t="array" ref="Y1015">_xlfn.XLOOKUP(A1015,'Video Database'!L:L,'Video Database'!M:M,"")</f>
        <v>Bottom of Funnel</v>
      </c>
    </row>
    <row r="1016" ht="22.5" customHeight="1">
      <c r="A1016" s="113">
        <f t="shared" si="12"/>
        <v>1015</v>
      </c>
      <c r="B1016" s="98" t="str">
        <f t="array" ref="B1016">_xlfn.XLOOKUP(A1016,'Video Database'!L:L,'Video Database'!D:D,"")</f>
        <v>Blakely</v>
      </c>
      <c r="C1016" s="98" t="str">
        <f t="array" ref="C1016">_xlfn.XLOOKUP(A1016,'Video Database'!L:L,'Video Database'!E:E,"")</f>
        <v>Account 3</v>
      </c>
      <c r="D1016" s="99" t="str">
        <f t="array" ref="D1016">_xlfn.XLOOKUP(A1016,'Video Database'!L:L,'Video Database'!G:G,"")</f>
        <v>IRIS Hormone Health Drink Mix</v>
      </c>
      <c r="E1016" s="100">
        <f t="array" ref="E1016">_xlfn.XLOOKUP(A1016,'Video Database'!L:L,'Video Database'!H:H,"")</f>
        <v>0.11</v>
      </c>
      <c r="F1016" s="101">
        <v>26.39</v>
      </c>
      <c r="G1016" s="87">
        <v>1.0</v>
      </c>
      <c r="H1016" s="114">
        <f t="array" ref="H1016">_xlfn.XLOOKUP(A1016,'Video Database'!L:L,'Video Database'!A:A,"")</f>
        <v>46199</v>
      </c>
      <c r="I1016" s="103">
        <v>46201.0</v>
      </c>
      <c r="J1016" s="104">
        <v>3.96</v>
      </c>
      <c r="K1016" s="87">
        <v>2.0</v>
      </c>
      <c r="L1016" s="105">
        <f t="shared" si="1"/>
        <v>410</v>
      </c>
      <c r="M1016" s="87">
        <v>410.0</v>
      </c>
      <c r="O1016" s="106">
        <f t="shared" si="2"/>
        <v>0.00487804878</v>
      </c>
      <c r="P1016" s="106">
        <f t="shared" si="3"/>
        <v>0.5</v>
      </c>
      <c r="Q1016" s="84">
        <f t="shared" si="4"/>
        <v>3.96</v>
      </c>
      <c r="R1016" s="84">
        <f t="shared" si="5"/>
        <v>26.39</v>
      </c>
      <c r="S1016" s="107">
        <f t="shared" si="6"/>
        <v>3.85</v>
      </c>
      <c r="T1016" s="108">
        <f t="shared" si="7"/>
        <v>35</v>
      </c>
      <c r="U1016" s="106">
        <f t="shared" si="8"/>
        <v>0.9722222222</v>
      </c>
      <c r="V1016" s="129">
        <f t="shared" si="9"/>
        <v>0.11</v>
      </c>
      <c r="W1016" s="109">
        <f t="shared" si="10"/>
        <v>0.055</v>
      </c>
      <c r="X1016" s="109">
        <f t="shared" si="11"/>
        <v>0.4168245548</v>
      </c>
      <c r="Y1016" s="110" t="str">
        <f t="array" ref="Y1016">_xlfn.XLOOKUP(A1016,'Video Database'!L:L,'Video Database'!M:M,"")</f>
        <v>Product Overlay</v>
      </c>
    </row>
    <row r="1017" ht="22.5" customHeight="1">
      <c r="A1017" s="113">
        <f t="shared" si="12"/>
        <v>1016</v>
      </c>
      <c r="B1017" s="98" t="str">
        <f t="array" ref="B1017">_xlfn.XLOOKUP(A1017,'Video Database'!L:L,'Video Database'!D:D,"")</f>
        <v>Blakely</v>
      </c>
      <c r="C1017" s="98" t="str">
        <f t="array" ref="C1017">_xlfn.XLOOKUP(A1017,'Video Database'!L:L,'Video Database'!E:E,"")</f>
        <v>Account 3</v>
      </c>
      <c r="D1017" s="98" t="str">
        <f t="array" ref="D1017">_xlfn.XLOOKUP(A1017,'Video Database'!L:L,'Video Database'!G:G,"")</f>
        <v>JOYMODE Ignite Libido Support</v>
      </c>
      <c r="E1017" s="100">
        <f t="array" ref="E1017">_xlfn.XLOOKUP(A1017,'Video Database'!L:L,'Video Database'!H:H,"")</f>
        <v>0.11</v>
      </c>
      <c r="F1017" s="101">
        <v>0.0</v>
      </c>
      <c r="G1017" s="87">
        <v>2.0</v>
      </c>
      <c r="H1017" s="114">
        <f t="array" ref="H1017">_xlfn.XLOOKUP(A1017,'Video Database'!L:L,'Video Database'!A:A,"")</f>
        <v>46199</v>
      </c>
      <c r="I1017" s="103">
        <v>46201.0</v>
      </c>
      <c r="J1017" s="104">
        <f>1.87+2.22</f>
        <v>4.09</v>
      </c>
      <c r="K1017" s="87">
        <v>5.0</v>
      </c>
      <c r="L1017" s="105">
        <f t="shared" si="1"/>
        <v>1400</v>
      </c>
      <c r="M1017" s="87">
        <v>1400.0</v>
      </c>
      <c r="O1017" s="106">
        <f t="shared" si="2"/>
        <v>0.003571428571</v>
      </c>
      <c r="P1017" s="106">
        <f t="shared" si="3"/>
        <v>0.4</v>
      </c>
      <c r="Q1017" s="84">
        <f t="shared" si="4"/>
        <v>2.045</v>
      </c>
      <c r="R1017" s="84">
        <f t="shared" si="5"/>
        <v>0</v>
      </c>
      <c r="S1017" s="107">
        <f t="shared" si="6"/>
        <v>3.98</v>
      </c>
      <c r="T1017" s="108">
        <f t="shared" si="7"/>
        <v>36.18181818</v>
      </c>
      <c r="U1017" s="106">
        <f t="shared" si="8"/>
        <v>0.9731051345</v>
      </c>
      <c r="V1017" s="129">
        <f t="shared" si="9"/>
        <v>0.055</v>
      </c>
      <c r="W1017" s="109">
        <f t="shared" si="10"/>
        <v>0.022</v>
      </c>
      <c r="X1017" s="109" t="str">
        <f t="shared" si="11"/>
        <v/>
      </c>
      <c r="Y1017" s="110" t="str">
        <f t="array" ref="Y1017">_xlfn.XLOOKUP(A1017,'Video Database'!L:L,'Video Database'!M:M,"")</f>
        <v>Bottom of Funnel</v>
      </c>
    </row>
    <row r="1018" ht="22.5" customHeight="1">
      <c r="A1018" s="113">
        <f t="shared" si="12"/>
        <v>1017</v>
      </c>
      <c r="B1018" s="98" t="str">
        <f t="array" ref="B1018">_xlfn.XLOOKUP(A1018,'Video Database'!L:L,'Video Database'!D:D,"")</f>
        <v>Erin</v>
      </c>
      <c r="C1018" s="98" t="str">
        <f t="array" ref="C1018">_xlfn.XLOOKUP(A1018,'Video Database'!L:L,'Video Database'!E:E,"")</f>
        <v>Account 3</v>
      </c>
      <c r="D1018" s="99" t="str">
        <f t="array" ref="D1018">_xlfn.XLOOKUP(A1018,'Video Database'!L:L,'Video Database'!G:G,"")</f>
        <v>Color Wow Quick Refresh and Styling Bundle</v>
      </c>
      <c r="E1018" s="100">
        <f t="array" ref="E1018">_xlfn.XLOOKUP(A1018,'Video Database'!L:L,'Video Database'!H:H,"")</f>
        <v>0.7337</v>
      </c>
      <c r="F1018" s="101">
        <v>0.0</v>
      </c>
      <c r="G1018" s="87">
        <v>0.0</v>
      </c>
      <c r="H1018" s="114">
        <f t="array" ref="H1018">_xlfn.XLOOKUP(A1018,'Video Database'!L:L,'Video Database'!A:A,"")</f>
        <v>46199</v>
      </c>
      <c r="I1018" s="103">
        <v>46201.0</v>
      </c>
      <c r="J1018" s="104">
        <v>0.0</v>
      </c>
      <c r="K1018" s="105"/>
      <c r="L1018" s="105" t="str">
        <f t="shared" si="1"/>
        <v/>
      </c>
      <c r="O1018" s="106" t="str">
        <f t="shared" si="2"/>
        <v>#N/A</v>
      </c>
      <c r="P1018" s="106" t="str">
        <f t="shared" si="3"/>
        <v>#N/A</v>
      </c>
      <c r="Q1018" s="84" t="str">
        <f t="shared" si="4"/>
        <v>#N/A</v>
      </c>
      <c r="R1018" s="84" t="str">
        <f t="shared" si="5"/>
        <v>#N/A</v>
      </c>
      <c r="S1018" s="107">
        <f t="shared" si="6"/>
        <v>-0.7337</v>
      </c>
      <c r="T1018" s="108">
        <f t="shared" si="7"/>
        <v>-1</v>
      </c>
      <c r="U1018" s="106" t="str">
        <f t="shared" si="8"/>
        <v>#N/A</v>
      </c>
      <c r="V1018" s="84" t="str">
        <f t="shared" si="9"/>
        <v/>
      </c>
      <c r="W1018" s="109" t="str">
        <f t="shared" si="10"/>
        <v/>
      </c>
      <c r="X1018" s="109" t="str">
        <f t="shared" si="11"/>
        <v/>
      </c>
      <c r="Y1018" s="110" t="str">
        <f t="array" ref="Y1018">_xlfn.XLOOKUP(A1018,'Video Database'!L:L,'Video Database'!M:M,"")</f>
        <v>Bottom of Funnel</v>
      </c>
    </row>
    <row r="1019" ht="22.5" customHeight="1">
      <c r="A1019" s="113">
        <f t="shared" si="12"/>
        <v>1018</v>
      </c>
      <c r="B1019" s="98" t="str">
        <f t="array" ref="B1019">_xlfn.XLOOKUP(A1019,'Video Database'!L:L,'Video Database'!D:D,"")</f>
        <v>Blakely</v>
      </c>
      <c r="C1019" s="98" t="str">
        <f t="array" ref="C1019">_xlfn.XLOOKUP(A1019,'Video Database'!L:L,'Video Database'!E:E,"")</f>
        <v>Account 3</v>
      </c>
      <c r="D1019" s="99" t="str">
        <f t="array" ref="D1019">_xlfn.XLOOKUP(A1019,'Video Database'!L:L,'Video Database'!G:G,"")</f>
        <v>tarte CC Color-Correct Tinted Serum</v>
      </c>
      <c r="E1019" s="100">
        <f t="array" ref="E1019">_xlfn.XLOOKUP(A1019,'Video Database'!L:L,'Video Database'!H:H,"")</f>
        <v>0.11</v>
      </c>
      <c r="F1019" s="101">
        <v>0.0</v>
      </c>
      <c r="G1019" s="87">
        <v>0.0</v>
      </c>
      <c r="H1019" s="114">
        <f t="array" ref="H1019">_xlfn.XLOOKUP(A1019,'Video Database'!L:L,'Video Database'!A:A,"")</f>
        <v>46199</v>
      </c>
      <c r="I1019" s="103">
        <v>46201.0</v>
      </c>
      <c r="J1019" s="104">
        <v>0.0</v>
      </c>
      <c r="K1019" s="105"/>
      <c r="L1019" s="105" t="str">
        <f t="shared" si="1"/>
        <v/>
      </c>
      <c r="O1019" s="106" t="str">
        <f t="shared" si="2"/>
        <v>#N/A</v>
      </c>
      <c r="P1019" s="106" t="str">
        <f t="shared" si="3"/>
        <v>#N/A</v>
      </c>
      <c r="Q1019" s="84" t="str">
        <f t="shared" si="4"/>
        <v>#N/A</v>
      </c>
      <c r="R1019" s="84" t="str">
        <f t="shared" si="5"/>
        <v>#N/A</v>
      </c>
      <c r="S1019" s="107">
        <f t="shared" si="6"/>
        <v>-0.11</v>
      </c>
      <c r="T1019" s="108">
        <f t="shared" si="7"/>
        <v>-1</v>
      </c>
      <c r="U1019" s="106" t="str">
        <f t="shared" si="8"/>
        <v>#N/A</v>
      </c>
      <c r="V1019" s="84" t="str">
        <f t="shared" si="9"/>
        <v/>
      </c>
      <c r="W1019" s="109" t="str">
        <f t="shared" si="10"/>
        <v/>
      </c>
      <c r="X1019" s="109" t="str">
        <f t="shared" si="11"/>
        <v/>
      </c>
      <c r="Y1019" s="110" t="str">
        <f t="array" ref="Y1019">_xlfn.XLOOKUP(A1019,'Video Database'!L:L,'Video Database'!M:M,"")</f>
        <v>Bottom of Funnel</v>
      </c>
    </row>
    <row r="1020" ht="22.5" customHeight="1">
      <c r="A1020" s="113">
        <f t="shared" si="12"/>
        <v>1019</v>
      </c>
      <c r="B1020" s="98" t="str">
        <f t="array" ref="B1020">_xlfn.XLOOKUP(A1020,'Video Database'!L:L,'Video Database'!D:D,"")</f>
        <v>Blakely</v>
      </c>
      <c r="C1020" s="98" t="str">
        <f t="array" ref="C1020">_xlfn.XLOOKUP(A1020,'Video Database'!L:L,'Video Database'!E:E,"")</f>
        <v>Account 3</v>
      </c>
      <c r="D1020" s="99" t="str">
        <f t="array" ref="D1020">_xlfn.XLOOKUP(A1020,'Video Database'!L:L,'Video Database'!G:G,"")</f>
        <v>Beast Bites Creatine Gummies</v>
      </c>
      <c r="E1020" s="100">
        <f t="array" ref="E1020">_xlfn.XLOOKUP(A1020,'Video Database'!L:L,'Video Database'!H:H,"")</f>
        <v>0.11</v>
      </c>
      <c r="F1020" s="101">
        <v>0.0</v>
      </c>
      <c r="G1020" s="87">
        <v>0.0</v>
      </c>
      <c r="H1020" s="114">
        <f t="array" ref="H1020">_xlfn.XLOOKUP(A1020,'Video Database'!L:L,'Video Database'!A:A,"")</f>
        <v>46199</v>
      </c>
      <c r="I1020" s="103">
        <v>46201.0</v>
      </c>
      <c r="J1020" s="104">
        <v>0.0</v>
      </c>
      <c r="K1020" s="105"/>
      <c r="L1020" s="105" t="str">
        <f t="shared" si="1"/>
        <v/>
      </c>
      <c r="O1020" s="106" t="str">
        <f t="shared" si="2"/>
        <v>#N/A</v>
      </c>
      <c r="P1020" s="106" t="str">
        <f t="shared" si="3"/>
        <v>#N/A</v>
      </c>
      <c r="Q1020" s="84" t="str">
        <f t="shared" si="4"/>
        <v>#N/A</v>
      </c>
      <c r="R1020" s="84" t="str">
        <f t="shared" si="5"/>
        <v>#N/A</v>
      </c>
      <c r="S1020" s="107">
        <f t="shared" si="6"/>
        <v>-0.11</v>
      </c>
      <c r="T1020" s="108">
        <f t="shared" si="7"/>
        <v>-1</v>
      </c>
      <c r="U1020" s="106" t="str">
        <f t="shared" si="8"/>
        <v>#N/A</v>
      </c>
      <c r="V1020" s="84" t="str">
        <f t="shared" si="9"/>
        <v/>
      </c>
      <c r="W1020" s="109" t="str">
        <f t="shared" si="10"/>
        <v/>
      </c>
      <c r="X1020" s="109" t="str">
        <f t="shared" si="11"/>
        <v/>
      </c>
      <c r="Y1020" s="110" t="str">
        <f t="array" ref="Y1020">_xlfn.XLOOKUP(A1020,'Video Database'!L:L,'Video Database'!M:M,"")</f>
        <v>Product Overlay</v>
      </c>
    </row>
    <row r="1021" ht="22.5" customHeight="1">
      <c r="A1021" s="113">
        <f t="shared" si="12"/>
        <v>1020</v>
      </c>
      <c r="B1021" s="98" t="str">
        <f t="array" ref="B1021">_xlfn.XLOOKUP(A1021,'Video Database'!L:L,'Video Database'!D:D,"")</f>
        <v>Erin</v>
      </c>
      <c r="C1021" s="98" t="str">
        <f t="array" ref="C1021">_xlfn.XLOOKUP(A1021,'Video Database'!L:L,'Video Database'!E:E,"")</f>
        <v>Account 3</v>
      </c>
      <c r="D1021" s="99" t="str">
        <f t="array" ref="D1021">_xlfn.XLOOKUP(A1021,'Video Database'!L:L,'Video Database'!G:G,"")</f>
        <v>Medicube Kojic Accid Tumeric Power Duo</v>
      </c>
      <c r="E1021" s="100">
        <f t="array" ref="E1021">_xlfn.XLOOKUP(A1021,'Video Database'!L:L,'Video Database'!H:H,"")</f>
        <v>0.7337</v>
      </c>
      <c r="F1021" s="101">
        <v>0.0</v>
      </c>
      <c r="G1021" s="87">
        <v>0.0</v>
      </c>
      <c r="H1021" s="114">
        <f t="array" ref="H1021">_xlfn.XLOOKUP(A1021,'Video Database'!L:L,'Video Database'!A:A,"")</f>
        <v>46199</v>
      </c>
      <c r="I1021" s="103">
        <v>46201.0</v>
      </c>
      <c r="J1021" s="104">
        <v>0.0</v>
      </c>
      <c r="K1021" s="105"/>
      <c r="L1021" s="105" t="str">
        <f t="shared" si="1"/>
        <v/>
      </c>
      <c r="O1021" s="106" t="str">
        <f t="shared" si="2"/>
        <v>#N/A</v>
      </c>
      <c r="P1021" s="106" t="str">
        <f t="shared" si="3"/>
        <v>#N/A</v>
      </c>
      <c r="Q1021" s="84" t="str">
        <f t="shared" si="4"/>
        <v>#N/A</v>
      </c>
      <c r="R1021" s="84" t="str">
        <f t="shared" si="5"/>
        <v>#N/A</v>
      </c>
      <c r="S1021" s="107">
        <f t="shared" si="6"/>
        <v>-0.7337</v>
      </c>
      <c r="T1021" s="108">
        <f t="shared" si="7"/>
        <v>-1</v>
      </c>
      <c r="U1021" s="106" t="str">
        <f t="shared" si="8"/>
        <v>#N/A</v>
      </c>
      <c r="V1021" s="84" t="str">
        <f t="shared" si="9"/>
        <v/>
      </c>
      <c r="W1021" s="109" t="str">
        <f t="shared" si="10"/>
        <v/>
      </c>
      <c r="X1021" s="109" t="str">
        <f t="shared" si="11"/>
        <v/>
      </c>
      <c r="Y1021" s="110" t="str">
        <f t="array" ref="Y1021">_xlfn.XLOOKUP(A1021,'Video Database'!L:L,'Video Database'!M:M,"")</f>
        <v>Bottom of Funnel</v>
      </c>
    </row>
    <row r="1022" ht="22.5" customHeight="1">
      <c r="A1022" s="113">
        <f t="shared" si="12"/>
        <v>1021</v>
      </c>
      <c r="B1022" s="98" t="str">
        <f t="array" ref="B1022">_xlfn.XLOOKUP(A1022,'Video Database'!L:L,'Video Database'!D:D,"")</f>
        <v>Blakely</v>
      </c>
      <c r="C1022" s="98" t="str">
        <f t="array" ref="C1022">_xlfn.XLOOKUP(A1022,'Video Database'!L:L,'Video Database'!E:E,"")</f>
        <v>Account 3</v>
      </c>
      <c r="D1022" s="99" t="str">
        <f t="array" ref="D1022">_xlfn.XLOOKUP(A1022,'Video Database'!L:L,'Video Database'!G:G,"")</f>
        <v>BetterAlt Shilajit Honey Sticks</v>
      </c>
      <c r="E1022" s="100">
        <f t="array" ref="E1022">_xlfn.XLOOKUP(A1022,'Video Database'!L:L,'Video Database'!H:H,"")</f>
        <v>0.11</v>
      </c>
      <c r="F1022" s="101">
        <v>0.0</v>
      </c>
      <c r="G1022" s="87">
        <v>0.0</v>
      </c>
      <c r="H1022" s="114">
        <f t="array" ref="H1022">_xlfn.XLOOKUP(A1022,'Video Database'!L:L,'Video Database'!A:A,"")</f>
        <v>46199</v>
      </c>
      <c r="I1022" s="103">
        <v>46201.0</v>
      </c>
      <c r="J1022" s="104">
        <v>0.0</v>
      </c>
      <c r="K1022" s="105"/>
      <c r="L1022" s="105" t="str">
        <f t="shared" si="1"/>
        <v/>
      </c>
      <c r="O1022" s="106" t="str">
        <f t="shared" si="2"/>
        <v>#N/A</v>
      </c>
      <c r="P1022" s="106" t="str">
        <f t="shared" si="3"/>
        <v>#N/A</v>
      </c>
      <c r="Q1022" s="84" t="str">
        <f t="shared" si="4"/>
        <v>#N/A</v>
      </c>
      <c r="R1022" s="84" t="str">
        <f t="shared" si="5"/>
        <v>#N/A</v>
      </c>
      <c r="S1022" s="107">
        <f t="shared" si="6"/>
        <v>-0.11</v>
      </c>
      <c r="T1022" s="108">
        <f t="shared" si="7"/>
        <v>-1</v>
      </c>
      <c r="U1022" s="106" t="str">
        <f t="shared" si="8"/>
        <v>#N/A</v>
      </c>
      <c r="V1022" s="84" t="str">
        <f t="shared" si="9"/>
        <v/>
      </c>
      <c r="W1022" s="109" t="str">
        <f t="shared" si="10"/>
        <v/>
      </c>
      <c r="X1022" s="109" t="str">
        <f t="shared" si="11"/>
        <v/>
      </c>
      <c r="Y1022" s="110" t="str">
        <f t="array" ref="Y1022">_xlfn.XLOOKUP(A1022,'Video Database'!L:L,'Video Database'!M:M,"")</f>
        <v>Bottom of Funnel</v>
      </c>
    </row>
    <row r="1023" ht="22.5" customHeight="1">
      <c r="A1023" s="113">
        <f t="shared" si="12"/>
        <v>1022</v>
      </c>
      <c r="B1023" s="98" t="str">
        <f t="array" ref="B1023">_xlfn.XLOOKUP(A1023,'Video Database'!L:L,'Video Database'!D:D,"")</f>
        <v>Erin</v>
      </c>
      <c r="C1023" s="98" t="str">
        <f t="array" ref="C1023">_xlfn.XLOOKUP(A1023,'Video Database'!L:L,'Video Database'!E:E,"")</f>
        <v>Account 3</v>
      </c>
      <c r="D1023" s="99" t="str">
        <f t="array" ref="D1023">_xlfn.XLOOKUP(A1023,'Video Database'!L:L,'Video Database'!G:G,"")</f>
        <v>Camellia Deep Collagen Lifting Gel Mask</v>
      </c>
      <c r="E1023" s="100">
        <f t="array" ref="E1023">_xlfn.XLOOKUP(A1023,'Video Database'!L:L,'Video Database'!H:H,"")</f>
        <v>0.7337</v>
      </c>
      <c r="F1023" s="101">
        <v>0.0</v>
      </c>
      <c r="G1023" s="87">
        <v>0.0</v>
      </c>
      <c r="H1023" s="114">
        <f t="array" ref="H1023">_xlfn.XLOOKUP(A1023,'Video Database'!L:L,'Video Database'!A:A,"")</f>
        <v>46199</v>
      </c>
      <c r="I1023" s="103">
        <v>46201.0</v>
      </c>
      <c r="J1023" s="104">
        <v>0.0</v>
      </c>
      <c r="K1023" s="105"/>
      <c r="L1023" s="105" t="str">
        <f t="shared" si="1"/>
        <v/>
      </c>
      <c r="O1023" s="106" t="str">
        <f t="shared" si="2"/>
        <v>#N/A</v>
      </c>
      <c r="P1023" s="106" t="str">
        <f t="shared" si="3"/>
        <v>#N/A</v>
      </c>
      <c r="Q1023" s="84" t="str">
        <f t="shared" si="4"/>
        <v>#N/A</v>
      </c>
      <c r="R1023" s="84" t="str">
        <f t="shared" si="5"/>
        <v>#N/A</v>
      </c>
      <c r="S1023" s="107">
        <f t="shared" si="6"/>
        <v>-0.7337</v>
      </c>
      <c r="T1023" s="108">
        <f t="shared" si="7"/>
        <v>-1</v>
      </c>
      <c r="U1023" s="106" t="str">
        <f t="shared" si="8"/>
        <v>#N/A</v>
      </c>
      <c r="V1023" s="84" t="str">
        <f t="shared" si="9"/>
        <v/>
      </c>
      <c r="W1023" s="109" t="str">
        <f t="shared" si="10"/>
        <v/>
      </c>
      <c r="X1023" s="109" t="str">
        <f t="shared" si="11"/>
        <v/>
      </c>
      <c r="Y1023" s="110" t="str">
        <f t="array" ref="Y1023">_xlfn.XLOOKUP(A1023,'Video Database'!L:L,'Video Database'!M:M,"")</f>
        <v>Bottom of Funnel</v>
      </c>
    </row>
    <row r="1024" ht="22.5" customHeight="1">
      <c r="A1024" s="113">
        <f t="shared" si="12"/>
        <v>1023</v>
      </c>
      <c r="B1024" s="98" t="str">
        <f t="array" ref="B1024">_xlfn.XLOOKUP(A1024,'Video Database'!L:L,'Video Database'!D:D,"")</f>
        <v>Blakely</v>
      </c>
      <c r="C1024" s="98" t="str">
        <f t="array" ref="C1024">_xlfn.XLOOKUP(A1024,'Video Database'!L:L,'Video Database'!E:E,"")</f>
        <v>Account 4</v>
      </c>
      <c r="D1024" s="99" t="str">
        <f t="array" ref="D1024">_xlfn.XLOOKUP(A1024,'Video Database'!L:L,'Video Database'!G:G,"")</f>
        <v>JOYMODE Ignite Libido Support</v>
      </c>
      <c r="E1024" s="100">
        <f t="array" ref="E1024">_xlfn.XLOOKUP(A1024,'Video Database'!L:L,'Video Database'!H:H,"")</f>
        <v>0.11</v>
      </c>
      <c r="F1024" s="101">
        <v>0.0</v>
      </c>
      <c r="G1024" s="87">
        <v>0.0</v>
      </c>
      <c r="H1024" s="114">
        <f t="array" ref="H1024">_xlfn.XLOOKUP(A1024,'Video Database'!L:L,'Video Database'!A:A,"")</f>
        <v>46199</v>
      </c>
      <c r="I1024" s="103">
        <v>46201.0</v>
      </c>
      <c r="J1024" s="104">
        <v>0.0</v>
      </c>
      <c r="K1024" s="105"/>
      <c r="L1024" s="105" t="str">
        <f t="shared" si="1"/>
        <v/>
      </c>
      <c r="O1024" s="106" t="str">
        <f t="shared" si="2"/>
        <v>#N/A</v>
      </c>
      <c r="P1024" s="106" t="str">
        <f t="shared" si="3"/>
        <v>#N/A</v>
      </c>
      <c r="Q1024" s="84" t="str">
        <f t="shared" si="4"/>
        <v>#N/A</v>
      </c>
      <c r="R1024" s="84" t="str">
        <f t="shared" si="5"/>
        <v>#N/A</v>
      </c>
      <c r="S1024" s="107">
        <f t="shared" si="6"/>
        <v>-0.11</v>
      </c>
      <c r="T1024" s="108">
        <f t="shared" si="7"/>
        <v>-1</v>
      </c>
      <c r="U1024" s="106" t="str">
        <f t="shared" si="8"/>
        <v>#N/A</v>
      </c>
      <c r="V1024" s="84" t="str">
        <f t="shared" si="9"/>
        <v/>
      </c>
      <c r="W1024" s="109" t="str">
        <f t="shared" si="10"/>
        <v/>
      </c>
      <c r="X1024" s="109" t="str">
        <f t="shared" si="11"/>
        <v/>
      </c>
      <c r="Y1024" s="110" t="str">
        <f t="array" ref="Y1024">_xlfn.XLOOKUP(A1024,'Video Database'!L:L,'Video Database'!M:M,"")</f>
        <v>Product Overlay</v>
      </c>
    </row>
    <row r="1025" ht="22.5" customHeight="1">
      <c r="A1025" s="113">
        <f t="shared" si="12"/>
        <v>1024</v>
      </c>
      <c r="B1025" s="98" t="str">
        <f t="array" ref="B1025">_xlfn.XLOOKUP(A1025,'Video Database'!L:L,'Video Database'!D:D,"")</f>
        <v>Blakely</v>
      </c>
      <c r="C1025" s="98" t="str">
        <f t="array" ref="C1025">_xlfn.XLOOKUP(A1025,'Video Database'!L:L,'Video Database'!E:E,"")</f>
        <v>Account 4</v>
      </c>
      <c r="D1025" s="99" t="str">
        <f t="array" ref="D1025">_xlfn.XLOOKUP(A1025,'Video Database'!L:L,'Video Database'!G:G,"")</f>
        <v>tarte CC Color-Correct Tinted Serum</v>
      </c>
      <c r="E1025" s="100">
        <f t="array" ref="E1025">_xlfn.XLOOKUP(A1025,'Video Database'!L:L,'Video Database'!H:H,"")</f>
        <v>0.11</v>
      </c>
      <c r="F1025" s="101">
        <v>0.0</v>
      </c>
      <c r="G1025" s="87">
        <v>0.0</v>
      </c>
      <c r="H1025" s="114">
        <f t="array" ref="H1025">_xlfn.XLOOKUP(A1025,'Video Database'!L:L,'Video Database'!A:A,"")</f>
        <v>46199</v>
      </c>
      <c r="I1025" s="103">
        <v>46201.0</v>
      </c>
      <c r="J1025" s="104">
        <v>0.0</v>
      </c>
      <c r="K1025" s="105"/>
      <c r="L1025" s="105" t="str">
        <f t="shared" si="1"/>
        <v/>
      </c>
      <c r="O1025" s="106" t="str">
        <f t="shared" si="2"/>
        <v>#N/A</v>
      </c>
      <c r="P1025" s="106" t="str">
        <f t="shared" si="3"/>
        <v>#N/A</v>
      </c>
      <c r="Q1025" s="84" t="str">
        <f t="shared" si="4"/>
        <v>#N/A</v>
      </c>
      <c r="R1025" s="84" t="str">
        <f t="shared" si="5"/>
        <v>#N/A</v>
      </c>
      <c r="S1025" s="107">
        <f t="shared" si="6"/>
        <v>-0.11</v>
      </c>
      <c r="T1025" s="108">
        <f t="shared" si="7"/>
        <v>-1</v>
      </c>
      <c r="U1025" s="106" t="str">
        <f t="shared" si="8"/>
        <v>#N/A</v>
      </c>
      <c r="V1025" s="84" t="str">
        <f t="shared" si="9"/>
        <v/>
      </c>
      <c r="W1025" s="109" t="str">
        <f t="shared" si="10"/>
        <v/>
      </c>
      <c r="X1025" s="109" t="str">
        <f t="shared" si="11"/>
        <v/>
      </c>
      <c r="Y1025" s="110" t="str">
        <f t="array" ref="Y1025">_xlfn.XLOOKUP(A1025,'Video Database'!L:L,'Video Database'!M:M,"")</f>
        <v>Product Overlay</v>
      </c>
    </row>
    <row r="1026" ht="22.5" customHeight="1">
      <c r="A1026" s="113">
        <f t="shared" si="12"/>
        <v>1025</v>
      </c>
      <c r="B1026" s="98" t="str">
        <f t="array" ref="B1026">_xlfn.XLOOKUP(A1026,'Video Database'!L:L,'Video Database'!D:D,"")</f>
        <v>Blakely</v>
      </c>
      <c r="C1026" s="98" t="str">
        <f t="array" ref="C1026">_xlfn.XLOOKUP(A1026,'Video Database'!L:L,'Video Database'!E:E,"")</f>
        <v>Account 4</v>
      </c>
      <c r="D1026" s="99" t="str">
        <f t="array" ref="D1026">_xlfn.XLOOKUP(A1026,'Video Database'!L:L,'Video Database'!G:G,"")</f>
        <v>Nutricost Creatine Monohydrate</v>
      </c>
      <c r="E1026" s="100">
        <f t="array" ref="E1026">_xlfn.XLOOKUP(A1026,'Video Database'!L:L,'Video Database'!H:H,"")</f>
        <v>0.11</v>
      </c>
      <c r="F1026" s="101">
        <v>0.0</v>
      </c>
      <c r="G1026" s="87">
        <v>0.0</v>
      </c>
      <c r="H1026" s="114">
        <f t="array" ref="H1026">_xlfn.XLOOKUP(A1026,'Video Database'!L:L,'Video Database'!A:A,"")</f>
        <v>46199</v>
      </c>
      <c r="I1026" s="103">
        <v>46201.0</v>
      </c>
      <c r="J1026" s="104">
        <v>0.0</v>
      </c>
      <c r="K1026" s="105"/>
      <c r="L1026" s="105" t="str">
        <f t="shared" si="1"/>
        <v/>
      </c>
      <c r="O1026" s="106" t="str">
        <f t="shared" si="2"/>
        <v>#N/A</v>
      </c>
      <c r="P1026" s="106" t="str">
        <f t="shared" si="3"/>
        <v>#N/A</v>
      </c>
      <c r="Q1026" s="84" t="str">
        <f t="shared" si="4"/>
        <v>#N/A</v>
      </c>
      <c r="R1026" s="84" t="str">
        <f t="shared" si="5"/>
        <v>#N/A</v>
      </c>
      <c r="S1026" s="107">
        <f t="shared" si="6"/>
        <v>-0.11</v>
      </c>
      <c r="T1026" s="108">
        <f t="shared" si="7"/>
        <v>-1</v>
      </c>
      <c r="U1026" s="106" t="str">
        <f t="shared" si="8"/>
        <v>#N/A</v>
      </c>
      <c r="V1026" s="84" t="str">
        <f t="shared" si="9"/>
        <v/>
      </c>
      <c r="W1026" s="109" t="str">
        <f t="shared" si="10"/>
        <v/>
      </c>
      <c r="X1026" s="109" t="str">
        <f t="shared" si="11"/>
        <v/>
      </c>
      <c r="Y1026" s="110" t="str">
        <f t="array" ref="Y1026">_xlfn.XLOOKUP(A1026,'Video Database'!L:L,'Video Database'!M:M,"")</f>
        <v>Bottom of Funnel</v>
      </c>
    </row>
    <row r="1027" ht="22.5" customHeight="1">
      <c r="A1027" s="113">
        <f t="shared" si="12"/>
        <v>1026</v>
      </c>
      <c r="B1027" s="98" t="str">
        <f t="array" ref="B1027">_xlfn.XLOOKUP(A1027,'Video Database'!L:L,'Video Database'!D:D,"")</f>
        <v>Blakely</v>
      </c>
      <c r="C1027" s="98" t="str">
        <f t="array" ref="C1027">_xlfn.XLOOKUP(A1027,'Video Database'!L:L,'Video Database'!E:E,"")</f>
        <v>Account 4</v>
      </c>
      <c r="D1027" s="99" t="str">
        <f t="array" ref="D1027">_xlfn.XLOOKUP(A1027,'Video Database'!L:L,'Video Database'!G:G,"")</f>
        <v>Gorilla Mode Base Preworkout</v>
      </c>
      <c r="E1027" s="100">
        <f t="array" ref="E1027">_xlfn.XLOOKUP(A1027,'Video Database'!L:L,'Video Database'!H:H,"")</f>
        <v>0.11</v>
      </c>
      <c r="F1027" s="101">
        <v>0.0</v>
      </c>
      <c r="G1027" s="87">
        <v>0.0</v>
      </c>
      <c r="H1027" s="114">
        <f t="array" ref="H1027">_xlfn.XLOOKUP(A1027,'Video Database'!L:L,'Video Database'!A:A,"")</f>
        <v>46199</v>
      </c>
      <c r="I1027" s="103">
        <v>46201.0</v>
      </c>
      <c r="J1027" s="104">
        <v>0.0</v>
      </c>
      <c r="K1027" s="105"/>
      <c r="L1027" s="105" t="str">
        <f t="shared" si="1"/>
        <v/>
      </c>
      <c r="O1027" s="106" t="str">
        <f t="shared" si="2"/>
        <v>#N/A</v>
      </c>
      <c r="P1027" s="106" t="str">
        <f t="shared" si="3"/>
        <v>#N/A</v>
      </c>
      <c r="Q1027" s="84" t="str">
        <f t="shared" si="4"/>
        <v>#N/A</v>
      </c>
      <c r="R1027" s="84" t="str">
        <f t="shared" si="5"/>
        <v>#N/A</v>
      </c>
      <c r="S1027" s="107">
        <f t="shared" si="6"/>
        <v>-0.11</v>
      </c>
      <c r="T1027" s="108">
        <f t="shared" si="7"/>
        <v>-1</v>
      </c>
      <c r="U1027" s="106" t="str">
        <f t="shared" si="8"/>
        <v>#N/A</v>
      </c>
      <c r="V1027" s="84" t="str">
        <f t="shared" si="9"/>
        <v/>
      </c>
      <c r="W1027" s="109" t="str">
        <f t="shared" si="10"/>
        <v/>
      </c>
      <c r="X1027" s="109" t="str">
        <f t="shared" si="11"/>
        <v/>
      </c>
      <c r="Y1027" s="110" t="str">
        <f t="array" ref="Y1027">_xlfn.XLOOKUP(A1027,'Video Database'!L:L,'Video Database'!M:M,"")</f>
        <v>Bottom of Funnel</v>
      </c>
    </row>
    <row r="1028" ht="22.5" customHeight="1">
      <c r="A1028" s="113">
        <f t="shared" si="12"/>
        <v>1027</v>
      </c>
      <c r="B1028" s="98" t="str">
        <f t="array" ref="B1028">_xlfn.XLOOKUP(A1028,'Video Database'!L:L,'Video Database'!D:D,"")</f>
        <v>Blakely</v>
      </c>
      <c r="C1028" s="98" t="str">
        <f t="array" ref="C1028">_xlfn.XLOOKUP(A1028,'Video Database'!L:L,'Video Database'!E:E,"")</f>
        <v>Account 4</v>
      </c>
      <c r="D1028" s="99" t="str">
        <f t="array" ref="D1028">_xlfn.XLOOKUP(A1028,'Video Database'!L:L,'Video Database'!G:G,"")</f>
        <v>tarte CC Color-Correct Tinted Serum</v>
      </c>
      <c r="E1028" s="100">
        <f t="array" ref="E1028">_xlfn.XLOOKUP(A1028,'Video Database'!L:L,'Video Database'!H:H,"")</f>
        <v>0.11</v>
      </c>
      <c r="F1028" s="101">
        <v>0.0</v>
      </c>
      <c r="G1028" s="87">
        <v>0.0</v>
      </c>
      <c r="H1028" s="114">
        <f t="array" ref="H1028">_xlfn.XLOOKUP(A1028,'Video Database'!L:L,'Video Database'!A:A,"")</f>
        <v>46199</v>
      </c>
      <c r="I1028" s="103">
        <v>46201.0</v>
      </c>
      <c r="J1028" s="104">
        <v>0.0</v>
      </c>
      <c r="K1028" s="105"/>
      <c r="L1028" s="105" t="str">
        <f t="shared" si="1"/>
        <v/>
      </c>
      <c r="O1028" s="106" t="str">
        <f t="shared" si="2"/>
        <v>#N/A</v>
      </c>
      <c r="P1028" s="106" t="str">
        <f t="shared" si="3"/>
        <v>#N/A</v>
      </c>
      <c r="Q1028" s="84" t="str">
        <f t="shared" si="4"/>
        <v>#N/A</v>
      </c>
      <c r="R1028" s="84" t="str">
        <f t="shared" si="5"/>
        <v>#N/A</v>
      </c>
      <c r="S1028" s="107">
        <f t="shared" si="6"/>
        <v>-0.11</v>
      </c>
      <c r="T1028" s="108">
        <f t="shared" si="7"/>
        <v>-1</v>
      </c>
      <c r="U1028" s="106" t="str">
        <f t="shared" si="8"/>
        <v>#N/A</v>
      </c>
      <c r="V1028" s="84" t="str">
        <f t="shared" si="9"/>
        <v/>
      </c>
      <c r="W1028" s="109" t="str">
        <f t="shared" si="10"/>
        <v/>
      </c>
      <c r="X1028" s="109" t="str">
        <f t="shared" si="11"/>
        <v/>
      </c>
      <c r="Y1028" s="110" t="str">
        <f t="array" ref="Y1028">_xlfn.XLOOKUP(A1028,'Video Database'!L:L,'Video Database'!M:M,"")</f>
        <v>Bottom of Funnel</v>
      </c>
    </row>
    <row r="1029" ht="22.5" customHeight="1">
      <c r="A1029" s="113">
        <f t="shared" si="12"/>
        <v>1028</v>
      </c>
      <c r="B1029" s="98" t="str">
        <f t="array" ref="B1029">_xlfn.XLOOKUP(A1029,'Video Database'!L:L,'Video Database'!D:D,"")</f>
        <v>Blakely</v>
      </c>
      <c r="C1029" s="98" t="str">
        <f t="array" ref="C1029">_xlfn.XLOOKUP(A1029,'Video Database'!L:L,'Video Database'!E:E,"")</f>
        <v>Account 4</v>
      </c>
      <c r="D1029" s="99" t="str">
        <f t="array" ref="D1029">_xlfn.XLOOKUP(A1029,'Video Database'!L:L,'Video Database'!G:G,"")</f>
        <v>BetterAlt Shilajit Honey Sticks</v>
      </c>
      <c r="E1029" s="100">
        <f t="array" ref="E1029">_xlfn.XLOOKUP(A1029,'Video Database'!L:L,'Video Database'!H:H,"")</f>
        <v>0.11</v>
      </c>
      <c r="F1029" s="101">
        <v>19.89</v>
      </c>
      <c r="G1029" s="87">
        <v>1.0</v>
      </c>
      <c r="H1029" s="114">
        <f t="array" ref="H1029">_xlfn.XLOOKUP(A1029,'Video Database'!L:L,'Video Database'!A:A,"")</f>
        <v>46199</v>
      </c>
      <c r="I1029" s="103">
        <v>46201.0</v>
      </c>
      <c r="J1029" s="104">
        <v>2.0</v>
      </c>
      <c r="K1029" s="87">
        <v>6.0</v>
      </c>
      <c r="L1029" s="105">
        <f t="shared" si="1"/>
        <v>426</v>
      </c>
      <c r="M1029" s="87">
        <v>426.0</v>
      </c>
      <c r="O1029" s="106">
        <f t="shared" si="2"/>
        <v>0.01408450704</v>
      </c>
      <c r="P1029" s="106">
        <f t="shared" si="3"/>
        <v>0.1666666667</v>
      </c>
      <c r="Q1029" s="84">
        <f t="shared" si="4"/>
        <v>2</v>
      </c>
      <c r="R1029" s="84">
        <f t="shared" si="5"/>
        <v>19.89</v>
      </c>
      <c r="S1029" s="107">
        <f t="shared" si="6"/>
        <v>1.89</v>
      </c>
      <c r="T1029" s="108">
        <f t="shared" si="7"/>
        <v>17.18181818</v>
      </c>
      <c r="U1029" s="106">
        <f t="shared" si="8"/>
        <v>0.945</v>
      </c>
      <c r="V1029" s="129">
        <f t="shared" si="9"/>
        <v>0.11</v>
      </c>
      <c r="W1029" s="109">
        <f t="shared" si="10"/>
        <v>0.01833333333</v>
      </c>
      <c r="X1029" s="109">
        <f t="shared" si="11"/>
        <v>0.5530417295</v>
      </c>
      <c r="Y1029" s="110" t="str">
        <f t="array" ref="Y1029">_xlfn.XLOOKUP(A1029,'Video Database'!L:L,'Video Database'!M:M,"")</f>
        <v>Product Overlay</v>
      </c>
    </row>
    <row r="1030" ht="22.5" customHeight="1">
      <c r="A1030" s="113">
        <f t="shared" si="12"/>
        <v>1029</v>
      </c>
      <c r="B1030" s="98" t="str">
        <f t="array" ref="B1030">_xlfn.XLOOKUP(A1030,'Video Database'!L:L,'Video Database'!D:D,"")</f>
        <v>Erin</v>
      </c>
      <c r="C1030" s="98" t="str">
        <f t="array" ref="C1030">_xlfn.XLOOKUP(A1030,'Video Database'!L:L,'Video Database'!E:E,"")</f>
        <v>Account 4</v>
      </c>
      <c r="D1030" s="99" t="str">
        <f t="array" ref="D1030">_xlfn.XLOOKUP(A1030,'Video Database'!L:L,'Video Database'!G:G,"")</f>
        <v>Medicube Kojic Accid Tumeric Power Duo</v>
      </c>
      <c r="E1030" s="100">
        <f t="array" ref="E1030">_xlfn.XLOOKUP(A1030,'Video Database'!L:L,'Video Database'!H:H,"")</f>
        <v>0.7337</v>
      </c>
      <c r="F1030" s="101">
        <v>0.0</v>
      </c>
      <c r="G1030" s="87">
        <v>0.0</v>
      </c>
      <c r="H1030" s="114">
        <f t="array" ref="H1030">_xlfn.XLOOKUP(A1030,'Video Database'!L:L,'Video Database'!A:A,"")</f>
        <v>46199</v>
      </c>
      <c r="I1030" s="103">
        <v>46201.0</v>
      </c>
      <c r="J1030" s="104">
        <v>0.0</v>
      </c>
      <c r="K1030" s="105"/>
      <c r="L1030" s="105" t="str">
        <f t="shared" si="1"/>
        <v/>
      </c>
      <c r="O1030" s="106" t="str">
        <f t="shared" si="2"/>
        <v>#N/A</v>
      </c>
      <c r="P1030" s="106" t="str">
        <f t="shared" si="3"/>
        <v>#N/A</v>
      </c>
      <c r="Q1030" s="84" t="str">
        <f t="shared" si="4"/>
        <v>#N/A</v>
      </c>
      <c r="R1030" s="84" t="str">
        <f t="shared" si="5"/>
        <v>#N/A</v>
      </c>
      <c r="S1030" s="107">
        <f t="shared" si="6"/>
        <v>-0.7337</v>
      </c>
      <c r="T1030" s="108">
        <f t="shared" si="7"/>
        <v>-1</v>
      </c>
      <c r="U1030" s="106" t="str">
        <f t="shared" si="8"/>
        <v>#N/A</v>
      </c>
      <c r="V1030" s="84" t="str">
        <f t="shared" si="9"/>
        <v/>
      </c>
      <c r="W1030" s="109" t="str">
        <f t="shared" si="10"/>
        <v/>
      </c>
      <c r="X1030" s="109" t="str">
        <f t="shared" si="11"/>
        <v/>
      </c>
      <c r="Y1030" s="110" t="str">
        <f t="array" ref="Y1030">_xlfn.XLOOKUP(A1030,'Video Database'!L:L,'Video Database'!M:M,"")</f>
        <v>Bottom of Funnel</v>
      </c>
    </row>
    <row r="1031" ht="22.5" customHeight="1">
      <c r="A1031" s="113">
        <f t="shared" si="12"/>
        <v>1030</v>
      </c>
      <c r="B1031" s="98" t="str">
        <f t="array" ref="B1031">_xlfn.XLOOKUP(A1031,'Video Database'!L:L,'Video Database'!D:D,"")</f>
        <v>Blakely</v>
      </c>
      <c r="C1031" s="98" t="str">
        <f t="array" ref="C1031">_xlfn.XLOOKUP(A1031,'Video Database'!L:L,'Video Database'!E:E,"")</f>
        <v>Account 4</v>
      </c>
      <c r="D1031" s="99" t="str">
        <f t="array" ref="D1031">_xlfn.XLOOKUP(A1031,'Video Database'!L:L,'Video Database'!G:G,"")</f>
        <v>BetterAlt Shilajit Honey Sticks</v>
      </c>
      <c r="E1031" s="100">
        <f t="array" ref="E1031">_xlfn.XLOOKUP(A1031,'Video Database'!L:L,'Video Database'!H:H,"")</f>
        <v>0.11</v>
      </c>
      <c r="F1031" s="101">
        <v>0.0</v>
      </c>
      <c r="G1031" s="87">
        <v>0.0</v>
      </c>
      <c r="H1031" s="114">
        <f t="array" ref="H1031">_xlfn.XLOOKUP(A1031,'Video Database'!L:L,'Video Database'!A:A,"")</f>
        <v>46199</v>
      </c>
      <c r="I1031" s="103">
        <v>46201.0</v>
      </c>
      <c r="J1031" s="104">
        <v>0.0</v>
      </c>
      <c r="K1031" s="105"/>
      <c r="L1031" s="105" t="str">
        <f t="shared" si="1"/>
        <v/>
      </c>
      <c r="O1031" s="106" t="str">
        <f t="shared" si="2"/>
        <v>#N/A</v>
      </c>
      <c r="P1031" s="106" t="str">
        <f t="shared" si="3"/>
        <v>#N/A</v>
      </c>
      <c r="Q1031" s="84" t="str">
        <f t="shared" si="4"/>
        <v>#N/A</v>
      </c>
      <c r="R1031" s="84" t="str">
        <f t="shared" si="5"/>
        <v>#N/A</v>
      </c>
      <c r="S1031" s="107">
        <f t="shared" si="6"/>
        <v>-0.11</v>
      </c>
      <c r="T1031" s="108">
        <f t="shared" si="7"/>
        <v>-1</v>
      </c>
      <c r="U1031" s="106" t="str">
        <f t="shared" si="8"/>
        <v>#N/A</v>
      </c>
      <c r="V1031" s="84" t="str">
        <f t="shared" si="9"/>
        <v/>
      </c>
      <c r="W1031" s="109" t="str">
        <f t="shared" si="10"/>
        <v/>
      </c>
      <c r="X1031" s="109" t="str">
        <f t="shared" si="11"/>
        <v/>
      </c>
      <c r="Y1031" s="110" t="str">
        <f t="array" ref="Y1031">_xlfn.XLOOKUP(A1031,'Video Database'!L:L,'Video Database'!M:M,"")</f>
        <v>Bottom of Funnel</v>
      </c>
    </row>
    <row r="1032" ht="22.5" customHeight="1">
      <c r="A1032" s="113">
        <f t="shared" si="12"/>
        <v>1031</v>
      </c>
      <c r="B1032" s="98" t="str">
        <f t="array" ref="B1032">_xlfn.XLOOKUP(A1032,'Video Database'!L:L,'Video Database'!D:D,"")</f>
        <v>Erin</v>
      </c>
      <c r="C1032" s="98" t="str">
        <f t="array" ref="C1032">_xlfn.XLOOKUP(A1032,'Video Database'!L:L,'Video Database'!E:E,"")</f>
        <v>Account 4</v>
      </c>
      <c r="D1032" s="99" t="str">
        <f t="array" ref="D1032">_xlfn.XLOOKUP(A1032,'Video Database'!L:L,'Video Database'!G:G,"")</f>
        <v>Camellia Deep Collagen Lifting Gel Mask</v>
      </c>
      <c r="E1032" s="100">
        <f t="array" ref="E1032">_xlfn.XLOOKUP(A1032,'Video Database'!L:L,'Video Database'!H:H,"")</f>
        <v>0.7337</v>
      </c>
      <c r="F1032" s="101">
        <v>0.0</v>
      </c>
      <c r="G1032" s="87">
        <v>0.0</v>
      </c>
      <c r="H1032" s="114">
        <f t="array" ref="H1032">_xlfn.XLOOKUP(A1032,'Video Database'!L:L,'Video Database'!A:A,"")</f>
        <v>46199</v>
      </c>
      <c r="I1032" s="103">
        <v>46201.0</v>
      </c>
      <c r="J1032" s="104">
        <v>0.0</v>
      </c>
      <c r="K1032" s="105"/>
      <c r="L1032" s="105" t="str">
        <f t="shared" si="1"/>
        <v/>
      </c>
      <c r="O1032" s="106" t="str">
        <f t="shared" si="2"/>
        <v>#N/A</v>
      </c>
      <c r="P1032" s="106" t="str">
        <f t="shared" si="3"/>
        <v>#N/A</v>
      </c>
      <c r="Q1032" s="84" t="str">
        <f t="shared" si="4"/>
        <v>#N/A</v>
      </c>
      <c r="R1032" s="84" t="str">
        <f t="shared" si="5"/>
        <v>#N/A</v>
      </c>
      <c r="S1032" s="107">
        <f t="shared" si="6"/>
        <v>-0.7337</v>
      </c>
      <c r="T1032" s="108">
        <f t="shared" si="7"/>
        <v>-1</v>
      </c>
      <c r="U1032" s="106" t="str">
        <f t="shared" si="8"/>
        <v>#N/A</v>
      </c>
      <c r="V1032" s="84" t="str">
        <f t="shared" si="9"/>
        <v/>
      </c>
      <c r="W1032" s="109" t="str">
        <f t="shared" si="10"/>
        <v/>
      </c>
      <c r="X1032" s="109" t="str">
        <f t="shared" si="11"/>
        <v/>
      </c>
      <c r="Y1032" s="110" t="str">
        <f t="array" ref="Y1032">_xlfn.XLOOKUP(A1032,'Video Database'!L:L,'Video Database'!M:M,"")</f>
        <v>Bottom of Funnel</v>
      </c>
    </row>
    <row r="1033" ht="22.5" customHeight="1">
      <c r="A1033" s="113">
        <f t="shared" si="12"/>
        <v>1032</v>
      </c>
      <c r="B1033" s="98" t="str">
        <f t="array" ref="B1033">_xlfn.XLOOKUP(A1033,'Video Database'!L:L,'Video Database'!D:D,"")</f>
        <v>Erin</v>
      </c>
      <c r="C1033" s="98" t="str">
        <f t="array" ref="C1033">_xlfn.XLOOKUP(A1033,'Video Database'!L:L,'Video Database'!E:E,"")</f>
        <v>Account 4</v>
      </c>
      <c r="D1033" s="99" t="str">
        <f t="array" ref="D1033">_xlfn.XLOOKUP(A1033,'Video Database'!L:L,'Video Database'!G:G,"")</f>
        <v>Color Wow Quick Refresh and Styling Bundle</v>
      </c>
      <c r="E1033" s="100">
        <f t="array" ref="E1033">_xlfn.XLOOKUP(A1033,'Video Database'!L:L,'Video Database'!H:H,"")</f>
        <v>0.7337</v>
      </c>
      <c r="F1033" s="101">
        <v>0.0</v>
      </c>
      <c r="G1033" s="87">
        <v>0.0</v>
      </c>
      <c r="H1033" s="114">
        <f t="array" ref="H1033">_xlfn.XLOOKUP(A1033,'Video Database'!L:L,'Video Database'!A:A,"")</f>
        <v>46199</v>
      </c>
      <c r="I1033" s="103">
        <v>46201.0</v>
      </c>
      <c r="J1033" s="104">
        <v>0.0</v>
      </c>
      <c r="K1033" s="105"/>
      <c r="L1033" s="105" t="str">
        <f t="shared" si="1"/>
        <v/>
      </c>
      <c r="O1033" s="106" t="str">
        <f t="shared" si="2"/>
        <v>#N/A</v>
      </c>
      <c r="P1033" s="106" t="str">
        <f t="shared" si="3"/>
        <v>#N/A</v>
      </c>
      <c r="Q1033" s="84" t="str">
        <f t="shared" si="4"/>
        <v>#N/A</v>
      </c>
      <c r="R1033" s="84" t="str">
        <f t="shared" si="5"/>
        <v>#N/A</v>
      </c>
      <c r="S1033" s="107">
        <f t="shared" si="6"/>
        <v>-0.7337</v>
      </c>
      <c r="T1033" s="108">
        <f t="shared" si="7"/>
        <v>-1</v>
      </c>
      <c r="U1033" s="106" t="str">
        <f t="shared" si="8"/>
        <v>#N/A</v>
      </c>
      <c r="V1033" s="84" t="str">
        <f t="shared" si="9"/>
        <v/>
      </c>
      <c r="W1033" s="109" t="str">
        <f t="shared" si="10"/>
        <v/>
      </c>
      <c r="X1033" s="109" t="str">
        <f t="shared" si="11"/>
        <v/>
      </c>
      <c r="Y1033" s="110" t="str">
        <f t="array" ref="Y1033">_xlfn.XLOOKUP(A1033,'Video Database'!L:L,'Video Database'!M:M,"")</f>
        <v>Bottom of Funnel</v>
      </c>
    </row>
    <row r="1034" ht="22.5" customHeight="1">
      <c r="A1034" s="113">
        <f t="shared" si="12"/>
        <v>1033</v>
      </c>
      <c r="B1034" s="98" t="str">
        <f t="array" ref="B1034">_xlfn.XLOOKUP(A1034,'Video Database'!L:L,'Video Database'!D:D,"")</f>
        <v>Blakely</v>
      </c>
      <c r="C1034" s="98" t="str">
        <f t="array" ref="C1034">_xlfn.XLOOKUP(A1034,'Video Database'!L:L,'Video Database'!E:E,"")</f>
        <v>Account 1</v>
      </c>
      <c r="D1034" s="99" t="str">
        <f t="array" ref="D1034">_xlfn.XLOOKUP(A1034,'Video Database'!L:L,'Video Database'!G:G,"")</f>
        <v>Nutricost Caffine Capsules</v>
      </c>
      <c r="E1034" s="100">
        <f t="array" ref="E1034">_xlfn.XLOOKUP(A1034,'Video Database'!L:L,'Video Database'!H:H,"")</f>
        <v>0.11</v>
      </c>
      <c r="F1034" s="101">
        <v>0.0</v>
      </c>
      <c r="G1034" s="87">
        <v>0.0</v>
      </c>
      <c r="H1034" s="114">
        <f t="array" ref="H1034">_xlfn.XLOOKUP(A1034,'Video Database'!L:L,'Video Database'!A:A,"")</f>
        <v>46200</v>
      </c>
      <c r="I1034" s="103">
        <v>46201.0</v>
      </c>
      <c r="J1034" s="104">
        <v>0.0</v>
      </c>
      <c r="K1034" s="105"/>
      <c r="L1034" s="105" t="str">
        <f t="shared" si="1"/>
        <v/>
      </c>
      <c r="O1034" s="106" t="str">
        <f t="shared" si="2"/>
        <v>#N/A</v>
      </c>
      <c r="P1034" s="106" t="str">
        <f t="shared" si="3"/>
        <v>#N/A</v>
      </c>
      <c r="Q1034" s="84" t="str">
        <f t="shared" si="4"/>
        <v>#N/A</v>
      </c>
      <c r="R1034" s="84" t="str">
        <f t="shared" si="5"/>
        <v>#N/A</v>
      </c>
      <c r="S1034" s="107">
        <f t="shared" si="6"/>
        <v>-0.11</v>
      </c>
      <c r="T1034" s="108">
        <f t="shared" si="7"/>
        <v>-1</v>
      </c>
      <c r="U1034" s="106" t="str">
        <f t="shared" si="8"/>
        <v>#N/A</v>
      </c>
      <c r="V1034" s="84" t="str">
        <f t="shared" si="9"/>
        <v/>
      </c>
      <c r="W1034" s="109" t="str">
        <f t="shared" si="10"/>
        <v/>
      </c>
      <c r="X1034" s="109" t="str">
        <f t="shared" si="11"/>
        <v/>
      </c>
      <c r="Y1034" s="110" t="str">
        <f t="array" ref="Y1034">_xlfn.XLOOKUP(A1034,'Video Database'!L:L,'Video Database'!M:M,"")</f>
        <v>Product Overlay</v>
      </c>
    </row>
    <row r="1035" ht="22.5" customHeight="1">
      <c r="A1035" s="113">
        <f t="shared" si="12"/>
        <v>1034</v>
      </c>
      <c r="B1035" s="98" t="str">
        <f t="array" ref="B1035">_xlfn.XLOOKUP(A1035,'Video Database'!L:L,'Video Database'!D:D,"")</f>
        <v>Blakely</v>
      </c>
      <c r="C1035" s="98" t="str">
        <f t="array" ref="C1035">_xlfn.XLOOKUP(A1035,'Video Database'!L:L,'Video Database'!E:E,"")</f>
        <v>Account 1</v>
      </c>
      <c r="D1035" s="99" t="str">
        <f t="array" ref="D1035">_xlfn.XLOOKUP(A1035,'Video Database'!L:L,'Video Database'!G:G,"")</f>
        <v>Nutricost Creatine Monohydrate</v>
      </c>
      <c r="E1035" s="100">
        <f t="array" ref="E1035">_xlfn.XLOOKUP(A1035,'Video Database'!L:L,'Video Database'!H:H,"")</f>
        <v>0.11</v>
      </c>
      <c r="F1035" s="101">
        <v>0.0</v>
      </c>
      <c r="G1035" s="87">
        <v>0.0</v>
      </c>
      <c r="H1035" s="114">
        <f t="array" ref="H1035">_xlfn.XLOOKUP(A1035,'Video Database'!L:L,'Video Database'!A:A,"")</f>
        <v>46200</v>
      </c>
      <c r="I1035" s="103">
        <v>46201.0</v>
      </c>
      <c r="J1035" s="104">
        <v>0.0</v>
      </c>
      <c r="K1035" s="105"/>
      <c r="L1035" s="105" t="str">
        <f t="shared" si="1"/>
        <v/>
      </c>
      <c r="O1035" s="106" t="str">
        <f t="shared" si="2"/>
        <v>#N/A</v>
      </c>
      <c r="P1035" s="106" t="str">
        <f t="shared" si="3"/>
        <v>#N/A</v>
      </c>
      <c r="Q1035" s="84" t="str">
        <f t="shared" si="4"/>
        <v>#N/A</v>
      </c>
      <c r="R1035" s="84" t="str">
        <f t="shared" si="5"/>
        <v>#N/A</v>
      </c>
      <c r="S1035" s="107">
        <f t="shared" si="6"/>
        <v>-0.11</v>
      </c>
      <c r="T1035" s="108">
        <f t="shared" si="7"/>
        <v>-1</v>
      </c>
      <c r="U1035" s="106" t="str">
        <f t="shared" si="8"/>
        <v>#N/A</v>
      </c>
      <c r="V1035" s="84" t="str">
        <f t="shared" si="9"/>
        <v/>
      </c>
      <c r="W1035" s="109" t="str">
        <f t="shared" si="10"/>
        <v/>
      </c>
      <c r="X1035" s="109" t="str">
        <f t="shared" si="11"/>
        <v/>
      </c>
      <c r="Y1035" s="110" t="str">
        <f t="array" ref="Y1035">_xlfn.XLOOKUP(A1035,'Video Database'!L:L,'Video Database'!M:M,"")</f>
        <v>Product Overlay</v>
      </c>
    </row>
    <row r="1036" ht="22.5" customHeight="1">
      <c r="A1036" s="113">
        <f t="shared" si="12"/>
        <v>1035</v>
      </c>
      <c r="B1036" s="98" t="str">
        <f t="array" ref="B1036">_xlfn.XLOOKUP(A1036,'Video Database'!L:L,'Video Database'!D:D,"")</f>
        <v>Erin</v>
      </c>
      <c r="C1036" s="98" t="str">
        <f t="array" ref="C1036">_xlfn.XLOOKUP(A1036,'Video Database'!L:L,'Video Database'!E:E,"")</f>
        <v>Account 1</v>
      </c>
      <c r="D1036" s="99" t="str">
        <f t="array" ref="D1036">_xlfn.XLOOKUP(A1036,'Video Database'!L:L,'Video Database'!G:G,"")</f>
        <v>Medicube Kojic Accid Tumeric Power Duo</v>
      </c>
      <c r="E1036" s="100">
        <f t="array" ref="E1036">_xlfn.XLOOKUP(A1036,'Video Database'!L:L,'Video Database'!H:H,"")</f>
        <v>0.7337</v>
      </c>
      <c r="F1036" s="101">
        <v>0.0</v>
      </c>
      <c r="G1036" s="87">
        <v>0.0</v>
      </c>
      <c r="H1036" s="114">
        <f t="array" ref="H1036">_xlfn.XLOOKUP(A1036,'Video Database'!L:L,'Video Database'!A:A,"")</f>
        <v>46200</v>
      </c>
      <c r="I1036" s="103">
        <v>46201.0</v>
      </c>
      <c r="J1036" s="104">
        <v>0.0</v>
      </c>
      <c r="K1036" s="105"/>
      <c r="L1036" s="105" t="str">
        <f t="shared" si="1"/>
        <v/>
      </c>
      <c r="O1036" s="106" t="str">
        <f t="shared" si="2"/>
        <v>#N/A</v>
      </c>
      <c r="P1036" s="106" t="str">
        <f t="shared" si="3"/>
        <v>#N/A</v>
      </c>
      <c r="Q1036" s="84" t="str">
        <f t="shared" si="4"/>
        <v>#N/A</v>
      </c>
      <c r="R1036" s="84" t="str">
        <f t="shared" si="5"/>
        <v>#N/A</v>
      </c>
      <c r="S1036" s="107">
        <f t="shared" si="6"/>
        <v>-0.7337</v>
      </c>
      <c r="T1036" s="108">
        <f t="shared" si="7"/>
        <v>-1</v>
      </c>
      <c r="U1036" s="106" t="str">
        <f t="shared" si="8"/>
        <v>#N/A</v>
      </c>
      <c r="V1036" s="84" t="str">
        <f t="shared" si="9"/>
        <v/>
      </c>
      <c r="W1036" s="109" t="str">
        <f t="shared" si="10"/>
        <v/>
      </c>
      <c r="X1036" s="109" t="str">
        <f t="shared" si="11"/>
        <v/>
      </c>
      <c r="Y1036" s="110" t="str">
        <f t="array" ref="Y1036">_xlfn.XLOOKUP(A1036,'Video Database'!L:L,'Video Database'!M:M,"")</f>
        <v>Bottom of Funnel</v>
      </c>
    </row>
    <row r="1037" ht="22.5" customHeight="1">
      <c r="A1037" s="113">
        <f t="shared" si="12"/>
        <v>1036</v>
      </c>
      <c r="B1037" s="98" t="str">
        <f t="array" ref="B1037">_xlfn.XLOOKUP(A1037,'Video Database'!L:L,'Video Database'!D:D,"")</f>
        <v>Blakely</v>
      </c>
      <c r="C1037" s="98" t="str">
        <f t="array" ref="C1037">_xlfn.XLOOKUP(A1037,'Video Database'!L:L,'Video Database'!E:E,"")</f>
        <v>Account 1</v>
      </c>
      <c r="D1037" s="99" t="str">
        <f t="array" ref="D1037">_xlfn.XLOOKUP(A1037,'Video Database'!L:L,'Video Database'!G:G,"")</f>
        <v>tarte CC Color-Correct Tinted Serum</v>
      </c>
      <c r="E1037" s="100">
        <f t="array" ref="E1037">_xlfn.XLOOKUP(A1037,'Video Database'!L:L,'Video Database'!H:H,"")</f>
        <v>0.11</v>
      </c>
      <c r="F1037" s="101">
        <v>0.0</v>
      </c>
      <c r="G1037" s="87">
        <v>0.0</v>
      </c>
      <c r="H1037" s="114">
        <f t="array" ref="H1037">_xlfn.XLOOKUP(A1037,'Video Database'!L:L,'Video Database'!A:A,"")</f>
        <v>46200</v>
      </c>
      <c r="I1037" s="103">
        <v>46201.0</v>
      </c>
      <c r="J1037" s="104">
        <v>0.0</v>
      </c>
      <c r="K1037" s="105"/>
      <c r="L1037" s="105" t="str">
        <f t="shared" si="1"/>
        <v/>
      </c>
      <c r="O1037" s="106" t="str">
        <f t="shared" si="2"/>
        <v>#N/A</v>
      </c>
      <c r="P1037" s="106" t="str">
        <f t="shared" si="3"/>
        <v>#N/A</v>
      </c>
      <c r="Q1037" s="84" t="str">
        <f t="shared" si="4"/>
        <v>#N/A</v>
      </c>
      <c r="R1037" s="84" t="str">
        <f t="shared" si="5"/>
        <v>#N/A</v>
      </c>
      <c r="S1037" s="107">
        <f t="shared" si="6"/>
        <v>-0.11</v>
      </c>
      <c r="T1037" s="108">
        <f t="shared" si="7"/>
        <v>-1</v>
      </c>
      <c r="U1037" s="106" t="str">
        <f t="shared" si="8"/>
        <v>#N/A</v>
      </c>
      <c r="V1037" s="84" t="str">
        <f t="shared" si="9"/>
        <v/>
      </c>
      <c r="W1037" s="109" t="str">
        <f t="shared" si="10"/>
        <v/>
      </c>
      <c r="X1037" s="109" t="str">
        <f t="shared" si="11"/>
        <v/>
      </c>
      <c r="Y1037" s="110" t="str">
        <f t="array" ref="Y1037">_xlfn.XLOOKUP(A1037,'Video Database'!L:L,'Video Database'!M:M,"")</f>
        <v>Bottom of Funnel</v>
      </c>
    </row>
    <row r="1038" ht="22.5" customHeight="1">
      <c r="A1038" s="113">
        <f t="shared" si="12"/>
        <v>1037</v>
      </c>
      <c r="B1038" s="98" t="str">
        <f t="array" ref="B1038">_xlfn.XLOOKUP(A1038,'Video Database'!L:L,'Video Database'!D:D,"")</f>
        <v>Erin</v>
      </c>
      <c r="C1038" s="98" t="str">
        <f t="array" ref="C1038">_xlfn.XLOOKUP(A1038,'Video Database'!L:L,'Video Database'!E:E,"")</f>
        <v>Account 1</v>
      </c>
      <c r="D1038" s="99" t="str">
        <f t="array" ref="D1038">_xlfn.XLOOKUP(A1038,'Video Database'!L:L,'Video Database'!G:G,"")</f>
        <v>Camellia Deep Collagen Lifting Gel Mask</v>
      </c>
      <c r="E1038" s="100">
        <f t="array" ref="E1038">_xlfn.XLOOKUP(A1038,'Video Database'!L:L,'Video Database'!H:H,"")</f>
        <v>0.7337</v>
      </c>
      <c r="F1038" s="101">
        <v>0.0</v>
      </c>
      <c r="G1038" s="87">
        <v>0.0</v>
      </c>
      <c r="H1038" s="114">
        <f t="array" ref="H1038">_xlfn.XLOOKUP(A1038,'Video Database'!L:L,'Video Database'!A:A,"")</f>
        <v>46200</v>
      </c>
      <c r="I1038" s="103">
        <v>46201.0</v>
      </c>
      <c r="J1038" s="104">
        <v>0.0</v>
      </c>
      <c r="K1038" s="105"/>
      <c r="L1038" s="105" t="str">
        <f t="shared" si="1"/>
        <v/>
      </c>
      <c r="O1038" s="106" t="str">
        <f t="shared" si="2"/>
        <v>#N/A</v>
      </c>
      <c r="P1038" s="106" t="str">
        <f t="shared" si="3"/>
        <v>#N/A</v>
      </c>
      <c r="Q1038" s="84" t="str">
        <f t="shared" si="4"/>
        <v>#N/A</v>
      </c>
      <c r="R1038" s="84" t="str">
        <f t="shared" si="5"/>
        <v>#N/A</v>
      </c>
      <c r="S1038" s="107">
        <f t="shared" si="6"/>
        <v>-0.7337</v>
      </c>
      <c r="T1038" s="108">
        <f t="shared" si="7"/>
        <v>-1</v>
      </c>
      <c r="U1038" s="106" t="str">
        <f t="shared" si="8"/>
        <v>#N/A</v>
      </c>
      <c r="V1038" s="84" t="str">
        <f t="shared" si="9"/>
        <v/>
      </c>
      <c r="W1038" s="109" t="str">
        <f t="shared" si="10"/>
        <v/>
      </c>
      <c r="X1038" s="109" t="str">
        <f t="shared" si="11"/>
        <v/>
      </c>
      <c r="Y1038" s="110" t="str">
        <f t="array" ref="Y1038">_xlfn.XLOOKUP(A1038,'Video Database'!L:L,'Video Database'!M:M,"")</f>
        <v>Bottom of Funnel</v>
      </c>
    </row>
    <row r="1039" ht="22.5" customHeight="1">
      <c r="A1039" s="113">
        <f t="shared" si="12"/>
        <v>1038</v>
      </c>
      <c r="B1039" s="98" t="str">
        <f t="array" ref="B1039">_xlfn.XLOOKUP(A1039,'Video Database'!L:L,'Video Database'!D:D,"")</f>
        <v>Blakely</v>
      </c>
      <c r="C1039" s="98" t="str">
        <f t="array" ref="C1039">_xlfn.XLOOKUP(A1039,'Video Database'!L:L,'Video Database'!E:E,"")</f>
        <v>Account 1</v>
      </c>
      <c r="D1039" s="99" t="str">
        <f t="array" ref="D1039">_xlfn.XLOOKUP(A1039,'Video Database'!L:L,'Video Database'!G:G,"")</f>
        <v>BetterAlt Shilajit Honey Sticks</v>
      </c>
      <c r="E1039" s="100">
        <f t="array" ref="E1039">_xlfn.XLOOKUP(A1039,'Video Database'!L:L,'Video Database'!H:H,"")</f>
        <v>0.11</v>
      </c>
      <c r="F1039" s="101">
        <v>0.0</v>
      </c>
      <c r="G1039" s="87">
        <v>0.0</v>
      </c>
      <c r="H1039" s="114">
        <f t="array" ref="H1039">_xlfn.XLOOKUP(A1039,'Video Database'!L:L,'Video Database'!A:A,"")</f>
        <v>46200</v>
      </c>
      <c r="I1039" s="103">
        <v>46201.0</v>
      </c>
      <c r="J1039" s="104">
        <v>0.0</v>
      </c>
      <c r="K1039" s="105"/>
      <c r="L1039" s="105" t="str">
        <f t="shared" si="1"/>
        <v/>
      </c>
      <c r="O1039" s="106" t="str">
        <f t="shared" si="2"/>
        <v>#N/A</v>
      </c>
      <c r="P1039" s="106" t="str">
        <f t="shared" si="3"/>
        <v>#N/A</v>
      </c>
      <c r="Q1039" s="84" t="str">
        <f t="shared" si="4"/>
        <v>#N/A</v>
      </c>
      <c r="R1039" s="84" t="str">
        <f t="shared" si="5"/>
        <v>#N/A</v>
      </c>
      <c r="S1039" s="107">
        <f t="shared" si="6"/>
        <v>-0.11</v>
      </c>
      <c r="T1039" s="108">
        <f t="shared" si="7"/>
        <v>-1</v>
      </c>
      <c r="U1039" s="106" t="str">
        <f t="shared" si="8"/>
        <v>#N/A</v>
      </c>
      <c r="V1039" s="84" t="str">
        <f t="shared" si="9"/>
        <v/>
      </c>
      <c r="W1039" s="109" t="str">
        <f t="shared" si="10"/>
        <v/>
      </c>
      <c r="X1039" s="109" t="str">
        <f t="shared" si="11"/>
        <v/>
      </c>
      <c r="Y1039" s="110" t="str">
        <f t="array" ref="Y1039">_xlfn.XLOOKUP(A1039,'Video Database'!L:L,'Video Database'!M:M,"")</f>
        <v>Product Overlay</v>
      </c>
    </row>
    <row r="1040" ht="22.5" customHeight="1">
      <c r="A1040" s="113">
        <f t="shared" si="12"/>
        <v>1039</v>
      </c>
      <c r="B1040" s="98" t="str">
        <f t="array" ref="B1040">_xlfn.XLOOKUP(A1040,'Video Database'!L:L,'Video Database'!D:D,"")</f>
        <v>Erin</v>
      </c>
      <c r="C1040" s="98" t="str">
        <f t="array" ref="C1040">_xlfn.XLOOKUP(A1040,'Video Database'!L:L,'Video Database'!E:E,"")</f>
        <v>Account 1</v>
      </c>
      <c r="D1040" s="99" t="str">
        <f t="array" ref="D1040">_xlfn.XLOOKUP(A1040,'Video Database'!L:L,'Video Database'!G:G,"")</f>
        <v>Camellia Deep Collagen Lifting Gel Mask</v>
      </c>
      <c r="E1040" s="100">
        <f t="array" ref="E1040">_xlfn.XLOOKUP(A1040,'Video Database'!L:L,'Video Database'!H:H,"")</f>
        <v>0.7337</v>
      </c>
      <c r="F1040" s="101">
        <v>0.0</v>
      </c>
      <c r="G1040" s="87">
        <v>0.0</v>
      </c>
      <c r="H1040" s="114">
        <f t="array" ref="H1040">_xlfn.XLOOKUP(A1040,'Video Database'!L:L,'Video Database'!A:A,"")</f>
        <v>46200</v>
      </c>
      <c r="I1040" s="103">
        <v>46201.0</v>
      </c>
      <c r="J1040" s="104">
        <v>0.0</v>
      </c>
      <c r="K1040" s="105"/>
      <c r="L1040" s="105" t="str">
        <f t="shared" si="1"/>
        <v/>
      </c>
      <c r="O1040" s="106" t="str">
        <f t="shared" si="2"/>
        <v>#N/A</v>
      </c>
      <c r="P1040" s="106" t="str">
        <f t="shared" si="3"/>
        <v>#N/A</v>
      </c>
      <c r="Q1040" s="84" t="str">
        <f t="shared" si="4"/>
        <v>#N/A</v>
      </c>
      <c r="R1040" s="84" t="str">
        <f t="shared" si="5"/>
        <v>#N/A</v>
      </c>
      <c r="S1040" s="107">
        <f t="shared" si="6"/>
        <v>-0.7337</v>
      </c>
      <c r="T1040" s="108">
        <f t="shared" si="7"/>
        <v>-1</v>
      </c>
      <c r="U1040" s="106" t="str">
        <f t="shared" si="8"/>
        <v>#N/A</v>
      </c>
      <c r="V1040" s="84" t="str">
        <f t="shared" si="9"/>
        <v/>
      </c>
      <c r="W1040" s="109" t="str">
        <f t="shared" si="10"/>
        <v/>
      </c>
      <c r="X1040" s="109" t="str">
        <f t="shared" si="11"/>
        <v/>
      </c>
      <c r="Y1040" s="110" t="str">
        <f t="array" ref="Y1040">_xlfn.XLOOKUP(A1040,'Video Database'!L:L,'Video Database'!M:M,"")</f>
        <v>Bottom of Funnel</v>
      </c>
    </row>
    <row r="1041" ht="22.5" customHeight="1">
      <c r="A1041" s="113">
        <f t="shared" si="12"/>
        <v>1040</v>
      </c>
      <c r="B1041" s="98" t="str">
        <f t="array" ref="B1041">_xlfn.XLOOKUP(A1041,'Video Database'!L:L,'Video Database'!D:D,"")</f>
        <v>Erin</v>
      </c>
      <c r="C1041" s="98" t="str">
        <f t="array" ref="C1041">_xlfn.XLOOKUP(A1041,'Video Database'!L:L,'Video Database'!E:E,"")</f>
        <v>Account 1</v>
      </c>
      <c r="D1041" s="99" t="str">
        <f t="array" ref="D1041">_xlfn.XLOOKUP(A1041,'Video Database'!L:L,'Video Database'!G:G,"")</f>
        <v>Color Wow Quick Refresh and Styling Bundle</v>
      </c>
      <c r="E1041" s="100">
        <f t="array" ref="E1041">_xlfn.XLOOKUP(A1041,'Video Database'!L:L,'Video Database'!H:H,"")</f>
        <v>0.7337</v>
      </c>
      <c r="F1041" s="101">
        <v>0.0</v>
      </c>
      <c r="G1041" s="87">
        <v>0.0</v>
      </c>
      <c r="H1041" s="114">
        <f t="array" ref="H1041">_xlfn.XLOOKUP(A1041,'Video Database'!L:L,'Video Database'!A:A,"")</f>
        <v>46200</v>
      </c>
      <c r="I1041" s="103">
        <v>46201.0</v>
      </c>
      <c r="J1041" s="104">
        <v>0.0</v>
      </c>
      <c r="K1041" s="105"/>
      <c r="L1041" s="105" t="str">
        <f t="shared" si="1"/>
        <v/>
      </c>
      <c r="O1041" s="106" t="str">
        <f t="shared" si="2"/>
        <v>#N/A</v>
      </c>
      <c r="P1041" s="106" t="str">
        <f t="shared" si="3"/>
        <v>#N/A</v>
      </c>
      <c r="Q1041" s="84" t="str">
        <f t="shared" si="4"/>
        <v>#N/A</v>
      </c>
      <c r="R1041" s="84" t="str">
        <f t="shared" si="5"/>
        <v>#N/A</v>
      </c>
      <c r="S1041" s="107">
        <f t="shared" si="6"/>
        <v>-0.7337</v>
      </c>
      <c r="T1041" s="108">
        <f t="shared" si="7"/>
        <v>-1</v>
      </c>
      <c r="U1041" s="106" t="str">
        <f t="shared" si="8"/>
        <v>#N/A</v>
      </c>
      <c r="V1041" s="84" t="str">
        <f t="shared" si="9"/>
        <v/>
      </c>
      <c r="W1041" s="109" t="str">
        <f t="shared" si="10"/>
        <v/>
      </c>
      <c r="X1041" s="109" t="str">
        <f t="shared" si="11"/>
        <v/>
      </c>
      <c r="Y1041" s="110" t="str">
        <f t="array" ref="Y1041">_xlfn.XLOOKUP(A1041,'Video Database'!L:L,'Video Database'!M:M,"")</f>
        <v>Bottom of Funnel</v>
      </c>
    </row>
    <row r="1042" ht="22.5" customHeight="1">
      <c r="A1042" s="113">
        <f t="shared" si="12"/>
        <v>1041</v>
      </c>
      <c r="B1042" s="98" t="str">
        <f t="array" ref="B1042">_xlfn.XLOOKUP(A1042,'Video Database'!L:L,'Video Database'!D:D,"")</f>
        <v>Erin</v>
      </c>
      <c r="C1042" s="98" t="str">
        <f t="array" ref="C1042">_xlfn.XLOOKUP(A1042,'Video Database'!L:L,'Video Database'!E:E,"")</f>
        <v>Account 1</v>
      </c>
      <c r="D1042" s="99" t="str">
        <f t="array" ref="D1042">_xlfn.XLOOKUP(A1042,'Video Database'!L:L,'Video Database'!G:G,"")</f>
        <v>Camellia Deep Collagen Lifting Gel Mask</v>
      </c>
      <c r="E1042" s="100">
        <f t="array" ref="E1042">_xlfn.XLOOKUP(A1042,'Video Database'!L:L,'Video Database'!H:H,"")</f>
        <v>0.7337</v>
      </c>
      <c r="F1042" s="101">
        <v>0.0</v>
      </c>
      <c r="G1042" s="87">
        <v>0.0</v>
      </c>
      <c r="H1042" s="114">
        <f t="array" ref="H1042">_xlfn.XLOOKUP(A1042,'Video Database'!L:L,'Video Database'!A:A,"")</f>
        <v>46200</v>
      </c>
      <c r="I1042" s="103">
        <v>46201.0</v>
      </c>
      <c r="J1042" s="104">
        <v>0.0</v>
      </c>
      <c r="K1042" s="105"/>
      <c r="L1042" s="105" t="str">
        <f t="shared" si="1"/>
        <v/>
      </c>
      <c r="O1042" s="106" t="str">
        <f t="shared" si="2"/>
        <v>#N/A</v>
      </c>
      <c r="P1042" s="106" t="str">
        <f t="shared" si="3"/>
        <v>#N/A</v>
      </c>
      <c r="Q1042" s="84" t="str">
        <f t="shared" si="4"/>
        <v>#N/A</v>
      </c>
      <c r="R1042" s="84" t="str">
        <f t="shared" si="5"/>
        <v>#N/A</v>
      </c>
      <c r="S1042" s="107">
        <f t="shared" si="6"/>
        <v>-0.7337</v>
      </c>
      <c r="T1042" s="108">
        <f t="shared" si="7"/>
        <v>-1</v>
      </c>
      <c r="U1042" s="106" t="str">
        <f t="shared" si="8"/>
        <v>#N/A</v>
      </c>
      <c r="V1042" s="84" t="str">
        <f t="shared" si="9"/>
        <v/>
      </c>
      <c r="W1042" s="109" t="str">
        <f t="shared" si="10"/>
        <v/>
      </c>
      <c r="X1042" s="109" t="str">
        <f t="shared" si="11"/>
        <v/>
      </c>
      <c r="Y1042" s="110" t="str">
        <f t="array" ref="Y1042">_xlfn.XLOOKUP(A1042,'Video Database'!L:L,'Video Database'!M:M,"")</f>
        <v>Bottom of Funnel</v>
      </c>
    </row>
    <row r="1043" ht="22.5" customHeight="1">
      <c r="A1043" s="113">
        <f t="shared" si="12"/>
        <v>1042</v>
      </c>
      <c r="B1043" s="98" t="str">
        <f t="array" ref="B1043">_xlfn.XLOOKUP(A1043,'Video Database'!L:L,'Video Database'!D:D,"")</f>
        <v>Blakely</v>
      </c>
      <c r="C1043" s="98" t="str">
        <f t="array" ref="C1043">_xlfn.XLOOKUP(A1043,'Video Database'!L:L,'Video Database'!E:E,"")</f>
        <v>Account 1</v>
      </c>
      <c r="D1043" s="99" t="str">
        <f t="array" ref="D1043">_xlfn.XLOOKUP(A1043,'Video Database'!L:L,'Video Database'!G:G,"")</f>
        <v>IRIS Hormone Health Drink Mix</v>
      </c>
      <c r="E1043" s="100">
        <f t="array" ref="E1043">_xlfn.XLOOKUP(A1043,'Video Database'!L:L,'Video Database'!H:H,"")</f>
        <v>0.11</v>
      </c>
      <c r="F1043" s="101">
        <v>0.0</v>
      </c>
      <c r="G1043" s="87">
        <v>0.0</v>
      </c>
      <c r="H1043" s="114">
        <f t="array" ref="H1043">_xlfn.XLOOKUP(A1043,'Video Database'!L:L,'Video Database'!A:A,"")</f>
        <v>46200</v>
      </c>
      <c r="I1043" s="103">
        <v>46201.0</v>
      </c>
      <c r="J1043" s="104">
        <v>0.0</v>
      </c>
      <c r="K1043" s="105"/>
      <c r="L1043" s="105" t="str">
        <f t="shared" si="1"/>
        <v/>
      </c>
      <c r="O1043" s="106" t="str">
        <f t="shared" si="2"/>
        <v>#N/A</v>
      </c>
      <c r="P1043" s="106" t="str">
        <f t="shared" si="3"/>
        <v>#N/A</v>
      </c>
      <c r="Q1043" s="84" t="str">
        <f t="shared" si="4"/>
        <v>#N/A</v>
      </c>
      <c r="R1043" s="84" t="str">
        <f t="shared" si="5"/>
        <v>#N/A</v>
      </c>
      <c r="S1043" s="107">
        <f t="shared" si="6"/>
        <v>-0.11</v>
      </c>
      <c r="T1043" s="108">
        <f t="shared" si="7"/>
        <v>-1</v>
      </c>
      <c r="U1043" s="106" t="str">
        <f t="shared" si="8"/>
        <v>#N/A</v>
      </c>
      <c r="V1043" s="84" t="str">
        <f t="shared" si="9"/>
        <v/>
      </c>
      <c r="W1043" s="109" t="str">
        <f t="shared" si="10"/>
        <v/>
      </c>
      <c r="X1043" s="109" t="str">
        <f t="shared" si="11"/>
        <v/>
      </c>
      <c r="Y1043" s="110" t="str">
        <f t="array" ref="Y1043">_xlfn.XLOOKUP(A1043,'Video Database'!L:L,'Video Database'!M:M,"")</f>
        <v>Product Overlay</v>
      </c>
    </row>
    <row r="1044" ht="22.5" customHeight="1">
      <c r="A1044" s="113">
        <f t="shared" si="12"/>
        <v>1043</v>
      </c>
      <c r="B1044" s="98" t="str">
        <f t="array" ref="B1044">_xlfn.XLOOKUP(A1044,'Video Database'!L:L,'Video Database'!D:D,"")</f>
        <v>Blakely</v>
      </c>
      <c r="C1044" s="98" t="str">
        <f t="array" ref="C1044">_xlfn.XLOOKUP(A1044,'Video Database'!L:L,'Video Database'!E:E,"")</f>
        <v>Account 2</v>
      </c>
      <c r="D1044" s="99" t="str">
        <f t="array" ref="D1044">_xlfn.XLOOKUP(A1044,'Video Database'!L:L,'Video Database'!G:G,"")</f>
        <v>Beast Bites Creatine Gummies</v>
      </c>
      <c r="E1044" s="100">
        <f t="array" ref="E1044">_xlfn.XLOOKUP(A1044,'Video Database'!L:L,'Video Database'!H:H,"")</f>
        <v>0.11</v>
      </c>
      <c r="F1044" s="101">
        <v>0.0</v>
      </c>
      <c r="G1044" s="87">
        <v>0.0</v>
      </c>
      <c r="H1044" s="114">
        <f t="array" ref="H1044">_xlfn.XLOOKUP(A1044,'Video Database'!L:L,'Video Database'!A:A,"")</f>
        <v>46200</v>
      </c>
      <c r="I1044" s="103">
        <v>46201.0</v>
      </c>
      <c r="J1044" s="104">
        <v>0.0</v>
      </c>
      <c r="K1044" s="105"/>
      <c r="L1044" s="105" t="str">
        <f t="shared" si="1"/>
        <v/>
      </c>
      <c r="O1044" s="106" t="str">
        <f t="shared" si="2"/>
        <v>#N/A</v>
      </c>
      <c r="P1044" s="106" t="str">
        <f t="shared" si="3"/>
        <v>#N/A</v>
      </c>
      <c r="Q1044" s="84" t="str">
        <f t="shared" si="4"/>
        <v>#N/A</v>
      </c>
      <c r="R1044" s="84" t="str">
        <f t="shared" si="5"/>
        <v>#N/A</v>
      </c>
      <c r="S1044" s="107">
        <f t="shared" si="6"/>
        <v>-0.11</v>
      </c>
      <c r="T1044" s="108">
        <f t="shared" si="7"/>
        <v>-1</v>
      </c>
      <c r="U1044" s="106" t="str">
        <f t="shared" si="8"/>
        <v>#N/A</v>
      </c>
      <c r="V1044" s="84" t="str">
        <f t="shared" si="9"/>
        <v/>
      </c>
      <c r="W1044" s="109" t="str">
        <f t="shared" si="10"/>
        <v/>
      </c>
      <c r="X1044" s="109" t="str">
        <f t="shared" si="11"/>
        <v/>
      </c>
      <c r="Y1044" s="110" t="str">
        <f t="array" ref="Y1044">_xlfn.XLOOKUP(A1044,'Video Database'!L:L,'Video Database'!M:M,"")</f>
        <v>Product Overlay</v>
      </c>
    </row>
    <row r="1045" ht="22.5" customHeight="1">
      <c r="A1045" s="113">
        <f t="shared" si="12"/>
        <v>1044</v>
      </c>
      <c r="B1045" s="98" t="str">
        <f t="array" ref="B1045">_xlfn.XLOOKUP(A1045,'Video Database'!L:L,'Video Database'!D:D,"")</f>
        <v>Blakely</v>
      </c>
      <c r="C1045" s="98" t="str">
        <f t="array" ref="C1045">_xlfn.XLOOKUP(A1045,'Video Database'!L:L,'Video Database'!E:E,"")</f>
        <v>Account 2</v>
      </c>
      <c r="D1045" s="99" t="str">
        <f t="array" ref="D1045">_xlfn.XLOOKUP(A1045,'Video Database'!L:L,'Video Database'!G:G,"")</f>
        <v>tarte CC Color-Correct Tinted Serum</v>
      </c>
      <c r="E1045" s="100">
        <f t="array" ref="E1045">_xlfn.XLOOKUP(A1045,'Video Database'!L:L,'Video Database'!H:H,"")</f>
        <v>0.11</v>
      </c>
      <c r="F1045" s="101">
        <v>0.0</v>
      </c>
      <c r="G1045" s="87">
        <v>0.0</v>
      </c>
      <c r="H1045" s="114">
        <f t="array" ref="H1045">_xlfn.XLOOKUP(A1045,'Video Database'!L:L,'Video Database'!A:A,"")</f>
        <v>46200</v>
      </c>
      <c r="I1045" s="103">
        <v>46201.0</v>
      </c>
      <c r="J1045" s="104">
        <v>0.0</v>
      </c>
      <c r="K1045" s="105"/>
      <c r="L1045" s="105" t="str">
        <f t="shared" si="1"/>
        <v/>
      </c>
      <c r="O1045" s="106" t="str">
        <f t="shared" si="2"/>
        <v>#N/A</v>
      </c>
      <c r="P1045" s="106" t="str">
        <f t="shared" si="3"/>
        <v>#N/A</v>
      </c>
      <c r="Q1045" s="84" t="str">
        <f t="shared" si="4"/>
        <v>#N/A</v>
      </c>
      <c r="R1045" s="84" t="str">
        <f t="shared" si="5"/>
        <v>#N/A</v>
      </c>
      <c r="S1045" s="107">
        <f t="shared" si="6"/>
        <v>-0.11</v>
      </c>
      <c r="T1045" s="108">
        <f t="shared" si="7"/>
        <v>-1</v>
      </c>
      <c r="U1045" s="106" t="str">
        <f t="shared" si="8"/>
        <v>#N/A</v>
      </c>
      <c r="V1045" s="84" t="str">
        <f t="shared" si="9"/>
        <v/>
      </c>
      <c r="W1045" s="109" t="str">
        <f t="shared" si="10"/>
        <v/>
      </c>
      <c r="X1045" s="109" t="str">
        <f t="shared" si="11"/>
        <v/>
      </c>
      <c r="Y1045" s="110" t="str">
        <f t="array" ref="Y1045">_xlfn.XLOOKUP(A1045,'Video Database'!L:L,'Video Database'!M:M,"")</f>
        <v>Product Overlay</v>
      </c>
    </row>
    <row r="1046" ht="22.5" customHeight="1">
      <c r="A1046" s="113">
        <f t="shared" si="12"/>
        <v>1045</v>
      </c>
      <c r="B1046" s="98" t="str">
        <f t="array" ref="B1046">_xlfn.XLOOKUP(A1046,'Video Database'!L:L,'Video Database'!D:D,"")</f>
        <v>Blakely</v>
      </c>
      <c r="C1046" s="98" t="str">
        <f t="array" ref="C1046">_xlfn.XLOOKUP(A1046,'Video Database'!L:L,'Video Database'!E:E,"")</f>
        <v>Account 2</v>
      </c>
      <c r="D1046" s="99" t="str">
        <f t="array" ref="D1046">_xlfn.XLOOKUP(A1046,'Video Database'!L:L,'Video Database'!G:G,"")</f>
        <v>IRIS Hormone Health Drink Mix</v>
      </c>
      <c r="E1046" s="100">
        <f t="array" ref="E1046">_xlfn.XLOOKUP(A1046,'Video Database'!L:L,'Video Database'!H:H,"")</f>
        <v>0.11</v>
      </c>
      <c r="F1046" s="101">
        <v>0.0</v>
      </c>
      <c r="G1046" s="87">
        <v>0.0</v>
      </c>
      <c r="H1046" s="114">
        <f t="array" ref="H1046">_xlfn.XLOOKUP(A1046,'Video Database'!L:L,'Video Database'!A:A,"")</f>
        <v>46200</v>
      </c>
      <c r="I1046" s="103">
        <v>46201.0</v>
      </c>
      <c r="J1046" s="104">
        <v>0.0</v>
      </c>
      <c r="K1046" s="105"/>
      <c r="L1046" s="105" t="str">
        <f t="shared" si="1"/>
        <v/>
      </c>
      <c r="O1046" s="106" t="str">
        <f t="shared" si="2"/>
        <v>#N/A</v>
      </c>
      <c r="P1046" s="106" t="str">
        <f t="shared" si="3"/>
        <v>#N/A</v>
      </c>
      <c r="Q1046" s="84" t="str">
        <f t="shared" si="4"/>
        <v>#N/A</v>
      </c>
      <c r="R1046" s="84" t="str">
        <f t="shared" si="5"/>
        <v>#N/A</v>
      </c>
      <c r="S1046" s="107">
        <f t="shared" si="6"/>
        <v>-0.11</v>
      </c>
      <c r="T1046" s="108">
        <f t="shared" si="7"/>
        <v>-1</v>
      </c>
      <c r="U1046" s="106" t="str">
        <f t="shared" si="8"/>
        <v>#N/A</v>
      </c>
      <c r="V1046" s="84" t="str">
        <f t="shared" si="9"/>
        <v/>
      </c>
      <c r="W1046" s="109" t="str">
        <f t="shared" si="10"/>
        <v/>
      </c>
      <c r="X1046" s="109" t="str">
        <f t="shared" si="11"/>
        <v/>
      </c>
      <c r="Y1046" s="110" t="str">
        <f t="array" ref="Y1046">_xlfn.XLOOKUP(A1046,'Video Database'!L:L,'Video Database'!M:M,"")</f>
        <v>Bottom of Funnel</v>
      </c>
    </row>
    <row r="1047" ht="22.5" customHeight="1">
      <c r="A1047" s="113">
        <f t="shared" si="12"/>
        <v>1046</v>
      </c>
      <c r="B1047" s="98" t="str">
        <f t="array" ref="B1047">_xlfn.XLOOKUP(A1047,'Video Database'!L:L,'Video Database'!D:D,"")</f>
        <v>Erin</v>
      </c>
      <c r="C1047" s="98" t="str">
        <f t="array" ref="C1047">_xlfn.XLOOKUP(A1047,'Video Database'!L:L,'Video Database'!E:E,"")</f>
        <v>Account 2</v>
      </c>
      <c r="D1047" s="99" t="str">
        <f t="array" ref="D1047">_xlfn.XLOOKUP(A1047,'Video Database'!L:L,'Video Database'!G:G,"")</f>
        <v>Camellia Deep Collagen Lifting Gel Mask</v>
      </c>
      <c r="E1047" s="100">
        <f t="array" ref="E1047">_xlfn.XLOOKUP(A1047,'Video Database'!L:L,'Video Database'!H:H,"")</f>
        <v>0.7337</v>
      </c>
      <c r="F1047" s="101">
        <v>0.0</v>
      </c>
      <c r="G1047" s="87">
        <v>0.0</v>
      </c>
      <c r="H1047" s="114">
        <f t="array" ref="H1047">_xlfn.XLOOKUP(A1047,'Video Database'!L:L,'Video Database'!A:A,"")</f>
        <v>46200</v>
      </c>
      <c r="I1047" s="103">
        <v>46201.0</v>
      </c>
      <c r="J1047" s="104">
        <v>0.0</v>
      </c>
      <c r="K1047" s="105"/>
      <c r="L1047" s="105" t="str">
        <f t="shared" si="1"/>
        <v/>
      </c>
      <c r="O1047" s="106" t="str">
        <f t="shared" si="2"/>
        <v>#N/A</v>
      </c>
      <c r="P1047" s="106" t="str">
        <f t="shared" si="3"/>
        <v>#N/A</v>
      </c>
      <c r="Q1047" s="84" t="str">
        <f t="shared" si="4"/>
        <v>#N/A</v>
      </c>
      <c r="R1047" s="84" t="str">
        <f t="shared" si="5"/>
        <v>#N/A</v>
      </c>
      <c r="S1047" s="107">
        <f t="shared" si="6"/>
        <v>-0.7337</v>
      </c>
      <c r="T1047" s="108">
        <f t="shared" si="7"/>
        <v>-1</v>
      </c>
      <c r="U1047" s="106" t="str">
        <f t="shared" si="8"/>
        <v>#N/A</v>
      </c>
      <c r="V1047" s="84" t="str">
        <f t="shared" si="9"/>
        <v/>
      </c>
      <c r="W1047" s="109" t="str">
        <f t="shared" si="10"/>
        <v/>
      </c>
      <c r="X1047" s="109" t="str">
        <f t="shared" si="11"/>
        <v/>
      </c>
      <c r="Y1047" s="110" t="str">
        <f t="array" ref="Y1047">_xlfn.XLOOKUP(A1047,'Video Database'!L:L,'Video Database'!M:M,"")</f>
        <v>Bottom of Funnel</v>
      </c>
    </row>
    <row r="1048" ht="22.5" customHeight="1">
      <c r="A1048" s="113">
        <f t="shared" si="12"/>
        <v>1047</v>
      </c>
      <c r="B1048" s="98" t="str">
        <f t="array" ref="B1048">_xlfn.XLOOKUP(A1048,'Video Database'!L:L,'Video Database'!D:D,"")</f>
        <v>Erin</v>
      </c>
      <c r="C1048" s="98" t="str">
        <f t="array" ref="C1048">_xlfn.XLOOKUP(A1048,'Video Database'!L:L,'Video Database'!E:E,"")</f>
        <v>Account 2</v>
      </c>
      <c r="D1048" s="99" t="str">
        <f t="array" ref="D1048">_xlfn.XLOOKUP(A1048,'Video Database'!L:L,'Video Database'!G:G,"")</f>
        <v>Camellia Deep Collagen Lifting Gel Mask</v>
      </c>
      <c r="E1048" s="100">
        <f t="array" ref="E1048">_xlfn.XLOOKUP(A1048,'Video Database'!L:L,'Video Database'!H:H,"")</f>
        <v>0.7337</v>
      </c>
      <c r="F1048" s="101">
        <v>0.0</v>
      </c>
      <c r="G1048" s="87">
        <v>0.0</v>
      </c>
      <c r="H1048" s="114">
        <f t="array" ref="H1048">_xlfn.XLOOKUP(A1048,'Video Database'!L:L,'Video Database'!A:A,"")</f>
        <v>46200</v>
      </c>
      <c r="I1048" s="103">
        <v>46201.0</v>
      </c>
      <c r="J1048" s="104">
        <v>0.0</v>
      </c>
      <c r="K1048" s="105"/>
      <c r="L1048" s="105" t="str">
        <f t="shared" si="1"/>
        <v/>
      </c>
      <c r="O1048" s="106" t="str">
        <f t="shared" si="2"/>
        <v>#N/A</v>
      </c>
      <c r="P1048" s="106" t="str">
        <f t="shared" si="3"/>
        <v>#N/A</v>
      </c>
      <c r="Q1048" s="84" t="str">
        <f t="shared" si="4"/>
        <v>#N/A</v>
      </c>
      <c r="R1048" s="84" t="str">
        <f t="shared" si="5"/>
        <v>#N/A</v>
      </c>
      <c r="S1048" s="107">
        <f t="shared" si="6"/>
        <v>-0.7337</v>
      </c>
      <c r="T1048" s="108">
        <f t="shared" si="7"/>
        <v>-1</v>
      </c>
      <c r="U1048" s="106" t="str">
        <f t="shared" si="8"/>
        <v>#N/A</v>
      </c>
      <c r="V1048" s="84" t="str">
        <f t="shared" si="9"/>
        <v/>
      </c>
      <c r="W1048" s="109" t="str">
        <f t="shared" si="10"/>
        <v/>
      </c>
      <c r="X1048" s="109" t="str">
        <f t="shared" si="11"/>
        <v/>
      </c>
      <c r="Y1048" s="110" t="str">
        <f t="array" ref="Y1048">_xlfn.XLOOKUP(A1048,'Video Database'!L:L,'Video Database'!M:M,"")</f>
        <v>Bottom of Funnel</v>
      </c>
    </row>
    <row r="1049" ht="22.5" customHeight="1">
      <c r="A1049" s="113">
        <f t="shared" si="12"/>
        <v>1048</v>
      </c>
      <c r="B1049" s="98" t="str">
        <f t="array" ref="B1049">_xlfn.XLOOKUP(A1049,'Video Database'!L:L,'Video Database'!D:D,"")</f>
        <v>Blakely</v>
      </c>
      <c r="C1049" s="98" t="str">
        <f t="array" ref="C1049">_xlfn.XLOOKUP(A1049,'Video Database'!L:L,'Video Database'!E:E,"")</f>
        <v>Account 2</v>
      </c>
      <c r="D1049" s="99" t="str">
        <f t="array" ref="D1049">_xlfn.XLOOKUP(A1049,'Video Database'!L:L,'Video Database'!G:G,"")</f>
        <v>tarte CC Color-Correct Tinted Serum</v>
      </c>
      <c r="E1049" s="100">
        <f t="array" ref="E1049">_xlfn.XLOOKUP(A1049,'Video Database'!L:L,'Video Database'!H:H,"")</f>
        <v>0.11</v>
      </c>
      <c r="F1049" s="101">
        <v>0.0</v>
      </c>
      <c r="G1049" s="87">
        <v>0.0</v>
      </c>
      <c r="H1049" s="114">
        <f t="array" ref="H1049">_xlfn.XLOOKUP(A1049,'Video Database'!L:L,'Video Database'!A:A,"")</f>
        <v>46200</v>
      </c>
      <c r="I1049" s="103">
        <v>46201.0</v>
      </c>
      <c r="J1049" s="104">
        <v>0.0</v>
      </c>
      <c r="K1049" s="105"/>
      <c r="L1049" s="105" t="str">
        <f t="shared" si="1"/>
        <v/>
      </c>
      <c r="O1049" s="106" t="str">
        <f t="shared" si="2"/>
        <v>#N/A</v>
      </c>
      <c r="P1049" s="106" t="str">
        <f t="shared" si="3"/>
        <v>#N/A</v>
      </c>
      <c r="Q1049" s="84" t="str">
        <f t="shared" si="4"/>
        <v>#N/A</v>
      </c>
      <c r="R1049" s="84" t="str">
        <f t="shared" si="5"/>
        <v>#N/A</v>
      </c>
      <c r="S1049" s="107">
        <f t="shared" si="6"/>
        <v>-0.11</v>
      </c>
      <c r="T1049" s="108">
        <f t="shared" si="7"/>
        <v>-1</v>
      </c>
      <c r="U1049" s="106" t="str">
        <f t="shared" si="8"/>
        <v>#N/A</v>
      </c>
      <c r="V1049" s="84" t="str">
        <f t="shared" si="9"/>
        <v/>
      </c>
      <c r="W1049" s="109" t="str">
        <f t="shared" si="10"/>
        <v/>
      </c>
      <c r="X1049" s="109" t="str">
        <f t="shared" si="11"/>
        <v/>
      </c>
      <c r="Y1049" s="110" t="str">
        <f t="array" ref="Y1049">_xlfn.XLOOKUP(A1049,'Video Database'!L:L,'Video Database'!M:M,"")</f>
        <v>Product Overlay</v>
      </c>
    </row>
    <row r="1050" ht="22.5" customHeight="1">
      <c r="A1050" s="113">
        <f t="shared" si="12"/>
        <v>1049</v>
      </c>
      <c r="B1050" s="98" t="str">
        <f t="array" ref="B1050">_xlfn.XLOOKUP(A1050,'Video Database'!L:L,'Video Database'!D:D,"")</f>
        <v>Erin</v>
      </c>
      <c r="C1050" s="98" t="str">
        <f t="array" ref="C1050">_xlfn.XLOOKUP(A1050,'Video Database'!L:L,'Video Database'!E:E,"")</f>
        <v>Account 2</v>
      </c>
      <c r="D1050" s="99" t="str">
        <f t="array" ref="D1050">_xlfn.XLOOKUP(A1050,'Video Database'!L:L,'Video Database'!G:G,"")</f>
        <v>Medicube Kojic Accid Tumeric Power Duo</v>
      </c>
      <c r="E1050" s="100">
        <f t="array" ref="E1050">_xlfn.XLOOKUP(A1050,'Video Database'!L:L,'Video Database'!H:H,"")</f>
        <v>0.11</v>
      </c>
      <c r="F1050" s="101">
        <v>0.0</v>
      </c>
      <c r="G1050" s="87">
        <v>0.0</v>
      </c>
      <c r="H1050" s="114">
        <f t="array" ref="H1050">_xlfn.XLOOKUP(A1050,'Video Database'!L:L,'Video Database'!A:A,"")</f>
        <v>46200</v>
      </c>
      <c r="I1050" s="103">
        <v>46201.0</v>
      </c>
      <c r="J1050" s="104">
        <v>0.0</v>
      </c>
      <c r="K1050" s="105"/>
      <c r="L1050" s="105" t="str">
        <f t="shared" si="1"/>
        <v/>
      </c>
      <c r="O1050" s="106" t="str">
        <f t="shared" si="2"/>
        <v>#N/A</v>
      </c>
      <c r="P1050" s="106" t="str">
        <f t="shared" si="3"/>
        <v>#N/A</v>
      </c>
      <c r="Q1050" s="84" t="str">
        <f t="shared" si="4"/>
        <v>#N/A</v>
      </c>
      <c r="R1050" s="84" t="str">
        <f t="shared" si="5"/>
        <v>#N/A</v>
      </c>
      <c r="S1050" s="107">
        <f t="shared" si="6"/>
        <v>-0.11</v>
      </c>
      <c r="T1050" s="108">
        <f t="shared" si="7"/>
        <v>-1</v>
      </c>
      <c r="U1050" s="106" t="str">
        <f t="shared" si="8"/>
        <v>#N/A</v>
      </c>
      <c r="V1050" s="84" t="str">
        <f t="shared" si="9"/>
        <v/>
      </c>
      <c r="W1050" s="109" t="str">
        <f t="shared" si="10"/>
        <v/>
      </c>
      <c r="X1050" s="109" t="str">
        <f t="shared" si="11"/>
        <v/>
      </c>
      <c r="Y1050" s="110" t="str">
        <f t="array" ref="Y1050">_xlfn.XLOOKUP(A1050,'Video Database'!L:L,'Video Database'!M:M,"")</f>
        <v>Bottom of Funnel</v>
      </c>
    </row>
    <row r="1051" ht="22.5" customHeight="1">
      <c r="A1051" s="113">
        <f t="shared" si="12"/>
        <v>1050</v>
      </c>
      <c r="B1051" s="98" t="str">
        <f t="array" ref="B1051">_xlfn.XLOOKUP(A1051,'Video Database'!L:L,'Video Database'!D:D,"")</f>
        <v>Blakely</v>
      </c>
      <c r="C1051" s="98" t="str">
        <f t="array" ref="C1051">_xlfn.XLOOKUP(A1051,'Video Database'!L:L,'Video Database'!E:E,"")</f>
        <v>Account 2</v>
      </c>
      <c r="D1051" s="99" t="str">
        <f t="array" ref="D1051">_xlfn.XLOOKUP(A1051,'Video Database'!L:L,'Video Database'!G:G,"")</f>
        <v>Nutricost Creatine Monohydrate</v>
      </c>
      <c r="E1051" s="100">
        <f t="array" ref="E1051">_xlfn.XLOOKUP(A1051,'Video Database'!L:L,'Video Database'!H:H,"")</f>
        <v>0.11</v>
      </c>
      <c r="F1051" s="101">
        <v>0.0</v>
      </c>
      <c r="G1051" s="87">
        <v>0.0</v>
      </c>
      <c r="H1051" s="114">
        <f t="array" ref="H1051">_xlfn.XLOOKUP(A1051,'Video Database'!L:L,'Video Database'!A:A,"")</f>
        <v>46200</v>
      </c>
      <c r="I1051" s="103">
        <v>46201.0</v>
      </c>
      <c r="J1051" s="104">
        <v>0.0</v>
      </c>
      <c r="K1051" s="105"/>
      <c r="L1051" s="105" t="str">
        <f t="shared" si="1"/>
        <v/>
      </c>
      <c r="O1051" s="106" t="str">
        <f t="shared" si="2"/>
        <v>#N/A</v>
      </c>
      <c r="P1051" s="106" t="str">
        <f t="shared" si="3"/>
        <v>#N/A</v>
      </c>
      <c r="Q1051" s="84" t="str">
        <f t="shared" si="4"/>
        <v>#N/A</v>
      </c>
      <c r="R1051" s="84" t="str">
        <f t="shared" si="5"/>
        <v>#N/A</v>
      </c>
      <c r="S1051" s="107">
        <f t="shared" si="6"/>
        <v>-0.11</v>
      </c>
      <c r="T1051" s="108">
        <f t="shared" si="7"/>
        <v>-1</v>
      </c>
      <c r="U1051" s="106" t="str">
        <f t="shared" si="8"/>
        <v>#N/A</v>
      </c>
      <c r="V1051" s="84" t="str">
        <f t="shared" si="9"/>
        <v/>
      </c>
      <c r="W1051" s="109" t="str">
        <f t="shared" si="10"/>
        <v/>
      </c>
      <c r="X1051" s="109" t="str">
        <f t="shared" si="11"/>
        <v/>
      </c>
      <c r="Y1051" s="110" t="str">
        <f t="array" ref="Y1051">_xlfn.XLOOKUP(A1051,'Video Database'!L:L,'Video Database'!M:M,"")</f>
        <v>Product Overlay</v>
      </c>
    </row>
    <row r="1052" ht="22.5" customHeight="1">
      <c r="A1052" s="113">
        <f t="shared" si="12"/>
        <v>1051</v>
      </c>
      <c r="B1052" s="98" t="str">
        <f t="array" ref="B1052">_xlfn.XLOOKUP(A1052,'Video Database'!L:L,'Video Database'!D:D,"")</f>
        <v>Blakely</v>
      </c>
      <c r="C1052" s="98" t="str">
        <f t="array" ref="C1052">_xlfn.XLOOKUP(A1052,'Video Database'!L:L,'Video Database'!E:E,"")</f>
        <v>Account 2</v>
      </c>
      <c r="D1052" s="99" t="str">
        <f t="array" ref="D1052">_xlfn.XLOOKUP(A1052,'Video Database'!L:L,'Video Database'!G:G,"")</f>
        <v>tarte CC Color-Correct Tinted Serum</v>
      </c>
      <c r="E1052" s="100">
        <f t="array" ref="E1052">_xlfn.XLOOKUP(A1052,'Video Database'!L:L,'Video Database'!H:H,"")</f>
        <v>0.11</v>
      </c>
      <c r="F1052" s="101">
        <v>0.0</v>
      </c>
      <c r="G1052" s="87">
        <v>0.0</v>
      </c>
      <c r="H1052" s="114">
        <f t="array" ref="H1052">_xlfn.XLOOKUP(A1052,'Video Database'!L:L,'Video Database'!A:A,"")</f>
        <v>46200</v>
      </c>
      <c r="I1052" s="103">
        <v>46201.0</v>
      </c>
      <c r="J1052" s="104">
        <v>0.0</v>
      </c>
      <c r="K1052" s="105"/>
      <c r="L1052" s="105" t="str">
        <f t="shared" si="1"/>
        <v/>
      </c>
      <c r="O1052" s="106" t="str">
        <f t="shared" si="2"/>
        <v>#N/A</v>
      </c>
      <c r="P1052" s="106" t="str">
        <f t="shared" si="3"/>
        <v>#N/A</v>
      </c>
      <c r="Q1052" s="84" t="str">
        <f t="shared" si="4"/>
        <v>#N/A</v>
      </c>
      <c r="R1052" s="84" t="str">
        <f t="shared" si="5"/>
        <v>#N/A</v>
      </c>
      <c r="S1052" s="107">
        <f t="shared" si="6"/>
        <v>-0.11</v>
      </c>
      <c r="T1052" s="108">
        <f t="shared" si="7"/>
        <v>-1</v>
      </c>
      <c r="U1052" s="106" t="str">
        <f t="shared" si="8"/>
        <v>#N/A</v>
      </c>
      <c r="V1052" s="84" t="str">
        <f t="shared" si="9"/>
        <v/>
      </c>
      <c r="W1052" s="109" t="str">
        <f t="shared" si="10"/>
        <v/>
      </c>
      <c r="X1052" s="109" t="str">
        <f t="shared" si="11"/>
        <v/>
      </c>
      <c r="Y1052" s="110" t="str">
        <f t="array" ref="Y1052">_xlfn.XLOOKUP(A1052,'Video Database'!L:L,'Video Database'!M:M,"")</f>
        <v>Product Overlay</v>
      </c>
    </row>
    <row r="1053" ht="22.5" customHeight="1">
      <c r="A1053" s="113">
        <f t="shared" si="12"/>
        <v>1052</v>
      </c>
      <c r="B1053" s="98" t="str">
        <f t="array" ref="B1053">_xlfn.XLOOKUP(A1053,'Video Database'!L:L,'Video Database'!D:D,"")</f>
        <v>Erin</v>
      </c>
      <c r="C1053" s="98" t="str">
        <f t="array" ref="C1053">_xlfn.XLOOKUP(A1053,'Video Database'!L:L,'Video Database'!E:E,"")</f>
        <v>Account 2</v>
      </c>
      <c r="D1053" s="99" t="str">
        <f t="array" ref="D1053">_xlfn.XLOOKUP(A1053,'Video Database'!L:L,'Video Database'!G:G,"")</f>
        <v>Camellia Deep Collagen Lifting Gel Mask</v>
      </c>
      <c r="E1053" s="100">
        <f t="array" ref="E1053">_xlfn.XLOOKUP(A1053,'Video Database'!L:L,'Video Database'!H:H,"")</f>
        <v>0.7337</v>
      </c>
      <c r="F1053" s="101">
        <v>0.0</v>
      </c>
      <c r="G1053" s="87">
        <v>0.0</v>
      </c>
      <c r="H1053" s="114">
        <f t="array" ref="H1053">_xlfn.XLOOKUP(A1053,'Video Database'!L:L,'Video Database'!A:A,"")</f>
        <v>46200</v>
      </c>
      <c r="I1053" s="103">
        <v>46201.0</v>
      </c>
      <c r="J1053" s="104">
        <v>0.0</v>
      </c>
      <c r="K1053" s="105"/>
      <c r="L1053" s="105" t="str">
        <f t="shared" si="1"/>
        <v/>
      </c>
      <c r="O1053" s="106" t="str">
        <f t="shared" si="2"/>
        <v>#N/A</v>
      </c>
      <c r="P1053" s="106" t="str">
        <f t="shared" si="3"/>
        <v>#N/A</v>
      </c>
      <c r="Q1053" s="84" t="str">
        <f t="shared" si="4"/>
        <v>#N/A</v>
      </c>
      <c r="R1053" s="84" t="str">
        <f t="shared" si="5"/>
        <v>#N/A</v>
      </c>
      <c r="S1053" s="107">
        <f t="shared" si="6"/>
        <v>-0.7337</v>
      </c>
      <c r="T1053" s="108">
        <f t="shared" si="7"/>
        <v>-1</v>
      </c>
      <c r="U1053" s="106" t="str">
        <f t="shared" si="8"/>
        <v>#N/A</v>
      </c>
      <c r="V1053" s="84" t="str">
        <f t="shared" si="9"/>
        <v/>
      </c>
      <c r="W1053" s="109" t="str">
        <f t="shared" si="10"/>
        <v/>
      </c>
      <c r="X1053" s="109" t="str">
        <f t="shared" si="11"/>
        <v/>
      </c>
      <c r="Y1053" s="110" t="str">
        <f t="array" ref="Y1053">_xlfn.XLOOKUP(A1053,'Video Database'!L:L,'Video Database'!M:M,"")</f>
        <v>Bottom of Funnel</v>
      </c>
    </row>
    <row r="1054" ht="22.5" customHeight="1">
      <c r="A1054" s="113">
        <f t="shared" si="12"/>
        <v>1053</v>
      </c>
      <c r="B1054" s="98" t="str">
        <f t="array" ref="B1054">_xlfn.XLOOKUP(A1054,'Video Database'!L:L,'Video Database'!D:D,"")</f>
        <v>Blakely</v>
      </c>
      <c r="C1054" s="98" t="str">
        <f t="array" ref="C1054">_xlfn.XLOOKUP(A1054,'Video Database'!L:L,'Video Database'!E:E,"")</f>
        <v>Account 3</v>
      </c>
      <c r="D1054" s="99" t="str">
        <f t="array" ref="D1054">_xlfn.XLOOKUP(A1054,'Video Database'!L:L,'Video Database'!G:G,"")</f>
        <v>IRIS Hormone Health Drink Mix</v>
      </c>
      <c r="E1054" s="100">
        <f t="array" ref="E1054">_xlfn.XLOOKUP(A1054,'Video Database'!L:L,'Video Database'!H:H,"")</f>
        <v>0.11</v>
      </c>
      <c r="F1054" s="101">
        <v>0.0</v>
      </c>
      <c r="G1054" s="87">
        <v>0.0</v>
      </c>
      <c r="H1054" s="114">
        <f t="array" ref="H1054">_xlfn.XLOOKUP(A1054,'Video Database'!L:L,'Video Database'!A:A,"")</f>
        <v>46200</v>
      </c>
      <c r="I1054" s="103">
        <v>46201.0</v>
      </c>
      <c r="J1054" s="104">
        <v>0.0</v>
      </c>
      <c r="K1054" s="105"/>
      <c r="L1054" s="105" t="str">
        <f t="shared" si="1"/>
        <v/>
      </c>
      <c r="O1054" s="106" t="str">
        <f t="shared" si="2"/>
        <v>#N/A</v>
      </c>
      <c r="P1054" s="106" t="str">
        <f t="shared" si="3"/>
        <v>#N/A</v>
      </c>
      <c r="Q1054" s="84" t="str">
        <f t="shared" si="4"/>
        <v>#N/A</v>
      </c>
      <c r="R1054" s="84" t="str">
        <f t="shared" si="5"/>
        <v>#N/A</v>
      </c>
      <c r="S1054" s="107">
        <f t="shared" si="6"/>
        <v>-0.11</v>
      </c>
      <c r="T1054" s="108">
        <f t="shared" si="7"/>
        <v>-1</v>
      </c>
      <c r="U1054" s="106" t="str">
        <f t="shared" si="8"/>
        <v>#N/A</v>
      </c>
      <c r="V1054" s="84" t="str">
        <f t="shared" si="9"/>
        <v/>
      </c>
      <c r="W1054" s="109" t="str">
        <f t="shared" si="10"/>
        <v/>
      </c>
      <c r="X1054" s="109" t="str">
        <f t="shared" si="11"/>
        <v/>
      </c>
      <c r="Y1054" s="110" t="str">
        <f t="array" ref="Y1054">_xlfn.XLOOKUP(A1054,'Video Database'!L:L,'Video Database'!M:M,"")</f>
        <v>Bottom of Funnel</v>
      </c>
    </row>
    <row r="1055" ht="22.5" customHeight="1">
      <c r="A1055" s="113">
        <f t="shared" si="12"/>
        <v>1054</v>
      </c>
      <c r="B1055" s="98" t="str">
        <f t="array" ref="B1055">_xlfn.XLOOKUP(A1055,'Video Database'!L:L,'Video Database'!D:D,"")</f>
        <v>Blakely</v>
      </c>
      <c r="C1055" s="98" t="str">
        <f t="array" ref="C1055">_xlfn.XLOOKUP(A1055,'Video Database'!L:L,'Video Database'!E:E,"")</f>
        <v>Account 3</v>
      </c>
      <c r="D1055" s="99" t="str">
        <f t="array" ref="D1055">_xlfn.XLOOKUP(A1055,'Video Database'!L:L,'Video Database'!G:G,"")</f>
        <v>tarte CC Color-Correct Tinted Serum</v>
      </c>
      <c r="E1055" s="100">
        <f t="array" ref="E1055">_xlfn.XLOOKUP(A1055,'Video Database'!L:L,'Video Database'!H:H,"")</f>
        <v>0.11</v>
      </c>
      <c r="F1055" s="101">
        <v>0.0</v>
      </c>
      <c r="G1055" s="87">
        <v>0.0</v>
      </c>
      <c r="H1055" s="114">
        <f t="array" ref="H1055">_xlfn.XLOOKUP(A1055,'Video Database'!L:L,'Video Database'!A:A,"")</f>
        <v>46200</v>
      </c>
      <c r="I1055" s="103">
        <v>46201.0</v>
      </c>
      <c r="J1055" s="104">
        <v>0.0</v>
      </c>
      <c r="K1055" s="87"/>
      <c r="L1055" s="105" t="str">
        <f t="shared" si="1"/>
        <v/>
      </c>
      <c r="O1055" s="106" t="str">
        <f t="shared" si="2"/>
        <v>#N/A</v>
      </c>
      <c r="P1055" s="106" t="str">
        <f t="shared" si="3"/>
        <v>#N/A</v>
      </c>
      <c r="Q1055" s="84" t="str">
        <f t="shared" si="4"/>
        <v>#N/A</v>
      </c>
      <c r="R1055" s="84" t="str">
        <f t="shared" si="5"/>
        <v>#N/A</v>
      </c>
      <c r="S1055" s="107">
        <f t="shared" si="6"/>
        <v>-0.11</v>
      </c>
      <c r="T1055" s="108">
        <f t="shared" si="7"/>
        <v>-1</v>
      </c>
      <c r="U1055" s="106" t="str">
        <f t="shared" si="8"/>
        <v>#N/A</v>
      </c>
      <c r="V1055" s="84" t="str">
        <f t="shared" si="9"/>
        <v/>
      </c>
      <c r="W1055" s="109" t="str">
        <f t="shared" si="10"/>
        <v/>
      </c>
      <c r="X1055" s="109" t="str">
        <f t="shared" si="11"/>
        <v/>
      </c>
      <c r="Y1055" s="110" t="str">
        <f t="array" ref="Y1055">_xlfn.XLOOKUP(A1055,'Video Database'!L:L,'Video Database'!M:M,"")</f>
        <v>Bottom of Funnel</v>
      </c>
    </row>
    <row r="1056" ht="22.5" customHeight="1">
      <c r="A1056" s="113">
        <f t="shared" si="12"/>
        <v>1055</v>
      </c>
      <c r="B1056" s="98" t="str">
        <f t="array" ref="B1056">_xlfn.XLOOKUP(A1056,'Video Database'!L:L,'Video Database'!D:D,"")</f>
        <v>Blakely</v>
      </c>
      <c r="C1056" s="98" t="str">
        <f t="array" ref="C1056">_xlfn.XLOOKUP(A1056,'Video Database'!L:L,'Video Database'!E:E,"")</f>
        <v>Account 3</v>
      </c>
      <c r="D1056" s="99" t="str">
        <f t="array" ref="D1056">_xlfn.XLOOKUP(A1056,'Video Database'!L:L,'Video Database'!G:G,"")</f>
        <v>tarte CC Color-Correct Tinted Serum</v>
      </c>
      <c r="E1056" s="100">
        <f t="array" ref="E1056">_xlfn.XLOOKUP(A1056,'Video Database'!L:L,'Video Database'!H:H,"")</f>
        <v>0.11</v>
      </c>
      <c r="F1056" s="101">
        <v>27.03</v>
      </c>
      <c r="G1056" s="87">
        <v>1.0</v>
      </c>
      <c r="H1056" s="114">
        <f t="array" ref="H1056">_xlfn.XLOOKUP(A1056,'Video Database'!L:L,'Video Database'!A:A,"")</f>
        <v>46200</v>
      </c>
      <c r="I1056" s="103">
        <v>46201.0</v>
      </c>
      <c r="J1056" s="104">
        <v>3.6</v>
      </c>
      <c r="K1056" s="87">
        <v>1.0</v>
      </c>
      <c r="L1056" s="105">
        <f t="shared" si="1"/>
        <v>350</v>
      </c>
      <c r="M1056" s="87">
        <v>350.0</v>
      </c>
      <c r="O1056" s="106">
        <f t="shared" si="2"/>
        <v>0.002857142857</v>
      </c>
      <c r="P1056" s="106">
        <f t="shared" si="3"/>
        <v>1</v>
      </c>
      <c r="Q1056" s="84">
        <f t="shared" si="4"/>
        <v>3.6</v>
      </c>
      <c r="R1056" s="84">
        <f t="shared" si="5"/>
        <v>27.03</v>
      </c>
      <c r="S1056" s="107">
        <f t="shared" si="6"/>
        <v>3.49</v>
      </c>
      <c r="T1056" s="108">
        <f t="shared" si="7"/>
        <v>31.72727273</v>
      </c>
      <c r="U1056" s="106">
        <f t="shared" si="8"/>
        <v>0.9694444444</v>
      </c>
      <c r="V1056" s="129">
        <f t="shared" si="9"/>
        <v>0.11</v>
      </c>
      <c r="W1056" s="109">
        <f t="shared" si="10"/>
        <v>0.11</v>
      </c>
      <c r="X1056" s="109">
        <f t="shared" si="11"/>
        <v>0.4069552349</v>
      </c>
      <c r="Y1056" s="110" t="str">
        <f t="array" ref="Y1056">_xlfn.XLOOKUP(A1056,'Video Database'!L:L,'Video Database'!M:M,"")</f>
        <v>Bottom of Funnel</v>
      </c>
    </row>
    <row r="1057" ht="22.5" customHeight="1">
      <c r="A1057" s="113">
        <f t="shared" si="12"/>
        <v>1056</v>
      </c>
      <c r="B1057" s="98" t="str">
        <f t="array" ref="B1057">_xlfn.XLOOKUP(A1057,'Video Database'!L:L,'Video Database'!D:D,"")</f>
        <v>Blakely</v>
      </c>
      <c r="C1057" s="98" t="str">
        <f t="array" ref="C1057">_xlfn.XLOOKUP(A1057,'Video Database'!L:L,'Video Database'!E:E,"")</f>
        <v>Account 3</v>
      </c>
      <c r="D1057" s="99" t="str">
        <f t="array" ref="D1057">_xlfn.XLOOKUP(A1057,'Video Database'!L:L,'Video Database'!G:G,"")</f>
        <v>Camellia Deep Collagen Lifting Gel Mask</v>
      </c>
      <c r="E1057" s="100">
        <f t="array" ref="E1057">_xlfn.XLOOKUP(A1057,'Video Database'!L:L,'Video Database'!H:H,"")</f>
        <v>0.11</v>
      </c>
      <c r="F1057" s="101">
        <v>0.0</v>
      </c>
      <c r="G1057" s="87">
        <v>0.0</v>
      </c>
      <c r="H1057" s="114">
        <f t="array" ref="H1057">_xlfn.XLOOKUP(A1057,'Video Database'!L:L,'Video Database'!A:A,"")</f>
        <v>46200</v>
      </c>
      <c r="I1057" s="103">
        <v>46201.0</v>
      </c>
      <c r="J1057" s="104">
        <v>0.0</v>
      </c>
      <c r="K1057" s="105"/>
      <c r="L1057" s="105" t="str">
        <f t="shared" si="1"/>
        <v/>
      </c>
      <c r="O1057" s="106" t="str">
        <f t="shared" si="2"/>
        <v>#N/A</v>
      </c>
      <c r="P1057" s="106" t="str">
        <f t="shared" si="3"/>
        <v>#N/A</v>
      </c>
      <c r="Q1057" s="84" t="str">
        <f t="shared" si="4"/>
        <v>#N/A</v>
      </c>
      <c r="R1057" s="84" t="str">
        <f t="shared" si="5"/>
        <v>#N/A</v>
      </c>
      <c r="S1057" s="107">
        <f t="shared" si="6"/>
        <v>-0.11</v>
      </c>
      <c r="T1057" s="108">
        <f t="shared" si="7"/>
        <v>-1</v>
      </c>
      <c r="U1057" s="106" t="str">
        <f t="shared" si="8"/>
        <v>#N/A</v>
      </c>
      <c r="V1057" s="84" t="str">
        <f t="shared" si="9"/>
        <v/>
      </c>
      <c r="W1057" s="109" t="str">
        <f t="shared" si="10"/>
        <v/>
      </c>
      <c r="X1057" s="109" t="str">
        <f t="shared" si="11"/>
        <v/>
      </c>
      <c r="Y1057" s="110" t="str">
        <f t="array" ref="Y1057">_xlfn.XLOOKUP(A1057,'Video Database'!L:L,'Video Database'!M:M,"")</f>
        <v>Bottom of Funnel</v>
      </c>
    </row>
    <row r="1058" ht="22.5" customHeight="1">
      <c r="A1058" s="113">
        <f t="shared" si="12"/>
        <v>1057</v>
      </c>
      <c r="B1058" s="98" t="str">
        <f t="array" ref="B1058">_xlfn.XLOOKUP(A1058,'Video Database'!L:L,'Video Database'!D:D,"")</f>
        <v>Erin</v>
      </c>
      <c r="C1058" s="98" t="str">
        <f t="array" ref="C1058">_xlfn.XLOOKUP(A1058,'Video Database'!L:L,'Video Database'!E:E,"")</f>
        <v>Account 3</v>
      </c>
      <c r="D1058" s="99" t="str">
        <f t="array" ref="D1058">_xlfn.XLOOKUP(A1058,'Video Database'!L:L,'Video Database'!G:G,"")</f>
        <v>Camellia Deep Collagen Lifting Gel Mask</v>
      </c>
      <c r="E1058" s="100">
        <f t="array" ref="E1058">_xlfn.XLOOKUP(A1058,'Video Database'!L:L,'Video Database'!H:H,"")</f>
        <v>0.7337</v>
      </c>
      <c r="F1058" s="101">
        <v>0.0</v>
      </c>
      <c r="G1058" s="87">
        <v>0.0</v>
      </c>
      <c r="H1058" s="114">
        <f t="array" ref="H1058">_xlfn.XLOOKUP(A1058,'Video Database'!L:L,'Video Database'!A:A,"")</f>
        <v>46200</v>
      </c>
      <c r="I1058" s="103">
        <v>46201.0</v>
      </c>
      <c r="J1058" s="104">
        <v>0.0</v>
      </c>
      <c r="K1058" s="105"/>
      <c r="L1058" s="105" t="str">
        <f t="shared" si="1"/>
        <v/>
      </c>
      <c r="O1058" s="106" t="str">
        <f t="shared" si="2"/>
        <v>#N/A</v>
      </c>
      <c r="P1058" s="106" t="str">
        <f t="shared" si="3"/>
        <v>#N/A</v>
      </c>
      <c r="Q1058" s="84" t="str">
        <f t="shared" si="4"/>
        <v>#N/A</v>
      </c>
      <c r="R1058" s="84" t="str">
        <f t="shared" si="5"/>
        <v>#N/A</v>
      </c>
      <c r="S1058" s="107">
        <f t="shared" si="6"/>
        <v>-0.7337</v>
      </c>
      <c r="T1058" s="108">
        <f t="shared" si="7"/>
        <v>-1</v>
      </c>
      <c r="U1058" s="106" t="str">
        <f t="shared" si="8"/>
        <v>#N/A</v>
      </c>
      <c r="V1058" s="84" t="str">
        <f t="shared" si="9"/>
        <v/>
      </c>
      <c r="W1058" s="109" t="str">
        <f t="shared" si="10"/>
        <v/>
      </c>
      <c r="X1058" s="109" t="str">
        <f t="shared" si="11"/>
        <v/>
      </c>
      <c r="Y1058" s="110" t="str">
        <f t="array" ref="Y1058">_xlfn.XLOOKUP(A1058,'Video Database'!L:L,'Video Database'!M:M,"")</f>
        <v>Bottom of Funnel</v>
      </c>
    </row>
    <row r="1059" ht="22.5" customHeight="1">
      <c r="A1059" s="113">
        <f t="shared" si="12"/>
        <v>1058</v>
      </c>
      <c r="B1059" s="98" t="str">
        <f t="array" ref="B1059">_xlfn.XLOOKUP(A1059,'Video Database'!L:L,'Video Database'!D:D,"")</f>
        <v>Erin</v>
      </c>
      <c r="C1059" s="98" t="str">
        <f t="array" ref="C1059">_xlfn.XLOOKUP(A1059,'Video Database'!L:L,'Video Database'!E:E,"")</f>
        <v>Account 3</v>
      </c>
      <c r="D1059" s="99" t="str">
        <f t="array" ref="D1059">_xlfn.XLOOKUP(A1059,'Video Database'!L:L,'Video Database'!G:G,"")</f>
        <v>Camellia Deep Collagen Lifting Gel Mask</v>
      </c>
      <c r="E1059" s="100">
        <f t="array" ref="E1059">_xlfn.XLOOKUP(A1059,'Video Database'!L:L,'Video Database'!H:H,"")</f>
        <v>0.7337</v>
      </c>
      <c r="F1059" s="101">
        <v>0.0</v>
      </c>
      <c r="G1059" s="87">
        <v>0.0</v>
      </c>
      <c r="H1059" s="114">
        <f t="array" ref="H1059">_xlfn.XLOOKUP(A1059,'Video Database'!L:L,'Video Database'!A:A,"")</f>
        <v>46200</v>
      </c>
      <c r="I1059" s="103">
        <v>46201.0</v>
      </c>
      <c r="J1059" s="104">
        <v>0.0</v>
      </c>
      <c r="K1059" s="105"/>
      <c r="L1059" s="105" t="str">
        <f t="shared" si="1"/>
        <v/>
      </c>
      <c r="O1059" s="106" t="str">
        <f t="shared" si="2"/>
        <v>#N/A</v>
      </c>
      <c r="P1059" s="106" t="str">
        <f t="shared" si="3"/>
        <v>#N/A</v>
      </c>
      <c r="Q1059" s="84" t="str">
        <f t="shared" si="4"/>
        <v>#N/A</v>
      </c>
      <c r="R1059" s="84" t="str">
        <f t="shared" si="5"/>
        <v>#N/A</v>
      </c>
      <c r="S1059" s="107">
        <f t="shared" si="6"/>
        <v>-0.7337</v>
      </c>
      <c r="T1059" s="108">
        <f t="shared" si="7"/>
        <v>-1</v>
      </c>
      <c r="U1059" s="106" t="str">
        <f t="shared" si="8"/>
        <v>#N/A</v>
      </c>
      <c r="V1059" s="84" t="str">
        <f t="shared" si="9"/>
        <v/>
      </c>
      <c r="W1059" s="109" t="str">
        <f t="shared" si="10"/>
        <v/>
      </c>
      <c r="X1059" s="109" t="str">
        <f t="shared" si="11"/>
        <v/>
      </c>
      <c r="Y1059" s="110" t="str">
        <f t="array" ref="Y1059">_xlfn.XLOOKUP(A1059,'Video Database'!L:L,'Video Database'!M:M,"")</f>
        <v>Bottom of Funnel</v>
      </c>
    </row>
    <row r="1060" ht="22.5" customHeight="1">
      <c r="A1060" s="113">
        <f t="shared" si="12"/>
        <v>1059</v>
      </c>
      <c r="B1060" s="98" t="str">
        <f t="array" ref="B1060">_xlfn.XLOOKUP(A1060,'Video Database'!L:L,'Video Database'!D:D,"")</f>
        <v>Erin</v>
      </c>
      <c r="C1060" s="98" t="str">
        <f t="array" ref="C1060">_xlfn.XLOOKUP(A1060,'Video Database'!L:L,'Video Database'!E:E,"")</f>
        <v>Account 3</v>
      </c>
      <c r="D1060" s="99" t="str">
        <f t="array" ref="D1060">_xlfn.XLOOKUP(A1060,'Video Database'!L:L,'Video Database'!G:G,"")</f>
        <v>Camellia Deep Collagen Lifting Gel Mask</v>
      </c>
      <c r="E1060" s="100">
        <f t="array" ref="E1060">_xlfn.XLOOKUP(A1060,'Video Database'!L:L,'Video Database'!H:H,"")</f>
        <v>0.7337</v>
      </c>
      <c r="F1060" s="101">
        <v>0.0</v>
      </c>
      <c r="G1060" s="87">
        <v>0.0</v>
      </c>
      <c r="H1060" s="114">
        <f t="array" ref="H1060">_xlfn.XLOOKUP(A1060,'Video Database'!L:L,'Video Database'!A:A,"")</f>
        <v>46200</v>
      </c>
      <c r="I1060" s="103">
        <v>46201.0</v>
      </c>
      <c r="J1060" s="104">
        <v>0.0</v>
      </c>
      <c r="K1060" s="105"/>
      <c r="L1060" s="105" t="str">
        <f t="shared" si="1"/>
        <v/>
      </c>
      <c r="O1060" s="106" t="str">
        <f t="shared" si="2"/>
        <v>#N/A</v>
      </c>
      <c r="P1060" s="106" t="str">
        <f t="shared" si="3"/>
        <v>#N/A</v>
      </c>
      <c r="Q1060" s="84" t="str">
        <f t="shared" si="4"/>
        <v>#N/A</v>
      </c>
      <c r="R1060" s="84" t="str">
        <f t="shared" si="5"/>
        <v>#N/A</v>
      </c>
      <c r="S1060" s="107">
        <f t="shared" si="6"/>
        <v>-0.7337</v>
      </c>
      <c r="T1060" s="108">
        <f t="shared" si="7"/>
        <v>-1</v>
      </c>
      <c r="U1060" s="106" t="str">
        <f t="shared" si="8"/>
        <v>#N/A</v>
      </c>
      <c r="V1060" s="84" t="str">
        <f t="shared" si="9"/>
        <v/>
      </c>
      <c r="W1060" s="109" t="str">
        <f t="shared" si="10"/>
        <v/>
      </c>
      <c r="X1060" s="109" t="str">
        <f t="shared" si="11"/>
        <v/>
      </c>
      <c r="Y1060" s="110" t="str">
        <f t="array" ref="Y1060">_xlfn.XLOOKUP(A1060,'Video Database'!L:L,'Video Database'!M:M,"")</f>
        <v>Bottom of Funnel</v>
      </c>
    </row>
    <row r="1061" ht="22.5" customHeight="1">
      <c r="A1061" s="113">
        <f t="shared" si="12"/>
        <v>1060</v>
      </c>
      <c r="B1061" s="98" t="str">
        <f t="array" ref="B1061">_xlfn.XLOOKUP(A1061,'Video Database'!L:L,'Video Database'!D:D,"")</f>
        <v>Erin</v>
      </c>
      <c r="C1061" s="98" t="str">
        <f t="array" ref="C1061">_xlfn.XLOOKUP(A1061,'Video Database'!L:L,'Video Database'!E:E,"")</f>
        <v>Account 3</v>
      </c>
      <c r="D1061" s="99" t="str">
        <f t="array" ref="D1061">_xlfn.XLOOKUP(A1061,'Video Database'!L:L,'Video Database'!G:G,"")</f>
        <v>Camellia Deep Collagen Lifting Gel Mask</v>
      </c>
      <c r="E1061" s="100">
        <f t="array" ref="E1061">_xlfn.XLOOKUP(A1061,'Video Database'!L:L,'Video Database'!H:H,"")</f>
        <v>0.7337</v>
      </c>
      <c r="F1061" s="101">
        <v>0.0</v>
      </c>
      <c r="G1061" s="87">
        <v>0.0</v>
      </c>
      <c r="H1061" s="114">
        <f t="array" ref="H1061">_xlfn.XLOOKUP(A1061,'Video Database'!L:L,'Video Database'!A:A,"")</f>
        <v>46200</v>
      </c>
      <c r="I1061" s="103">
        <v>46201.0</v>
      </c>
      <c r="J1061" s="104">
        <v>0.0</v>
      </c>
      <c r="K1061" s="105"/>
      <c r="L1061" s="105" t="str">
        <f t="shared" si="1"/>
        <v/>
      </c>
      <c r="O1061" s="106" t="str">
        <f t="shared" si="2"/>
        <v>#N/A</v>
      </c>
      <c r="P1061" s="106" t="str">
        <f t="shared" si="3"/>
        <v>#N/A</v>
      </c>
      <c r="Q1061" s="84" t="str">
        <f t="shared" si="4"/>
        <v>#N/A</v>
      </c>
      <c r="R1061" s="84" t="str">
        <f t="shared" si="5"/>
        <v>#N/A</v>
      </c>
      <c r="S1061" s="107">
        <f t="shared" si="6"/>
        <v>-0.7337</v>
      </c>
      <c r="T1061" s="108">
        <f t="shared" si="7"/>
        <v>-1</v>
      </c>
      <c r="U1061" s="106" t="str">
        <f t="shared" si="8"/>
        <v>#N/A</v>
      </c>
      <c r="V1061" s="84" t="str">
        <f t="shared" si="9"/>
        <v/>
      </c>
      <c r="W1061" s="109" t="str">
        <f t="shared" si="10"/>
        <v/>
      </c>
      <c r="X1061" s="109" t="str">
        <f t="shared" si="11"/>
        <v/>
      </c>
      <c r="Y1061" s="110" t="str">
        <f t="array" ref="Y1061">_xlfn.XLOOKUP(A1061,'Video Database'!L:L,'Video Database'!M:M,"")</f>
        <v>Bottom of Funnel</v>
      </c>
    </row>
    <row r="1062" ht="22.5" customHeight="1">
      <c r="A1062" s="113">
        <f t="shared" si="12"/>
        <v>1061</v>
      </c>
      <c r="B1062" s="98" t="str">
        <f t="array" ref="B1062">_xlfn.XLOOKUP(A1062,'Video Database'!L:L,'Video Database'!D:D,"")</f>
        <v>Erin</v>
      </c>
      <c r="C1062" s="98" t="str">
        <f t="array" ref="C1062">_xlfn.XLOOKUP(A1062,'Video Database'!L:L,'Video Database'!E:E,"")</f>
        <v>Account 3</v>
      </c>
      <c r="D1062" s="99" t="str">
        <f t="array" ref="D1062">_xlfn.XLOOKUP(A1062,'Video Database'!L:L,'Video Database'!G:G,"")</f>
        <v>Camellia Deep Collagen Lifting Gel Mask</v>
      </c>
      <c r="E1062" s="100">
        <f t="array" ref="E1062">_xlfn.XLOOKUP(A1062,'Video Database'!L:L,'Video Database'!H:H,"")</f>
        <v>0.7337</v>
      </c>
      <c r="F1062" s="101">
        <v>0.0</v>
      </c>
      <c r="G1062" s="87">
        <v>0.0</v>
      </c>
      <c r="H1062" s="114">
        <f t="array" ref="H1062">_xlfn.XLOOKUP(A1062,'Video Database'!L:L,'Video Database'!A:A,"")</f>
        <v>46200</v>
      </c>
      <c r="I1062" s="103">
        <v>46201.0</v>
      </c>
      <c r="J1062" s="104">
        <v>0.0</v>
      </c>
      <c r="K1062" s="105"/>
      <c r="L1062" s="105" t="str">
        <f t="shared" si="1"/>
        <v/>
      </c>
      <c r="O1062" s="106" t="str">
        <f t="shared" si="2"/>
        <v>#N/A</v>
      </c>
      <c r="P1062" s="106" t="str">
        <f t="shared" si="3"/>
        <v>#N/A</v>
      </c>
      <c r="Q1062" s="84" t="str">
        <f t="shared" si="4"/>
        <v>#N/A</v>
      </c>
      <c r="R1062" s="84" t="str">
        <f t="shared" si="5"/>
        <v>#N/A</v>
      </c>
      <c r="S1062" s="107">
        <f t="shared" si="6"/>
        <v>-0.7337</v>
      </c>
      <c r="T1062" s="108">
        <f t="shared" si="7"/>
        <v>-1</v>
      </c>
      <c r="U1062" s="106" t="str">
        <f t="shared" si="8"/>
        <v>#N/A</v>
      </c>
      <c r="V1062" s="84" t="str">
        <f t="shared" si="9"/>
        <v/>
      </c>
      <c r="W1062" s="109" t="str">
        <f t="shared" si="10"/>
        <v/>
      </c>
      <c r="X1062" s="109" t="str">
        <f t="shared" si="11"/>
        <v/>
      </c>
      <c r="Y1062" s="110" t="str">
        <f t="array" ref="Y1062">_xlfn.XLOOKUP(A1062,'Video Database'!L:L,'Video Database'!M:M,"")</f>
        <v>Bottom of Funnel</v>
      </c>
    </row>
    <row r="1063" ht="22.5" customHeight="1">
      <c r="A1063" s="113">
        <f t="shared" si="12"/>
        <v>1062</v>
      </c>
      <c r="B1063" s="98" t="str">
        <f t="array" ref="B1063">_xlfn.XLOOKUP(A1063,'Video Database'!L:L,'Video Database'!D:D,"")</f>
        <v>Erin</v>
      </c>
      <c r="C1063" s="98" t="str">
        <f t="array" ref="C1063">_xlfn.XLOOKUP(A1063,'Video Database'!L:L,'Video Database'!E:E,"")</f>
        <v>Account 3</v>
      </c>
      <c r="D1063" s="99" t="str">
        <f t="array" ref="D1063">_xlfn.XLOOKUP(A1063,'Video Database'!L:L,'Video Database'!G:G,"")</f>
        <v>Medicube Kojic Accid Tumeric Power Duo</v>
      </c>
      <c r="E1063" s="100">
        <f t="array" ref="E1063">_xlfn.XLOOKUP(A1063,'Video Database'!L:L,'Video Database'!H:H,"")</f>
        <v>0.7337</v>
      </c>
      <c r="F1063" s="101">
        <v>0.0</v>
      </c>
      <c r="G1063" s="87">
        <v>0.0</v>
      </c>
      <c r="H1063" s="114">
        <f t="array" ref="H1063">_xlfn.XLOOKUP(A1063,'Video Database'!L:L,'Video Database'!A:A,"")</f>
        <v>46200</v>
      </c>
      <c r="I1063" s="103">
        <v>46201.0</v>
      </c>
      <c r="J1063" s="104">
        <v>0.0</v>
      </c>
      <c r="K1063" s="105"/>
      <c r="L1063" s="105" t="str">
        <f t="shared" si="1"/>
        <v/>
      </c>
      <c r="O1063" s="106" t="str">
        <f t="shared" si="2"/>
        <v>#N/A</v>
      </c>
      <c r="P1063" s="106" t="str">
        <f t="shared" si="3"/>
        <v>#N/A</v>
      </c>
      <c r="Q1063" s="84" t="str">
        <f t="shared" si="4"/>
        <v>#N/A</v>
      </c>
      <c r="R1063" s="84" t="str">
        <f t="shared" si="5"/>
        <v>#N/A</v>
      </c>
      <c r="S1063" s="107">
        <f t="shared" si="6"/>
        <v>-0.7337</v>
      </c>
      <c r="T1063" s="108">
        <f t="shared" si="7"/>
        <v>-1</v>
      </c>
      <c r="U1063" s="106" t="str">
        <f t="shared" si="8"/>
        <v>#N/A</v>
      </c>
      <c r="V1063" s="84" t="str">
        <f t="shared" si="9"/>
        <v/>
      </c>
      <c r="W1063" s="109" t="str">
        <f t="shared" si="10"/>
        <v/>
      </c>
      <c r="X1063" s="109" t="str">
        <f t="shared" si="11"/>
        <v/>
      </c>
      <c r="Y1063" s="110" t="str">
        <f t="array" ref="Y1063">_xlfn.XLOOKUP(A1063,'Video Database'!L:L,'Video Database'!M:M,"")</f>
        <v>Bottom of Funnel</v>
      </c>
    </row>
    <row r="1064" ht="22.5" customHeight="1">
      <c r="A1064" s="113">
        <f t="shared" si="12"/>
        <v>1063</v>
      </c>
      <c r="B1064" s="98" t="str">
        <f t="array" ref="B1064">_xlfn.XLOOKUP(A1064,'Video Database'!L:L,'Video Database'!D:D,"")</f>
        <v>Blakely</v>
      </c>
      <c r="C1064" s="98" t="str">
        <f t="array" ref="C1064">_xlfn.XLOOKUP(A1064,'Video Database'!L:L,'Video Database'!E:E,"")</f>
        <v>Account 4</v>
      </c>
      <c r="D1064" s="99" t="str">
        <f t="array" ref="D1064">_xlfn.XLOOKUP(A1064,'Video Database'!L:L,'Video Database'!G:G,"")</f>
        <v>Camellia Deep Collagen Lifting Gel Mask</v>
      </c>
      <c r="E1064" s="100">
        <f t="array" ref="E1064">_xlfn.XLOOKUP(A1064,'Video Database'!L:L,'Video Database'!H:H,"")</f>
        <v>0.11</v>
      </c>
      <c r="F1064" s="101">
        <v>0.0</v>
      </c>
      <c r="G1064" s="87">
        <v>0.0</v>
      </c>
      <c r="H1064" s="114">
        <f t="array" ref="H1064">_xlfn.XLOOKUP(A1064,'Video Database'!L:L,'Video Database'!A:A,"")</f>
        <v>46200</v>
      </c>
      <c r="I1064" s="103">
        <v>46201.0</v>
      </c>
      <c r="J1064" s="104">
        <v>0.0</v>
      </c>
      <c r="K1064" s="105"/>
      <c r="L1064" s="105" t="str">
        <f t="shared" si="1"/>
        <v/>
      </c>
      <c r="O1064" s="106" t="str">
        <f t="shared" si="2"/>
        <v>#N/A</v>
      </c>
      <c r="P1064" s="106" t="str">
        <f t="shared" si="3"/>
        <v>#N/A</v>
      </c>
      <c r="Q1064" s="84" t="str">
        <f t="shared" si="4"/>
        <v>#N/A</v>
      </c>
      <c r="R1064" s="84" t="str">
        <f t="shared" si="5"/>
        <v>#N/A</v>
      </c>
      <c r="S1064" s="107">
        <f t="shared" si="6"/>
        <v>-0.11</v>
      </c>
      <c r="T1064" s="108">
        <f t="shared" si="7"/>
        <v>-1</v>
      </c>
      <c r="U1064" s="106" t="str">
        <f t="shared" si="8"/>
        <v>#N/A</v>
      </c>
      <c r="V1064" s="84" t="str">
        <f t="shared" si="9"/>
        <v/>
      </c>
      <c r="W1064" s="109" t="str">
        <f t="shared" si="10"/>
        <v/>
      </c>
      <c r="X1064" s="109" t="str">
        <f t="shared" si="11"/>
        <v/>
      </c>
      <c r="Y1064" s="110" t="str">
        <f t="array" ref="Y1064">_xlfn.XLOOKUP(A1064,'Video Database'!L:L,'Video Database'!M:M,"")</f>
        <v>Bottom of Funnel</v>
      </c>
    </row>
    <row r="1065" ht="22.5" customHeight="1">
      <c r="A1065" s="113">
        <f t="shared" si="12"/>
        <v>1064</v>
      </c>
      <c r="B1065" s="98" t="str">
        <f t="array" ref="B1065">_xlfn.XLOOKUP(A1065,'Video Database'!L:L,'Video Database'!D:D,"")</f>
        <v>Blakely</v>
      </c>
      <c r="C1065" s="98" t="str">
        <f t="array" ref="C1065">_xlfn.XLOOKUP(A1065,'Video Database'!L:L,'Video Database'!E:E,"")</f>
        <v>Account 4</v>
      </c>
      <c r="D1065" s="99" t="str">
        <f t="array" ref="D1065">_xlfn.XLOOKUP(A1065,'Video Database'!L:L,'Video Database'!G:G,"")</f>
        <v>tarte CC Color-Correct Tinted Serum</v>
      </c>
      <c r="E1065" s="100">
        <f t="array" ref="E1065">_xlfn.XLOOKUP(A1065,'Video Database'!L:L,'Video Database'!H:H,"")</f>
        <v>0.11</v>
      </c>
      <c r="F1065" s="101">
        <v>0.0</v>
      </c>
      <c r="G1065" s="87">
        <v>0.0</v>
      </c>
      <c r="H1065" s="114">
        <f t="array" ref="H1065">_xlfn.XLOOKUP(A1065,'Video Database'!L:L,'Video Database'!A:A,"")</f>
        <v>46200</v>
      </c>
      <c r="I1065" s="103">
        <v>46201.0</v>
      </c>
      <c r="J1065" s="104">
        <v>0.0</v>
      </c>
      <c r="K1065" s="105"/>
      <c r="L1065" s="105" t="str">
        <f t="shared" si="1"/>
        <v/>
      </c>
      <c r="O1065" s="106" t="str">
        <f t="shared" si="2"/>
        <v>#N/A</v>
      </c>
      <c r="P1065" s="106" t="str">
        <f t="shared" si="3"/>
        <v>#N/A</v>
      </c>
      <c r="Q1065" s="84" t="str">
        <f t="shared" si="4"/>
        <v>#N/A</v>
      </c>
      <c r="R1065" s="84" t="str">
        <f t="shared" si="5"/>
        <v>#N/A</v>
      </c>
      <c r="S1065" s="107">
        <f t="shared" si="6"/>
        <v>-0.11</v>
      </c>
      <c r="T1065" s="108">
        <f t="shared" si="7"/>
        <v>-1</v>
      </c>
      <c r="U1065" s="106" t="str">
        <f t="shared" si="8"/>
        <v>#N/A</v>
      </c>
      <c r="V1065" s="84" t="str">
        <f t="shared" si="9"/>
        <v/>
      </c>
      <c r="W1065" s="109" t="str">
        <f t="shared" si="10"/>
        <v/>
      </c>
      <c r="X1065" s="109" t="str">
        <f t="shared" si="11"/>
        <v/>
      </c>
      <c r="Y1065" s="110" t="str">
        <f t="array" ref="Y1065">_xlfn.XLOOKUP(A1065,'Video Database'!L:L,'Video Database'!M:M,"")</f>
        <v>Bottom of Funnel</v>
      </c>
    </row>
    <row r="1066" ht="22.5" customHeight="1">
      <c r="A1066" s="113">
        <f t="shared" si="12"/>
        <v>1065</v>
      </c>
      <c r="B1066" s="98" t="str">
        <f t="array" ref="B1066">_xlfn.XLOOKUP(A1066,'Video Database'!L:L,'Video Database'!D:D,"")</f>
        <v>Blakely</v>
      </c>
      <c r="C1066" s="98" t="str">
        <f t="array" ref="C1066">_xlfn.XLOOKUP(A1066,'Video Database'!L:L,'Video Database'!E:E,"")</f>
        <v>Account 4</v>
      </c>
      <c r="D1066" s="99" t="str">
        <f t="array" ref="D1066">_xlfn.XLOOKUP(A1066,'Video Database'!L:L,'Video Database'!G:G,"")</f>
        <v>IRIS Hormone Health Drink Mix</v>
      </c>
      <c r="E1066" s="100">
        <f t="array" ref="E1066">_xlfn.XLOOKUP(A1066,'Video Database'!L:L,'Video Database'!H:H,"")</f>
        <v>0.11</v>
      </c>
      <c r="F1066" s="101">
        <v>35.13</v>
      </c>
      <c r="G1066" s="87">
        <v>2.0</v>
      </c>
      <c r="H1066" s="114">
        <f t="array" ref="H1066">_xlfn.XLOOKUP(A1066,'Video Database'!L:L,'Video Database'!A:A,"")</f>
        <v>46200</v>
      </c>
      <c r="I1066" s="103">
        <v>46201.0</v>
      </c>
      <c r="J1066" s="104">
        <v>5.93</v>
      </c>
      <c r="K1066" s="87">
        <v>39.0</v>
      </c>
      <c r="L1066" s="105">
        <f t="shared" si="1"/>
        <v>2400</v>
      </c>
      <c r="M1066" s="87">
        <v>2400.0</v>
      </c>
      <c r="O1066" s="106">
        <f t="shared" si="2"/>
        <v>0.01625</v>
      </c>
      <c r="P1066" s="106">
        <f t="shared" si="3"/>
        <v>0.05128205128</v>
      </c>
      <c r="Q1066" s="84">
        <f t="shared" si="4"/>
        <v>2.965</v>
      </c>
      <c r="R1066" s="84">
        <f t="shared" si="5"/>
        <v>17.565</v>
      </c>
      <c r="S1066" s="107">
        <f t="shared" si="6"/>
        <v>5.82</v>
      </c>
      <c r="T1066" s="108">
        <f t="shared" si="7"/>
        <v>52.90909091</v>
      </c>
      <c r="U1066" s="106">
        <f t="shared" si="8"/>
        <v>0.981450253</v>
      </c>
      <c r="V1066" s="129">
        <f t="shared" si="9"/>
        <v>0.055</v>
      </c>
      <c r="W1066" s="109">
        <f t="shared" si="10"/>
        <v>0.002820512821</v>
      </c>
      <c r="X1066" s="109">
        <f t="shared" si="11"/>
        <v>0.3131226872</v>
      </c>
      <c r="Y1066" s="110" t="str">
        <f t="array" ref="Y1066">_xlfn.XLOOKUP(A1066,'Video Database'!L:L,'Video Database'!M:M,"")</f>
        <v>Product Overlay</v>
      </c>
    </row>
    <row r="1067" ht="22.5" customHeight="1">
      <c r="A1067" s="113">
        <f t="shared" si="12"/>
        <v>1066</v>
      </c>
      <c r="B1067" s="98" t="str">
        <f t="array" ref="B1067">_xlfn.XLOOKUP(A1067,'Video Database'!L:L,'Video Database'!D:D,"")</f>
        <v>Blakely</v>
      </c>
      <c r="C1067" s="98" t="str">
        <f t="array" ref="C1067">_xlfn.XLOOKUP(A1067,'Video Database'!L:L,'Video Database'!E:E,"")</f>
        <v>Account 4</v>
      </c>
      <c r="D1067" s="99" t="str">
        <f t="array" ref="D1067">_xlfn.XLOOKUP(A1067,'Video Database'!L:L,'Video Database'!G:G,"")</f>
        <v>tarte CC Color-Correct Tinted Serum</v>
      </c>
      <c r="E1067" s="100">
        <f t="array" ref="E1067">_xlfn.XLOOKUP(A1067,'Video Database'!L:L,'Video Database'!H:H,"")</f>
        <v>0.11</v>
      </c>
      <c r="F1067" s="101">
        <v>0.0</v>
      </c>
      <c r="G1067" s="87">
        <v>0.0</v>
      </c>
      <c r="H1067" s="114">
        <f t="array" ref="H1067">_xlfn.XLOOKUP(A1067,'Video Database'!L:L,'Video Database'!A:A,"")</f>
        <v>46200</v>
      </c>
      <c r="I1067" s="103">
        <v>46201.0</v>
      </c>
      <c r="J1067" s="104">
        <v>0.0</v>
      </c>
      <c r="K1067" s="105"/>
      <c r="L1067" s="105" t="str">
        <f t="shared" si="1"/>
        <v/>
      </c>
      <c r="O1067" s="106" t="str">
        <f t="shared" si="2"/>
        <v>#N/A</v>
      </c>
      <c r="P1067" s="106" t="str">
        <f t="shared" si="3"/>
        <v>#N/A</v>
      </c>
      <c r="Q1067" s="84" t="str">
        <f t="shared" si="4"/>
        <v>#N/A</v>
      </c>
      <c r="R1067" s="84" t="str">
        <f t="shared" si="5"/>
        <v>#N/A</v>
      </c>
      <c r="S1067" s="107">
        <f t="shared" si="6"/>
        <v>-0.11</v>
      </c>
      <c r="T1067" s="108">
        <f t="shared" si="7"/>
        <v>-1</v>
      </c>
      <c r="U1067" s="106" t="str">
        <f t="shared" si="8"/>
        <v>#N/A</v>
      </c>
      <c r="V1067" s="84" t="str">
        <f t="shared" si="9"/>
        <v/>
      </c>
      <c r="W1067" s="109" t="str">
        <f t="shared" si="10"/>
        <v/>
      </c>
      <c r="X1067" s="109" t="str">
        <f t="shared" si="11"/>
        <v/>
      </c>
      <c r="Y1067" s="110" t="str">
        <f t="array" ref="Y1067">_xlfn.XLOOKUP(A1067,'Video Database'!L:L,'Video Database'!M:M,"")</f>
        <v>Bottom of Funnel</v>
      </c>
    </row>
    <row r="1068" ht="22.5" customHeight="1">
      <c r="A1068" s="113">
        <f t="shared" si="12"/>
        <v>1067</v>
      </c>
      <c r="B1068" s="98" t="str">
        <f t="array" ref="B1068">_xlfn.XLOOKUP(A1068,'Video Database'!L:L,'Video Database'!D:D,"")</f>
        <v>Erin</v>
      </c>
      <c r="C1068" s="98" t="str">
        <f t="array" ref="C1068">_xlfn.XLOOKUP(A1068,'Video Database'!L:L,'Video Database'!E:E,"")</f>
        <v>Account 4</v>
      </c>
      <c r="D1068" s="99" t="str">
        <f t="array" ref="D1068">_xlfn.XLOOKUP(A1068,'Video Database'!L:L,'Video Database'!G:G,"")</f>
        <v>Camellia Deep Collagen Lifting Gel Mask</v>
      </c>
      <c r="E1068" s="100">
        <f t="array" ref="E1068">_xlfn.XLOOKUP(A1068,'Video Database'!L:L,'Video Database'!H:H,"")</f>
        <v>0.7337</v>
      </c>
      <c r="F1068" s="101">
        <v>0.0</v>
      </c>
      <c r="G1068" s="87">
        <v>0.0</v>
      </c>
      <c r="H1068" s="114">
        <f t="array" ref="H1068">_xlfn.XLOOKUP(A1068,'Video Database'!L:L,'Video Database'!A:A,"")</f>
        <v>46200</v>
      </c>
      <c r="I1068" s="103">
        <v>46201.0</v>
      </c>
      <c r="J1068" s="104">
        <v>0.0</v>
      </c>
      <c r="K1068" s="105"/>
      <c r="L1068" s="105" t="str">
        <f t="shared" si="1"/>
        <v/>
      </c>
      <c r="O1068" s="106" t="str">
        <f t="shared" si="2"/>
        <v>#N/A</v>
      </c>
      <c r="P1068" s="106" t="str">
        <f t="shared" si="3"/>
        <v>#N/A</v>
      </c>
      <c r="Q1068" s="84" t="str">
        <f t="shared" si="4"/>
        <v>#N/A</v>
      </c>
      <c r="R1068" s="84" t="str">
        <f t="shared" si="5"/>
        <v>#N/A</v>
      </c>
      <c r="S1068" s="107">
        <f t="shared" si="6"/>
        <v>-0.7337</v>
      </c>
      <c r="T1068" s="108">
        <f t="shared" si="7"/>
        <v>-1</v>
      </c>
      <c r="U1068" s="106" t="str">
        <f t="shared" si="8"/>
        <v>#N/A</v>
      </c>
      <c r="V1068" s="84" t="str">
        <f t="shared" si="9"/>
        <v/>
      </c>
      <c r="W1068" s="109" t="str">
        <f t="shared" si="10"/>
        <v/>
      </c>
      <c r="X1068" s="109" t="str">
        <f t="shared" si="11"/>
        <v/>
      </c>
      <c r="Y1068" s="110" t="str">
        <f t="array" ref="Y1068">_xlfn.XLOOKUP(A1068,'Video Database'!L:L,'Video Database'!M:M,"")</f>
        <v>Bottom of Funnel</v>
      </c>
    </row>
    <row r="1069" ht="22.5" customHeight="1">
      <c r="A1069" s="113">
        <f t="shared" si="12"/>
        <v>1068</v>
      </c>
      <c r="B1069" s="98" t="str">
        <f t="array" ref="B1069">_xlfn.XLOOKUP(A1069,'Video Database'!L:L,'Video Database'!D:D,"")</f>
        <v>Erin</v>
      </c>
      <c r="C1069" s="98" t="str">
        <f t="array" ref="C1069">_xlfn.XLOOKUP(A1069,'Video Database'!L:L,'Video Database'!E:E,"")</f>
        <v>Account 4</v>
      </c>
      <c r="D1069" s="99" t="str">
        <f t="array" ref="D1069">_xlfn.XLOOKUP(A1069,'Video Database'!L:L,'Video Database'!G:G,"")</f>
        <v>Camellia Deep Collagen Lifting Gel Mask</v>
      </c>
      <c r="E1069" s="100">
        <f t="array" ref="E1069">_xlfn.XLOOKUP(A1069,'Video Database'!L:L,'Video Database'!H:H,"")</f>
        <v>0.7337</v>
      </c>
      <c r="F1069" s="101">
        <v>0.0</v>
      </c>
      <c r="G1069" s="87">
        <v>0.0</v>
      </c>
      <c r="H1069" s="114">
        <f t="array" ref="H1069">_xlfn.XLOOKUP(A1069,'Video Database'!L:L,'Video Database'!A:A,"")</f>
        <v>46200</v>
      </c>
      <c r="I1069" s="103">
        <v>46201.0</v>
      </c>
      <c r="J1069" s="104">
        <v>0.0</v>
      </c>
      <c r="K1069" s="105"/>
      <c r="L1069" s="105" t="str">
        <f t="shared" si="1"/>
        <v/>
      </c>
      <c r="O1069" s="106" t="str">
        <f t="shared" si="2"/>
        <v>#N/A</v>
      </c>
      <c r="P1069" s="106" t="str">
        <f t="shared" si="3"/>
        <v>#N/A</v>
      </c>
      <c r="Q1069" s="84" t="str">
        <f t="shared" si="4"/>
        <v>#N/A</v>
      </c>
      <c r="R1069" s="84" t="str">
        <f t="shared" si="5"/>
        <v>#N/A</v>
      </c>
      <c r="S1069" s="107">
        <f t="shared" si="6"/>
        <v>-0.7337</v>
      </c>
      <c r="T1069" s="108">
        <f t="shared" si="7"/>
        <v>-1</v>
      </c>
      <c r="U1069" s="106" t="str">
        <f t="shared" si="8"/>
        <v>#N/A</v>
      </c>
      <c r="V1069" s="84" t="str">
        <f t="shared" si="9"/>
        <v/>
      </c>
      <c r="W1069" s="109" t="str">
        <f t="shared" si="10"/>
        <v/>
      </c>
      <c r="X1069" s="109" t="str">
        <f t="shared" si="11"/>
        <v/>
      </c>
      <c r="Y1069" s="110" t="str">
        <f t="array" ref="Y1069">_xlfn.XLOOKUP(A1069,'Video Database'!L:L,'Video Database'!M:M,"")</f>
        <v>Bottom of Funnel</v>
      </c>
    </row>
    <row r="1070" ht="22.5" customHeight="1">
      <c r="A1070" s="113">
        <f t="shared" si="12"/>
        <v>1069</v>
      </c>
      <c r="B1070" s="98" t="str">
        <f t="array" ref="B1070">_xlfn.XLOOKUP(A1070,'Video Database'!L:L,'Video Database'!D:D,"")</f>
        <v>Erin</v>
      </c>
      <c r="C1070" s="98" t="str">
        <f t="array" ref="C1070">_xlfn.XLOOKUP(A1070,'Video Database'!L:L,'Video Database'!E:E,"")</f>
        <v>Account 4</v>
      </c>
      <c r="D1070" s="99" t="str">
        <f t="array" ref="D1070">_xlfn.XLOOKUP(A1070,'Video Database'!L:L,'Video Database'!G:G,"")</f>
        <v>Camellia Deep Collagen Lifting Gel Mask</v>
      </c>
      <c r="E1070" s="100">
        <f t="array" ref="E1070">_xlfn.XLOOKUP(A1070,'Video Database'!L:L,'Video Database'!H:H,"")</f>
        <v>0.7337</v>
      </c>
      <c r="F1070" s="101">
        <v>0.0</v>
      </c>
      <c r="G1070" s="87">
        <v>0.0</v>
      </c>
      <c r="H1070" s="114">
        <f t="array" ref="H1070">_xlfn.XLOOKUP(A1070,'Video Database'!L:L,'Video Database'!A:A,"")</f>
        <v>46200</v>
      </c>
      <c r="I1070" s="103">
        <v>46201.0</v>
      </c>
      <c r="J1070" s="104">
        <v>0.0</v>
      </c>
      <c r="K1070" s="105"/>
      <c r="L1070" s="105" t="str">
        <f t="shared" si="1"/>
        <v/>
      </c>
      <c r="O1070" s="106" t="str">
        <f t="shared" si="2"/>
        <v>#N/A</v>
      </c>
      <c r="P1070" s="106" t="str">
        <f t="shared" si="3"/>
        <v>#N/A</v>
      </c>
      <c r="Q1070" s="84" t="str">
        <f t="shared" si="4"/>
        <v>#N/A</v>
      </c>
      <c r="R1070" s="84" t="str">
        <f t="shared" si="5"/>
        <v>#N/A</v>
      </c>
      <c r="S1070" s="107">
        <f t="shared" si="6"/>
        <v>-0.7337</v>
      </c>
      <c r="T1070" s="108">
        <f t="shared" si="7"/>
        <v>-1</v>
      </c>
      <c r="U1070" s="106" t="str">
        <f t="shared" si="8"/>
        <v>#N/A</v>
      </c>
      <c r="V1070" s="84" t="str">
        <f t="shared" si="9"/>
        <v/>
      </c>
      <c r="W1070" s="109" t="str">
        <f t="shared" si="10"/>
        <v/>
      </c>
      <c r="X1070" s="109" t="str">
        <f t="shared" si="11"/>
        <v/>
      </c>
      <c r="Y1070" s="110" t="str">
        <f t="array" ref="Y1070">_xlfn.XLOOKUP(A1070,'Video Database'!L:L,'Video Database'!M:M,"")</f>
        <v>Bottom of Funnel</v>
      </c>
    </row>
    <row r="1071" ht="22.5" customHeight="1">
      <c r="A1071" s="113">
        <f t="shared" si="12"/>
        <v>1070</v>
      </c>
      <c r="B1071" s="98" t="str">
        <f t="array" ref="B1071">_xlfn.XLOOKUP(A1071,'Video Database'!L:L,'Video Database'!D:D,"")</f>
        <v>Erin</v>
      </c>
      <c r="C1071" s="98" t="str">
        <f t="array" ref="C1071">_xlfn.XLOOKUP(A1071,'Video Database'!L:L,'Video Database'!E:E,"")</f>
        <v>Account 4</v>
      </c>
      <c r="D1071" s="99" t="str">
        <f t="array" ref="D1071">_xlfn.XLOOKUP(A1071,'Video Database'!L:L,'Video Database'!G:G,"")</f>
        <v>Camellia Deep Collagen Lifting Gel Mask</v>
      </c>
      <c r="E1071" s="100">
        <f t="array" ref="E1071">_xlfn.XLOOKUP(A1071,'Video Database'!L:L,'Video Database'!H:H,"")</f>
        <v>0.7337</v>
      </c>
      <c r="F1071" s="101">
        <v>0.0</v>
      </c>
      <c r="G1071" s="87">
        <v>0.0</v>
      </c>
      <c r="H1071" s="114">
        <f t="array" ref="H1071">_xlfn.XLOOKUP(A1071,'Video Database'!L:L,'Video Database'!A:A,"")</f>
        <v>46200</v>
      </c>
      <c r="I1071" s="103">
        <v>46201.0</v>
      </c>
      <c r="J1071" s="104">
        <v>0.0</v>
      </c>
      <c r="K1071" s="105"/>
      <c r="L1071" s="105" t="str">
        <f t="shared" si="1"/>
        <v/>
      </c>
      <c r="O1071" s="106" t="str">
        <f t="shared" si="2"/>
        <v>#N/A</v>
      </c>
      <c r="P1071" s="106" t="str">
        <f t="shared" si="3"/>
        <v>#N/A</v>
      </c>
      <c r="Q1071" s="84" t="str">
        <f t="shared" si="4"/>
        <v>#N/A</v>
      </c>
      <c r="R1071" s="84" t="str">
        <f t="shared" si="5"/>
        <v>#N/A</v>
      </c>
      <c r="S1071" s="107">
        <f t="shared" si="6"/>
        <v>-0.7337</v>
      </c>
      <c r="T1071" s="108">
        <f t="shared" si="7"/>
        <v>-1</v>
      </c>
      <c r="U1071" s="106" t="str">
        <f t="shared" si="8"/>
        <v>#N/A</v>
      </c>
      <c r="V1071" s="84" t="str">
        <f t="shared" si="9"/>
        <v/>
      </c>
      <c r="W1071" s="109" t="str">
        <f t="shared" si="10"/>
        <v/>
      </c>
      <c r="X1071" s="109" t="str">
        <f t="shared" si="11"/>
        <v/>
      </c>
      <c r="Y1071" s="110" t="str">
        <f t="array" ref="Y1071">_xlfn.XLOOKUP(A1071,'Video Database'!L:L,'Video Database'!M:M,"")</f>
        <v>Bottom of Funnel</v>
      </c>
    </row>
    <row r="1072" ht="22.5" customHeight="1">
      <c r="A1072" s="113">
        <f t="shared" si="12"/>
        <v>1071</v>
      </c>
      <c r="B1072" s="98" t="str">
        <f t="array" ref="B1072">_xlfn.XLOOKUP(A1072,'Video Database'!L:L,'Video Database'!D:D,"")</f>
        <v>Erin</v>
      </c>
      <c r="C1072" s="98" t="str">
        <f t="array" ref="C1072">_xlfn.XLOOKUP(A1072,'Video Database'!L:L,'Video Database'!E:E,"")</f>
        <v>Account 4</v>
      </c>
      <c r="D1072" s="99" t="str">
        <f t="array" ref="D1072">_xlfn.XLOOKUP(A1072,'Video Database'!L:L,'Video Database'!G:G,"")</f>
        <v>Camellia Deep Collagen Lifting Gel Mask</v>
      </c>
      <c r="E1072" s="100">
        <f t="array" ref="E1072">_xlfn.XLOOKUP(A1072,'Video Database'!L:L,'Video Database'!H:H,"")</f>
        <v>0.7337</v>
      </c>
      <c r="F1072" s="101">
        <v>0.0</v>
      </c>
      <c r="G1072" s="87">
        <v>0.0</v>
      </c>
      <c r="H1072" s="114">
        <f t="array" ref="H1072">_xlfn.XLOOKUP(A1072,'Video Database'!L:L,'Video Database'!A:A,"")</f>
        <v>46200</v>
      </c>
      <c r="I1072" s="103">
        <v>46201.0</v>
      </c>
      <c r="J1072" s="104">
        <v>0.0</v>
      </c>
      <c r="K1072" s="105"/>
      <c r="L1072" s="105" t="str">
        <f t="shared" si="1"/>
        <v/>
      </c>
      <c r="O1072" s="106" t="str">
        <f t="shared" si="2"/>
        <v>#N/A</v>
      </c>
      <c r="P1072" s="106" t="str">
        <f t="shared" si="3"/>
        <v>#N/A</v>
      </c>
      <c r="Q1072" s="84" t="str">
        <f t="shared" si="4"/>
        <v>#N/A</v>
      </c>
      <c r="R1072" s="84" t="str">
        <f t="shared" si="5"/>
        <v>#N/A</v>
      </c>
      <c r="S1072" s="107">
        <f t="shared" si="6"/>
        <v>-0.7337</v>
      </c>
      <c r="T1072" s="108">
        <f t="shared" si="7"/>
        <v>-1</v>
      </c>
      <c r="U1072" s="106" t="str">
        <f t="shared" si="8"/>
        <v>#N/A</v>
      </c>
      <c r="V1072" s="84" t="str">
        <f t="shared" si="9"/>
        <v/>
      </c>
      <c r="W1072" s="109" t="str">
        <f t="shared" si="10"/>
        <v/>
      </c>
      <c r="X1072" s="109" t="str">
        <f t="shared" si="11"/>
        <v/>
      </c>
      <c r="Y1072" s="110" t="str">
        <f t="array" ref="Y1072">_xlfn.XLOOKUP(A1072,'Video Database'!L:L,'Video Database'!M:M,"")</f>
        <v>Bottom of Funnel</v>
      </c>
    </row>
    <row r="1073" ht="22.5" customHeight="1">
      <c r="A1073" s="113">
        <f t="shared" si="12"/>
        <v>1072</v>
      </c>
      <c r="B1073" s="98" t="str">
        <f t="array" ref="B1073">_xlfn.XLOOKUP(A1073,'Video Database'!L:L,'Video Database'!D:D,"")</f>
        <v>Erin</v>
      </c>
      <c r="C1073" s="98" t="str">
        <f t="array" ref="C1073">_xlfn.XLOOKUP(A1073,'Video Database'!L:L,'Video Database'!E:E,"")</f>
        <v>Account 4</v>
      </c>
      <c r="D1073" s="99" t="str">
        <f t="array" ref="D1073">_xlfn.XLOOKUP(A1073,'Video Database'!L:L,'Video Database'!G:G,"")</f>
        <v>Camellia Deep Collagen Lifting Gel Mask</v>
      </c>
      <c r="E1073" s="100">
        <f t="array" ref="E1073">_xlfn.XLOOKUP(A1073,'Video Database'!L:L,'Video Database'!H:H,"")</f>
        <v>0.7337</v>
      </c>
      <c r="F1073" s="101">
        <v>0.0</v>
      </c>
      <c r="G1073" s="87">
        <v>0.0</v>
      </c>
      <c r="H1073" s="114">
        <f t="array" ref="H1073">_xlfn.XLOOKUP(A1073,'Video Database'!L:L,'Video Database'!A:A,"")</f>
        <v>46200</v>
      </c>
      <c r="I1073" s="103">
        <v>46201.0</v>
      </c>
      <c r="J1073" s="104">
        <v>0.0</v>
      </c>
      <c r="K1073" s="105"/>
      <c r="L1073" s="105" t="str">
        <f t="shared" si="1"/>
        <v/>
      </c>
      <c r="O1073" s="106" t="str">
        <f t="shared" si="2"/>
        <v>#N/A</v>
      </c>
      <c r="P1073" s="106" t="str">
        <f t="shared" si="3"/>
        <v>#N/A</v>
      </c>
      <c r="Q1073" s="84" t="str">
        <f t="shared" si="4"/>
        <v>#N/A</v>
      </c>
      <c r="R1073" s="84" t="str">
        <f t="shared" si="5"/>
        <v>#N/A</v>
      </c>
      <c r="S1073" s="107">
        <f t="shared" si="6"/>
        <v>-0.7337</v>
      </c>
      <c r="T1073" s="108">
        <f t="shared" si="7"/>
        <v>-1</v>
      </c>
      <c r="U1073" s="106" t="str">
        <f t="shared" si="8"/>
        <v>#N/A</v>
      </c>
      <c r="V1073" s="84" t="str">
        <f t="shared" si="9"/>
        <v/>
      </c>
      <c r="W1073" s="109" t="str">
        <f t="shared" si="10"/>
        <v/>
      </c>
      <c r="X1073" s="109" t="str">
        <f t="shared" si="11"/>
        <v/>
      </c>
      <c r="Y1073" s="110" t="str">
        <f t="array" ref="Y1073">_xlfn.XLOOKUP(A1073,'Video Database'!L:L,'Video Database'!M:M,"")</f>
        <v>Bottom of Funnel</v>
      </c>
    </row>
    <row r="1074" ht="22.5" customHeight="1">
      <c r="A1074" s="113">
        <f t="shared" si="12"/>
        <v>1073</v>
      </c>
      <c r="B1074" s="98" t="str">
        <f t="array" ref="B1074">_xlfn.XLOOKUP(A1074,'Video Database'!L:L,'Video Database'!D:D,"")</f>
        <v>Erin</v>
      </c>
      <c r="C1074" s="98" t="str">
        <f t="array" ref="C1074">_xlfn.XLOOKUP(A1074,'Video Database'!L:L,'Video Database'!E:E,"")</f>
        <v>Account 1</v>
      </c>
      <c r="D1074" s="99" t="str">
        <f t="array" ref="D1074">_xlfn.XLOOKUP(A1074,'Video Database'!L:L,'Video Database'!G:G,"")</f>
        <v>XL Microfiber Towel</v>
      </c>
      <c r="E1074" s="100">
        <f t="array" ref="E1074">_xlfn.XLOOKUP(A1074,'Video Database'!L:L,'Video Database'!H:H,"")</f>
        <v>0.7337</v>
      </c>
      <c r="F1074" s="101">
        <v>0.0</v>
      </c>
      <c r="G1074" s="87">
        <v>0.0</v>
      </c>
      <c r="H1074" s="114">
        <f t="array" ref="H1074">_xlfn.XLOOKUP(A1074,'Video Database'!L:L,'Video Database'!A:A,"")</f>
        <v>46201</v>
      </c>
      <c r="I1074" s="103">
        <v>46201.0</v>
      </c>
      <c r="J1074" s="104">
        <v>0.0</v>
      </c>
      <c r="K1074" s="105"/>
      <c r="L1074" s="105" t="str">
        <f t="shared" si="1"/>
        <v/>
      </c>
      <c r="O1074" s="106" t="str">
        <f t="shared" si="2"/>
        <v>#N/A</v>
      </c>
      <c r="P1074" s="106" t="str">
        <f t="shared" si="3"/>
        <v>#N/A</v>
      </c>
      <c r="Q1074" s="84" t="str">
        <f t="shared" si="4"/>
        <v>#N/A</v>
      </c>
      <c r="R1074" s="84" t="str">
        <f t="shared" si="5"/>
        <v>#N/A</v>
      </c>
      <c r="S1074" s="107">
        <f t="shared" si="6"/>
        <v>-0.7337</v>
      </c>
      <c r="T1074" s="108">
        <f t="shared" si="7"/>
        <v>-1</v>
      </c>
      <c r="U1074" s="106" t="str">
        <f t="shared" si="8"/>
        <v>#N/A</v>
      </c>
      <c r="V1074" s="84" t="str">
        <f t="shared" si="9"/>
        <v/>
      </c>
      <c r="W1074" s="109" t="str">
        <f t="shared" si="10"/>
        <v/>
      </c>
      <c r="X1074" s="109" t="str">
        <f t="shared" si="11"/>
        <v/>
      </c>
      <c r="Y1074" s="110" t="str">
        <f t="array" ref="Y1074">_xlfn.XLOOKUP(A1074,'Video Database'!L:L,'Video Database'!M:M,"")</f>
        <v>Bottom of Funnel</v>
      </c>
    </row>
    <row r="1075" ht="22.5" customHeight="1">
      <c r="A1075" s="113">
        <f t="shared" si="12"/>
        <v>1074</v>
      </c>
      <c r="B1075" s="98" t="str">
        <f t="array" ref="B1075">_xlfn.XLOOKUP(A1075,'Video Database'!L:L,'Video Database'!D:D,"")</f>
        <v>Erin</v>
      </c>
      <c r="C1075" s="98" t="str">
        <f t="array" ref="C1075">_xlfn.XLOOKUP(A1075,'Video Database'!L:L,'Video Database'!E:E,"")</f>
        <v>Account 1</v>
      </c>
      <c r="D1075" s="99" t="str">
        <f t="array" ref="D1075">_xlfn.XLOOKUP(A1075,'Video Database'!L:L,'Video Database'!G:G,"")</f>
        <v>Elegant Faux Pearl Set</v>
      </c>
      <c r="E1075" s="100">
        <f t="array" ref="E1075">_xlfn.XLOOKUP(A1075,'Video Database'!L:L,'Video Database'!H:H,"")</f>
        <v>0.7337</v>
      </c>
      <c r="F1075" s="101">
        <v>0.0</v>
      </c>
      <c r="G1075" s="87">
        <v>0.0</v>
      </c>
      <c r="H1075" s="114">
        <f t="array" ref="H1075">_xlfn.XLOOKUP(A1075,'Video Database'!L:L,'Video Database'!A:A,"")</f>
        <v>46201</v>
      </c>
      <c r="I1075" s="103">
        <v>46201.0</v>
      </c>
      <c r="J1075" s="104">
        <v>0.0</v>
      </c>
      <c r="K1075" s="105"/>
      <c r="L1075" s="105" t="str">
        <f t="shared" si="1"/>
        <v/>
      </c>
      <c r="O1075" s="106" t="str">
        <f t="shared" si="2"/>
        <v>#N/A</v>
      </c>
      <c r="P1075" s="106" t="str">
        <f t="shared" si="3"/>
        <v>#N/A</v>
      </c>
      <c r="Q1075" s="84" t="str">
        <f t="shared" si="4"/>
        <v>#N/A</v>
      </c>
      <c r="R1075" s="84" t="str">
        <f t="shared" si="5"/>
        <v>#N/A</v>
      </c>
      <c r="S1075" s="107">
        <f t="shared" si="6"/>
        <v>-0.7337</v>
      </c>
      <c r="T1075" s="108">
        <f t="shared" si="7"/>
        <v>-1</v>
      </c>
      <c r="U1075" s="106" t="str">
        <f t="shared" si="8"/>
        <v>#N/A</v>
      </c>
      <c r="V1075" s="84" t="str">
        <f t="shared" si="9"/>
        <v/>
      </c>
      <c r="W1075" s="109" t="str">
        <f t="shared" si="10"/>
        <v/>
      </c>
      <c r="X1075" s="109" t="str">
        <f t="shared" si="11"/>
        <v/>
      </c>
      <c r="Y1075" s="110" t="str">
        <f t="array" ref="Y1075">_xlfn.XLOOKUP(A1075,'Video Database'!L:L,'Video Database'!M:M,"")</f>
        <v>Bottom of Funnel</v>
      </c>
    </row>
    <row r="1076" ht="22.5" customHeight="1">
      <c r="A1076" s="113">
        <f t="shared" si="12"/>
        <v>1075</v>
      </c>
      <c r="B1076" s="98" t="str">
        <f t="array" ref="B1076">_xlfn.XLOOKUP(A1076,'Video Database'!L:L,'Video Database'!D:D,"")</f>
        <v>Erin</v>
      </c>
      <c r="C1076" s="98" t="str">
        <f t="array" ref="C1076">_xlfn.XLOOKUP(A1076,'Video Database'!L:L,'Video Database'!E:E,"")</f>
        <v>Account 1</v>
      </c>
      <c r="D1076" s="99" t="str">
        <f t="array" ref="D1076">_xlfn.XLOOKUP(A1076,'Video Database'!L:L,'Video Database'!G:G,"")</f>
        <v>Elegant Faux Pearl Set</v>
      </c>
      <c r="E1076" s="100">
        <f t="array" ref="E1076">_xlfn.XLOOKUP(A1076,'Video Database'!L:L,'Video Database'!H:H,"")</f>
        <v>0.7337</v>
      </c>
      <c r="F1076" s="101">
        <v>0.0</v>
      </c>
      <c r="G1076" s="87">
        <v>0.0</v>
      </c>
      <c r="H1076" s="114">
        <f t="array" ref="H1076">_xlfn.XLOOKUP(A1076,'Video Database'!L:L,'Video Database'!A:A,"")</f>
        <v>46201</v>
      </c>
      <c r="I1076" s="103">
        <v>46201.0</v>
      </c>
      <c r="J1076" s="104">
        <v>0.0</v>
      </c>
      <c r="K1076" s="105"/>
      <c r="L1076" s="105" t="str">
        <f t="shared" si="1"/>
        <v/>
      </c>
      <c r="O1076" s="106" t="str">
        <f t="shared" si="2"/>
        <v>#N/A</v>
      </c>
      <c r="P1076" s="106" t="str">
        <f t="shared" si="3"/>
        <v>#N/A</v>
      </c>
      <c r="Q1076" s="84" t="str">
        <f t="shared" si="4"/>
        <v>#N/A</v>
      </c>
      <c r="R1076" s="84" t="str">
        <f t="shared" si="5"/>
        <v>#N/A</v>
      </c>
      <c r="S1076" s="107">
        <f t="shared" si="6"/>
        <v>-0.7337</v>
      </c>
      <c r="T1076" s="108">
        <f t="shared" si="7"/>
        <v>-1</v>
      </c>
      <c r="U1076" s="106" t="str">
        <f t="shared" si="8"/>
        <v>#N/A</v>
      </c>
      <c r="V1076" s="84" t="str">
        <f t="shared" si="9"/>
        <v/>
      </c>
      <c r="W1076" s="109" t="str">
        <f t="shared" si="10"/>
        <v/>
      </c>
      <c r="X1076" s="109" t="str">
        <f t="shared" si="11"/>
        <v/>
      </c>
      <c r="Y1076" s="110" t="str">
        <f t="array" ref="Y1076">_xlfn.XLOOKUP(A1076,'Video Database'!L:L,'Video Database'!M:M,"")</f>
        <v>Bottom of Funnel</v>
      </c>
    </row>
    <row r="1077" ht="22.5" customHeight="1">
      <c r="A1077" s="113">
        <f t="shared" si="12"/>
        <v>1076</v>
      </c>
      <c r="B1077" s="98" t="str">
        <f t="array" ref="B1077">_xlfn.XLOOKUP(A1077,'Video Database'!L:L,'Video Database'!D:D,"")</f>
        <v>Erin</v>
      </c>
      <c r="C1077" s="98" t="str">
        <f t="array" ref="C1077">_xlfn.XLOOKUP(A1077,'Video Database'!L:L,'Video Database'!E:E,"")</f>
        <v>Account 1</v>
      </c>
      <c r="D1077" s="99" t="str">
        <f t="array" ref="D1077">_xlfn.XLOOKUP(A1077,'Video Database'!L:L,'Video Database'!G:G,"")</f>
        <v>Medicube Kojic Accid Tumeric Pads</v>
      </c>
      <c r="E1077" s="100">
        <f t="array" ref="E1077">_xlfn.XLOOKUP(A1077,'Video Database'!L:L,'Video Database'!H:H,"")</f>
        <v>0.7337</v>
      </c>
      <c r="F1077" s="101">
        <v>0.0</v>
      </c>
      <c r="G1077" s="87">
        <v>0.0</v>
      </c>
      <c r="H1077" s="114">
        <f t="array" ref="H1077">_xlfn.XLOOKUP(A1077,'Video Database'!L:L,'Video Database'!A:A,"")</f>
        <v>46201</v>
      </c>
      <c r="I1077" s="103">
        <v>46201.0</v>
      </c>
      <c r="J1077" s="104">
        <v>0.0</v>
      </c>
      <c r="K1077" s="105"/>
      <c r="L1077" s="105" t="str">
        <f t="shared" si="1"/>
        <v/>
      </c>
      <c r="O1077" s="106" t="str">
        <f t="shared" si="2"/>
        <v>#N/A</v>
      </c>
      <c r="P1077" s="106" t="str">
        <f t="shared" si="3"/>
        <v>#N/A</v>
      </c>
      <c r="Q1077" s="84" t="str">
        <f t="shared" si="4"/>
        <v>#N/A</v>
      </c>
      <c r="R1077" s="84" t="str">
        <f t="shared" si="5"/>
        <v>#N/A</v>
      </c>
      <c r="S1077" s="107">
        <f t="shared" si="6"/>
        <v>-0.7337</v>
      </c>
      <c r="T1077" s="108">
        <f t="shared" si="7"/>
        <v>-1</v>
      </c>
      <c r="U1077" s="106" t="str">
        <f t="shared" si="8"/>
        <v>#N/A</v>
      </c>
      <c r="V1077" s="84" t="str">
        <f t="shared" si="9"/>
        <v/>
      </c>
      <c r="W1077" s="109" t="str">
        <f t="shared" si="10"/>
        <v/>
      </c>
      <c r="X1077" s="109" t="str">
        <f t="shared" si="11"/>
        <v/>
      </c>
      <c r="Y1077" s="110" t="str">
        <f t="array" ref="Y1077">_xlfn.XLOOKUP(A1077,'Video Database'!L:L,'Video Database'!M:M,"")</f>
        <v>Bottom of Funnel</v>
      </c>
    </row>
    <row r="1078" ht="22.5" customHeight="1">
      <c r="A1078" s="113">
        <f t="shared" si="12"/>
        <v>1077</v>
      </c>
      <c r="B1078" s="98" t="str">
        <f t="array" ref="B1078">_xlfn.XLOOKUP(A1078,'Video Database'!L:L,'Video Database'!D:D,"")</f>
        <v>Erin</v>
      </c>
      <c r="C1078" s="98" t="str">
        <f t="array" ref="C1078">_xlfn.XLOOKUP(A1078,'Video Database'!L:L,'Video Database'!E:E,"")</f>
        <v>Account 1</v>
      </c>
      <c r="D1078" s="99" t="str">
        <f t="array" ref="D1078">_xlfn.XLOOKUP(A1078,'Video Database'!L:L,'Video Database'!G:G,"")</f>
        <v>Elegant Faux Pearl Set</v>
      </c>
      <c r="E1078" s="100">
        <f t="array" ref="E1078">_xlfn.XLOOKUP(A1078,'Video Database'!L:L,'Video Database'!H:H,"")</f>
        <v>0.7337</v>
      </c>
      <c r="F1078" s="101">
        <v>0.0</v>
      </c>
      <c r="G1078" s="87">
        <v>0.0</v>
      </c>
      <c r="H1078" s="114">
        <f t="array" ref="H1078">_xlfn.XLOOKUP(A1078,'Video Database'!L:L,'Video Database'!A:A,"")</f>
        <v>46201</v>
      </c>
      <c r="I1078" s="103">
        <v>46201.0</v>
      </c>
      <c r="J1078" s="104">
        <v>0.0</v>
      </c>
      <c r="K1078" s="105"/>
      <c r="L1078" s="105" t="str">
        <f t="shared" si="1"/>
        <v/>
      </c>
      <c r="O1078" s="106" t="str">
        <f t="shared" si="2"/>
        <v>#N/A</v>
      </c>
      <c r="P1078" s="106" t="str">
        <f t="shared" si="3"/>
        <v>#N/A</v>
      </c>
      <c r="Q1078" s="84" t="str">
        <f t="shared" si="4"/>
        <v>#N/A</v>
      </c>
      <c r="R1078" s="84" t="str">
        <f t="shared" si="5"/>
        <v>#N/A</v>
      </c>
      <c r="S1078" s="107">
        <f t="shared" si="6"/>
        <v>-0.7337</v>
      </c>
      <c r="T1078" s="108">
        <f t="shared" si="7"/>
        <v>-1</v>
      </c>
      <c r="U1078" s="106" t="str">
        <f t="shared" si="8"/>
        <v>#N/A</v>
      </c>
      <c r="V1078" s="84" t="str">
        <f t="shared" si="9"/>
        <v/>
      </c>
      <c r="W1078" s="109" t="str">
        <f t="shared" si="10"/>
        <v/>
      </c>
      <c r="X1078" s="109" t="str">
        <f t="shared" si="11"/>
        <v/>
      </c>
      <c r="Y1078" s="110" t="str">
        <f t="array" ref="Y1078">_xlfn.XLOOKUP(A1078,'Video Database'!L:L,'Video Database'!M:M,"")</f>
        <v>Bottom of Funnel</v>
      </c>
    </row>
    <row r="1079" ht="22.5" customHeight="1">
      <c r="A1079" s="113">
        <f t="shared" si="12"/>
        <v>1078</v>
      </c>
      <c r="B1079" s="98" t="str">
        <f t="array" ref="B1079">_xlfn.XLOOKUP(A1079,'Video Database'!L:L,'Video Database'!D:D,"")</f>
        <v>Erin</v>
      </c>
      <c r="C1079" s="98" t="str">
        <f t="array" ref="C1079">_xlfn.XLOOKUP(A1079,'Video Database'!L:L,'Video Database'!E:E,"")</f>
        <v>Account 1</v>
      </c>
      <c r="D1079" s="99" t="str">
        <f t="array" ref="D1079">_xlfn.XLOOKUP(A1079,'Video Database'!L:L,'Video Database'!G:G,"")</f>
        <v>Medicube Kojic Accid Tumeric Pads</v>
      </c>
      <c r="E1079" s="100">
        <f t="array" ref="E1079">_xlfn.XLOOKUP(A1079,'Video Database'!L:L,'Video Database'!H:H,"")</f>
        <v>0.7337</v>
      </c>
      <c r="F1079" s="101">
        <v>0.0</v>
      </c>
      <c r="G1079" s="87">
        <v>0.0</v>
      </c>
      <c r="H1079" s="114">
        <f t="array" ref="H1079">_xlfn.XLOOKUP(A1079,'Video Database'!L:L,'Video Database'!A:A,"")</f>
        <v>46201</v>
      </c>
      <c r="I1079" s="103">
        <v>46201.0</v>
      </c>
      <c r="J1079" s="104">
        <v>0.0</v>
      </c>
      <c r="K1079" s="105"/>
      <c r="L1079" s="105" t="str">
        <f t="shared" si="1"/>
        <v/>
      </c>
      <c r="O1079" s="106" t="str">
        <f t="shared" si="2"/>
        <v>#N/A</v>
      </c>
      <c r="P1079" s="106" t="str">
        <f t="shared" si="3"/>
        <v>#N/A</v>
      </c>
      <c r="Q1079" s="84" t="str">
        <f t="shared" si="4"/>
        <v>#N/A</v>
      </c>
      <c r="R1079" s="84" t="str">
        <f t="shared" si="5"/>
        <v>#N/A</v>
      </c>
      <c r="S1079" s="107">
        <f t="shared" si="6"/>
        <v>-0.7337</v>
      </c>
      <c r="T1079" s="108">
        <f t="shared" si="7"/>
        <v>-1</v>
      </c>
      <c r="U1079" s="106" t="str">
        <f t="shared" si="8"/>
        <v>#N/A</v>
      </c>
      <c r="V1079" s="84" t="str">
        <f t="shared" si="9"/>
        <v/>
      </c>
      <c r="W1079" s="109" t="str">
        <f t="shared" si="10"/>
        <v/>
      </c>
      <c r="X1079" s="109" t="str">
        <f t="shared" si="11"/>
        <v/>
      </c>
      <c r="Y1079" s="110" t="str">
        <f t="array" ref="Y1079">_xlfn.XLOOKUP(A1079,'Video Database'!L:L,'Video Database'!M:M,"")</f>
        <v>Bottom of Funnel</v>
      </c>
    </row>
    <row r="1080" ht="22.5" customHeight="1">
      <c r="A1080" s="113">
        <f t="shared" si="12"/>
        <v>1079</v>
      </c>
      <c r="B1080" s="98" t="str">
        <f t="array" ref="B1080">_xlfn.XLOOKUP(A1080,'Video Database'!L:L,'Video Database'!D:D,"")</f>
        <v>Erin</v>
      </c>
      <c r="C1080" s="98" t="str">
        <f t="array" ref="C1080">_xlfn.XLOOKUP(A1080,'Video Database'!L:L,'Video Database'!E:E,"")</f>
        <v>Account 1</v>
      </c>
      <c r="D1080" s="99" t="str">
        <f t="array" ref="D1080">_xlfn.XLOOKUP(A1080,'Video Database'!L:L,'Video Database'!G:G,"")</f>
        <v>Camellia Deep Collagen Lifting Gel Mask</v>
      </c>
      <c r="E1080" s="100">
        <f t="array" ref="E1080">_xlfn.XLOOKUP(A1080,'Video Database'!L:L,'Video Database'!H:H,"")</f>
        <v>0.7337</v>
      </c>
      <c r="F1080" s="101">
        <v>0.0</v>
      </c>
      <c r="G1080" s="87">
        <v>0.0</v>
      </c>
      <c r="H1080" s="114">
        <f t="array" ref="H1080">_xlfn.XLOOKUP(A1080,'Video Database'!L:L,'Video Database'!A:A,"")</f>
        <v>46201</v>
      </c>
      <c r="I1080" s="103">
        <v>46201.0</v>
      </c>
      <c r="J1080" s="104">
        <v>0.0</v>
      </c>
      <c r="K1080" s="105"/>
      <c r="L1080" s="105" t="str">
        <f t="shared" si="1"/>
        <v/>
      </c>
      <c r="O1080" s="106" t="str">
        <f t="shared" si="2"/>
        <v>#N/A</v>
      </c>
      <c r="P1080" s="106" t="str">
        <f t="shared" si="3"/>
        <v>#N/A</v>
      </c>
      <c r="Q1080" s="84" t="str">
        <f t="shared" si="4"/>
        <v>#N/A</v>
      </c>
      <c r="R1080" s="84" t="str">
        <f t="shared" si="5"/>
        <v>#N/A</v>
      </c>
      <c r="S1080" s="107">
        <f t="shared" si="6"/>
        <v>-0.7337</v>
      </c>
      <c r="T1080" s="108">
        <f t="shared" si="7"/>
        <v>-1</v>
      </c>
      <c r="U1080" s="106" t="str">
        <f t="shared" si="8"/>
        <v>#N/A</v>
      </c>
      <c r="V1080" s="84" t="str">
        <f t="shared" si="9"/>
        <v/>
      </c>
      <c r="W1080" s="109" t="str">
        <f t="shared" si="10"/>
        <v/>
      </c>
      <c r="X1080" s="109" t="str">
        <f t="shared" si="11"/>
        <v/>
      </c>
      <c r="Y1080" s="110" t="str">
        <f t="array" ref="Y1080">_xlfn.XLOOKUP(A1080,'Video Database'!L:L,'Video Database'!M:M,"")</f>
        <v>Bottom of Funnel</v>
      </c>
    </row>
    <row r="1081" ht="22.5" customHeight="1">
      <c r="A1081" s="113">
        <f t="shared" si="12"/>
        <v>1080</v>
      </c>
      <c r="B1081" s="98" t="str">
        <f t="array" ref="B1081">_xlfn.XLOOKUP(A1081,'Video Database'!L:L,'Video Database'!D:D,"")</f>
        <v>Erin</v>
      </c>
      <c r="C1081" s="98" t="str">
        <f t="array" ref="C1081">_xlfn.XLOOKUP(A1081,'Video Database'!L:L,'Video Database'!E:E,"")</f>
        <v>Account 1</v>
      </c>
      <c r="D1081" s="99" t="str">
        <f t="array" ref="D1081">_xlfn.XLOOKUP(A1081,'Video Database'!L:L,'Video Database'!G:G,"")</f>
        <v>Medicube Kojic Accid Tumeric Pads</v>
      </c>
      <c r="E1081" s="100">
        <f t="array" ref="E1081">_xlfn.XLOOKUP(A1081,'Video Database'!L:L,'Video Database'!H:H,"")</f>
        <v>0.7337</v>
      </c>
      <c r="F1081" s="101">
        <v>0.0</v>
      </c>
      <c r="G1081" s="87">
        <v>0.0</v>
      </c>
      <c r="H1081" s="114">
        <f t="array" ref="H1081">_xlfn.XLOOKUP(A1081,'Video Database'!L:L,'Video Database'!A:A,"")</f>
        <v>46201</v>
      </c>
      <c r="I1081" s="103">
        <v>46201.0</v>
      </c>
      <c r="J1081" s="104">
        <v>0.0</v>
      </c>
      <c r="K1081" s="105"/>
      <c r="L1081" s="105" t="str">
        <f t="shared" si="1"/>
        <v/>
      </c>
      <c r="O1081" s="106" t="str">
        <f t="shared" si="2"/>
        <v>#N/A</v>
      </c>
      <c r="P1081" s="106" t="str">
        <f t="shared" si="3"/>
        <v>#N/A</v>
      </c>
      <c r="Q1081" s="84" t="str">
        <f t="shared" si="4"/>
        <v>#N/A</v>
      </c>
      <c r="R1081" s="84" t="str">
        <f t="shared" si="5"/>
        <v>#N/A</v>
      </c>
      <c r="S1081" s="107">
        <f t="shared" si="6"/>
        <v>-0.7337</v>
      </c>
      <c r="T1081" s="108">
        <f t="shared" si="7"/>
        <v>-1</v>
      </c>
      <c r="U1081" s="106" t="str">
        <f t="shared" si="8"/>
        <v>#N/A</v>
      </c>
      <c r="V1081" s="84" t="str">
        <f t="shared" si="9"/>
        <v/>
      </c>
      <c r="W1081" s="109" t="str">
        <f t="shared" si="10"/>
        <v/>
      </c>
      <c r="X1081" s="109" t="str">
        <f t="shared" si="11"/>
        <v/>
      </c>
      <c r="Y1081" s="110" t="str">
        <f t="array" ref="Y1081">_xlfn.XLOOKUP(A1081,'Video Database'!L:L,'Video Database'!M:M,"")</f>
        <v>Bottom of Funnel</v>
      </c>
    </row>
    <row r="1082" ht="22.5" customHeight="1">
      <c r="A1082" s="113">
        <f t="shared" si="12"/>
        <v>1081</v>
      </c>
      <c r="B1082" s="98" t="str">
        <f t="array" ref="B1082">_xlfn.XLOOKUP(A1082,'Video Database'!L:L,'Video Database'!D:D,"")</f>
        <v>Erin</v>
      </c>
      <c r="C1082" s="98" t="str">
        <f t="array" ref="C1082">_xlfn.XLOOKUP(A1082,'Video Database'!L:L,'Video Database'!E:E,"")</f>
        <v>Account 1</v>
      </c>
      <c r="D1082" s="99" t="str">
        <f t="array" ref="D1082">_xlfn.XLOOKUP(A1082,'Video Database'!L:L,'Video Database'!G:G,"")</f>
        <v>Camellia Deep Collagen Lifting Gel Mask</v>
      </c>
      <c r="E1082" s="100">
        <f t="array" ref="E1082">_xlfn.XLOOKUP(A1082,'Video Database'!L:L,'Video Database'!H:H,"")</f>
        <v>0.7337</v>
      </c>
      <c r="F1082" s="101">
        <v>0.0</v>
      </c>
      <c r="G1082" s="87">
        <v>0.0</v>
      </c>
      <c r="H1082" s="114">
        <f t="array" ref="H1082">_xlfn.XLOOKUP(A1082,'Video Database'!L:L,'Video Database'!A:A,"")</f>
        <v>46201</v>
      </c>
      <c r="I1082" s="103">
        <v>46201.0</v>
      </c>
      <c r="J1082" s="104">
        <v>0.0</v>
      </c>
      <c r="K1082" s="105"/>
      <c r="L1082" s="105" t="str">
        <f t="shared" si="1"/>
        <v/>
      </c>
      <c r="O1082" s="106" t="str">
        <f t="shared" si="2"/>
        <v>#N/A</v>
      </c>
      <c r="P1082" s="106" t="str">
        <f t="shared" si="3"/>
        <v>#N/A</v>
      </c>
      <c r="Q1082" s="84" t="str">
        <f t="shared" si="4"/>
        <v>#N/A</v>
      </c>
      <c r="R1082" s="84" t="str">
        <f t="shared" si="5"/>
        <v>#N/A</v>
      </c>
      <c r="S1082" s="107">
        <f t="shared" si="6"/>
        <v>-0.7337</v>
      </c>
      <c r="T1082" s="108">
        <f t="shared" si="7"/>
        <v>-1</v>
      </c>
      <c r="U1082" s="106" t="str">
        <f t="shared" si="8"/>
        <v>#N/A</v>
      </c>
      <c r="V1082" s="84" t="str">
        <f t="shared" si="9"/>
        <v/>
      </c>
      <c r="W1082" s="109" t="str">
        <f t="shared" si="10"/>
        <v/>
      </c>
      <c r="X1082" s="109" t="str">
        <f t="shared" si="11"/>
        <v/>
      </c>
      <c r="Y1082" s="110" t="str">
        <f t="array" ref="Y1082">_xlfn.XLOOKUP(A1082,'Video Database'!L:L,'Video Database'!M:M,"")</f>
        <v>Bottom of Funnel</v>
      </c>
    </row>
    <row r="1083" ht="22.5" customHeight="1">
      <c r="A1083" s="113">
        <f t="shared" si="12"/>
        <v>1082</v>
      </c>
      <c r="B1083" s="98" t="str">
        <f t="array" ref="B1083">_xlfn.XLOOKUP(A1083,'Video Database'!L:L,'Video Database'!D:D,"")</f>
        <v>Erin</v>
      </c>
      <c r="C1083" s="98" t="str">
        <f t="array" ref="C1083">_xlfn.XLOOKUP(A1083,'Video Database'!L:L,'Video Database'!E:E,"")</f>
        <v>Account 1</v>
      </c>
      <c r="D1083" s="99" t="str">
        <f t="array" ref="D1083">_xlfn.XLOOKUP(A1083,'Video Database'!L:L,'Video Database'!G:G,"")</f>
        <v>Camellia Deep Collagen Lifting Gel Mask</v>
      </c>
      <c r="E1083" s="100">
        <f t="array" ref="E1083">_xlfn.XLOOKUP(A1083,'Video Database'!L:L,'Video Database'!H:H,"")</f>
        <v>0.7337</v>
      </c>
      <c r="F1083" s="101">
        <v>0.0</v>
      </c>
      <c r="G1083" s="87">
        <v>0.0</v>
      </c>
      <c r="H1083" s="114">
        <f t="array" ref="H1083">_xlfn.XLOOKUP(A1083,'Video Database'!L:L,'Video Database'!A:A,"")</f>
        <v>46201</v>
      </c>
      <c r="I1083" s="103">
        <v>46201.0</v>
      </c>
      <c r="J1083" s="104">
        <v>0.0</v>
      </c>
      <c r="K1083" s="105"/>
      <c r="L1083" s="105" t="str">
        <f t="shared" si="1"/>
        <v/>
      </c>
      <c r="O1083" s="106" t="str">
        <f t="shared" si="2"/>
        <v>#N/A</v>
      </c>
      <c r="P1083" s="106" t="str">
        <f t="shared" si="3"/>
        <v>#N/A</v>
      </c>
      <c r="Q1083" s="84" t="str">
        <f t="shared" si="4"/>
        <v>#N/A</v>
      </c>
      <c r="R1083" s="84" t="str">
        <f t="shared" si="5"/>
        <v>#N/A</v>
      </c>
      <c r="S1083" s="107">
        <f t="shared" si="6"/>
        <v>-0.7337</v>
      </c>
      <c r="T1083" s="108">
        <f t="shared" si="7"/>
        <v>-1</v>
      </c>
      <c r="U1083" s="106" t="str">
        <f t="shared" si="8"/>
        <v>#N/A</v>
      </c>
      <c r="V1083" s="84" t="str">
        <f t="shared" si="9"/>
        <v/>
      </c>
      <c r="W1083" s="109" t="str">
        <f t="shared" si="10"/>
        <v/>
      </c>
      <c r="X1083" s="109" t="str">
        <f t="shared" si="11"/>
        <v/>
      </c>
      <c r="Y1083" s="110" t="str">
        <f t="array" ref="Y1083">_xlfn.XLOOKUP(A1083,'Video Database'!L:L,'Video Database'!M:M,"")</f>
        <v>Bottom of Funnel</v>
      </c>
    </row>
    <row r="1084" ht="22.5" customHeight="1">
      <c r="A1084" s="113">
        <f t="shared" si="12"/>
        <v>1083</v>
      </c>
      <c r="B1084" s="98" t="str">
        <f t="array" ref="B1084">_xlfn.XLOOKUP(A1084,'Video Database'!L:L,'Video Database'!D:D,"")</f>
        <v>Erin</v>
      </c>
      <c r="C1084" s="98" t="str">
        <f t="array" ref="C1084">_xlfn.XLOOKUP(A1084,'Video Database'!L:L,'Video Database'!E:E,"")</f>
        <v>Account 2</v>
      </c>
      <c r="D1084" s="99" t="str">
        <f t="array" ref="D1084">_xlfn.XLOOKUP(A1084,'Video Database'!L:L,'Video Database'!G:G,"")</f>
        <v>Elegant Faux Pearl Set</v>
      </c>
      <c r="E1084" s="100">
        <f t="array" ref="E1084">_xlfn.XLOOKUP(A1084,'Video Database'!L:L,'Video Database'!H:H,"")</f>
        <v>0.7337</v>
      </c>
      <c r="F1084" s="101">
        <v>0.0</v>
      </c>
      <c r="G1084" s="87">
        <v>0.0</v>
      </c>
      <c r="H1084" s="114">
        <f t="array" ref="H1084">_xlfn.XLOOKUP(A1084,'Video Database'!L:L,'Video Database'!A:A,"")</f>
        <v>46201</v>
      </c>
      <c r="I1084" s="103">
        <v>46201.0</v>
      </c>
      <c r="J1084" s="104">
        <v>0.0</v>
      </c>
      <c r="K1084" s="105"/>
      <c r="L1084" s="105" t="str">
        <f t="shared" si="1"/>
        <v/>
      </c>
      <c r="O1084" s="106" t="str">
        <f t="shared" si="2"/>
        <v>#N/A</v>
      </c>
      <c r="P1084" s="106" t="str">
        <f t="shared" si="3"/>
        <v>#N/A</v>
      </c>
      <c r="Q1084" s="84" t="str">
        <f t="shared" si="4"/>
        <v>#N/A</v>
      </c>
      <c r="R1084" s="84" t="str">
        <f t="shared" si="5"/>
        <v>#N/A</v>
      </c>
      <c r="S1084" s="107">
        <f t="shared" si="6"/>
        <v>-0.7337</v>
      </c>
      <c r="T1084" s="108">
        <f t="shared" si="7"/>
        <v>-1</v>
      </c>
      <c r="U1084" s="106" t="str">
        <f t="shared" si="8"/>
        <v>#N/A</v>
      </c>
      <c r="V1084" s="84" t="str">
        <f t="shared" si="9"/>
        <v/>
      </c>
      <c r="W1084" s="109" t="str">
        <f t="shared" si="10"/>
        <v/>
      </c>
      <c r="X1084" s="109" t="str">
        <f t="shared" si="11"/>
        <v/>
      </c>
      <c r="Y1084" s="110" t="str">
        <f t="array" ref="Y1084">_xlfn.XLOOKUP(A1084,'Video Database'!L:L,'Video Database'!M:M,"")</f>
        <v>Bottom of Funnel</v>
      </c>
    </row>
    <row r="1085" ht="22.5" customHeight="1">
      <c r="A1085" s="113">
        <f t="shared" si="12"/>
        <v>1084</v>
      </c>
      <c r="B1085" s="98" t="str">
        <f t="array" ref="B1085">_xlfn.XLOOKUP(A1085,'Video Database'!L:L,'Video Database'!D:D,"")</f>
        <v>Erin</v>
      </c>
      <c r="C1085" s="98" t="str">
        <f t="array" ref="C1085">_xlfn.XLOOKUP(A1085,'Video Database'!L:L,'Video Database'!E:E,"")</f>
        <v>Account 2</v>
      </c>
      <c r="D1085" s="99" t="str">
        <f t="array" ref="D1085">_xlfn.XLOOKUP(A1085,'Video Database'!L:L,'Video Database'!G:G,"")</f>
        <v>Medicube Kojic Accid Tumeric Pads</v>
      </c>
      <c r="E1085" s="100">
        <f t="array" ref="E1085">_xlfn.XLOOKUP(A1085,'Video Database'!L:L,'Video Database'!H:H,"")</f>
        <v>0.7337</v>
      </c>
      <c r="F1085" s="101">
        <v>0.0</v>
      </c>
      <c r="G1085" s="87">
        <v>0.0</v>
      </c>
      <c r="H1085" s="114">
        <f t="array" ref="H1085">_xlfn.XLOOKUP(A1085,'Video Database'!L:L,'Video Database'!A:A,"")</f>
        <v>46201</v>
      </c>
      <c r="I1085" s="103">
        <v>46201.0</v>
      </c>
      <c r="J1085" s="104">
        <v>0.0</v>
      </c>
      <c r="K1085" s="105"/>
      <c r="L1085" s="105" t="str">
        <f t="shared" si="1"/>
        <v/>
      </c>
      <c r="O1085" s="106" t="str">
        <f t="shared" si="2"/>
        <v>#N/A</v>
      </c>
      <c r="P1085" s="106" t="str">
        <f t="shared" si="3"/>
        <v>#N/A</v>
      </c>
      <c r="Q1085" s="84" t="str">
        <f t="shared" si="4"/>
        <v>#N/A</v>
      </c>
      <c r="R1085" s="84" t="str">
        <f t="shared" si="5"/>
        <v>#N/A</v>
      </c>
      <c r="S1085" s="107">
        <f t="shared" si="6"/>
        <v>-0.7337</v>
      </c>
      <c r="T1085" s="108">
        <f t="shared" si="7"/>
        <v>-1</v>
      </c>
      <c r="U1085" s="106" t="str">
        <f t="shared" si="8"/>
        <v>#N/A</v>
      </c>
      <c r="V1085" s="84" t="str">
        <f t="shared" si="9"/>
        <v/>
      </c>
      <c r="W1085" s="109" t="str">
        <f t="shared" si="10"/>
        <v/>
      </c>
      <c r="X1085" s="109" t="str">
        <f t="shared" si="11"/>
        <v/>
      </c>
      <c r="Y1085" s="110" t="str">
        <f t="array" ref="Y1085">_xlfn.XLOOKUP(A1085,'Video Database'!L:L,'Video Database'!M:M,"")</f>
        <v>Bottom of Funnel</v>
      </c>
    </row>
    <row r="1086" ht="22.5" customHeight="1">
      <c r="A1086" s="113">
        <f t="shared" si="12"/>
        <v>1085</v>
      </c>
      <c r="B1086" s="98" t="str">
        <f t="array" ref="B1086">_xlfn.XLOOKUP(A1086,'Video Database'!L:L,'Video Database'!D:D,"")</f>
        <v>Erin</v>
      </c>
      <c r="C1086" s="98" t="str">
        <f t="array" ref="C1086">_xlfn.XLOOKUP(A1086,'Video Database'!L:L,'Video Database'!E:E,"")</f>
        <v>Account 2</v>
      </c>
      <c r="D1086" s="99" t="str">
        <f t="array" ref="D1086">_xlfn.XLOOKUP(A1086,'Video Database'!L:L,'Video Database'!G:G,"")</f>
        <v>XL Microfiber Towel</v>
      </c>
      <c r="E1086" s="100">
        <f t="array" ref="E1086">_xlfn.XLOOKUP(A1086,'Video Database'!L:L,'Video Database'!H:H,"")</f>
        <v>0.7337</v>
      </c>
      <c r="F1086" s="101">
        <v>0.0</v>
      </c>
      <c r="G1086" s="87">
        <v>0.0</v>
      </c>
      <c r="H1086" s="114">
        <f t="array" ref="H1086">_xlfn.XLOOKUP(A1086,'Video Database'!L:L,'Video Database'!A:A,"")</f>
        <v>46201</v>
      </c>
      <c r="I1086" s="103">
        <v>46201.0</v>
      </c>
      <c r="J1086" s="104">
        <v>0.0</v>
      </c>
      <c r="K1086" s="105"/>
      <c r="L1086" s="105" t="str">
        <f t="shared" si="1"/>
        <v/>
      </c>
      <c r="O1086" s="106" t="str">
        <f t="shared" si="2"/>
        <v>#N/A</v>
      </c>
      <c r="P1086" s="106" t="str">
        <f t="shared" si="3"/>
        <v>#N/A</v>
      </c>
      <c r="Q1086" s="84" t="str">
        <f t="shared" si="4"/>
        <v>#N/A</v>
      </c>
      <c r="R1086" s="84" t="str">
        <f t="shared" si="5"/>
        <v>#N/A</v>
      </c>
      <c r="S1086" s="107">
        <f t="shared" si="6"/>
        <v>-0.7337</v>
      </c>
      <c r="T1086" s="108">
        <f t="shared" si="7"/>
        <v>-1</v>
      </c>
      <c r="U1086" s="106" t="str">
        <f t="shared" si="8"/>
        <v>#N/A</v>
      </c>
      <c r="V1086" s="84" t="str">
        <f t="shared" si="9"/>
        <v/>
      </c>
      <c r="W1086" s="109" t="str">
        <f t="shared" si="10"/>
        <v/>
      </c>
      <c r="X1086" s="109" t="str">
        <f t="shared" si="11"/>
        <v/>
      </c>
      <c r="Y1086" s="110" t="str">
        <f t="array" ref="Y1086">_xlfn.XLOOKUP(A1086,'Video Database'!L:L,'Video Database'!M:M,"")</f>
        <v>Bottom of Funnel</v>
      </c>
    </row>
    <row r="1087" ht="22.5" customHeight="1">
      <c r="A1087" s="113">
        <f t="shared" si="12"/>
        <v>1086</v>
      </c>
      <c r="B1087" s="98" t="str">
        <f t="array" ref="B1087">_xlfn.XLOOKUP(A1087,'Video Database'!L:L,'Video Database'!D:D,"")</f>
        <v>Erin</v>
      </c>
      <c r="C1087" s="98" t="str">
        <f t="array" ref="C1087">_xlfn.XLOOKUP(A1087,'Video Database'!L:L,'Video Database'!E:E,"")</f>
        <v>Account 2</v>
      </c>
      <c r="D1087" s="99" t="str">
        <f t="array" ref="D1087">_xlfn.XLOOKUP(A1087,'Video Database'!L:L,'Video Database'!G:G,"")</f>
        <v>XL Microfiber Towel</v>
      </c>
      <c r="E1087" s="100">
        <f t="array" ref="E1087">_xlfn.XLOOKUP(A1087,'Video Database'!L:L,'Video Database'!H:H,"")</f>
        <v>0.7337</v>
      </c>
      <c r="F1087" s="101">
        <v>0.0</v>
      </c>
      <c r="G1087" s="87">
        <v>0.0</v>
      </c>
      <c r="H1087" s="114">
        <f t="array" ref="H1087">_xlfn.XLOOKUP(A1087,'Video Database'!L:L,'Video Database'!A:A,"")</f>
        <v>46201</v>
      </c>
      <c r="I1087" s="103">
        <v>46201.0</v>
      </c>
      <c r="J1087" s="104">
        <v>0.0</v>
      </c>
      <c r="K1087" s="105"/>
      <c r="L1087" s="105" t="str">
        <f t="shared" si="1"/>
        <v/>
      </c>
      <c r="O1087" s="106" t="str">
        <f t="shared" si="2"/>
        <v>#N/A</v>
      </c>
      <c r="P1087" s="106" t="str">
        <f t="shared" si="3"/>
        <v>#N/A</v>
      </c>
      <c r="Q1087" s="84" t="str">
        <f t="shared" si="4"/>
        <v>#N/A</v>
      </c>
      <c r="R1087" s="84" t="str">
        <f t="shared" si="5"/>
        <v>#N/A</v>
      </c>
      <c r="S1087" s="107">
        <f t="shared" si="6"/>
        <v>-0.7337</v>
      </c>
      <c r="T1087" s="108">
        <f t="shared" si="7"/>
        <v>-1</v>
      </c>
      <c r="U1087" s="106" t="str">
        <f t="shared" si="8"/>
        <v>#N/A</v>
      </c>
      <c r="V1087" s="84" t="str">
        <f t="shared" si="9"/>
        <v/>
      </c>
      <c r="W1087" s="109" t="str">
        <f t="shared" si="10"/>
        <v/>
      </c>
      <c r="X1087" s="109" t="str">
        <f t="shared" si="11"/>
        <v/>
      </c>
      <c r="Y1087" s="110" t="str">
        <f t="array" ref="Y1087">_xlfn.XLOOKUP(A1087,'Video Database'!L:L,'Video Database'!M:M,"")</f>
        <v>Bottom of Funnel</v>
      </c>
    </row>
    <row r="1088" ht="22.5" customHeight="1">
      <c r="A1088" s="113">
        <f t="shared" si="12"/>
        <v>1087</v>
      </c>
      <c r="B1088" s="98" t="str">
        <f t="array" ref="B1088">_xlfn.XLOOKUP(A1088,'Video Database'!L:L,'Video Database'!D:D,"")</f>
        <v>Erin</v>
      </c>
      <c r="C1088" s="98" t="str">
        <f t="array" ref="C1088">_xlfn.XLOOKUP(A1088,'Video Database'!L:L,'Video Database'!E:E,"")</f>
        <v>Account 2</v>
      </c>
      <c r="D1088" s="99" t="str">
        <f t="array" ref="D1088">_xlfn.XLOOKUP(A1088,'Video Database'!L:L,'Video Database'!G:G,"")</f>
        <v>Elegant Faux Pearl Set</v>
      </c>
      <c r="E1088" s="100">
        <f t="array" ref="E1088">_xlfn.XLOOKUP(A1088,'Video Database'!L:L,'Video Database'!H:H,"")</f>
        <v>0.7337</v>
      </c>
      <c r="F1088" s="101">
        <v>0.0</v>
      </c>
      <c r="G1088" s="87">
        <v>0.0</v>
      </c>
      <c r="H1088" s="114">
        <f t="array" ref="H1088">_xlfn.XLOOKUP(A1088,'Video Database'!L:L,'Video Database'!A:A,"")</f>
        <v>46201</v>
      </c>
      <c r="I1088" s="103">
        <v>46201.0</v>
      </c>
      <c r="J1088" s="104">
        <v>0.0</v>
      </c>
      <c r="K1088" s="105"/>
      <c r="L1088" s="105" t="str">
        <f t="shared" si="1"/>
        <v/>
      </c>
      <c r="O1088" s="106" t="str">
        <f t="shared" si="2"/>
        <v>#N/A</v>
      </c>
      <c r="P1088" s="106" t="str">
        <f t="shared" si="3"/>
        <v>#N/A</v>
      </c>
      <c r="Q1088" s="84" t="str">
        <f t="shared" si="4"/>
        <v>#N/A</v>
      </c>
      <c r="R1088" s="84" t="str">
        <f t="shared" si="5"/>
        <v>#N/A</v>
      </c>
      <c r="S1088" s="107">
        <f t="shared" si="6"/>
        <v>-0.7337</v>
      </c>
      <c r="T1088" s="108">
        <f t="shared" si="7"/>
        <v>-1</v>
      </c>
      <c r="U1088" s="106" t="str">
        <f t="shared" si="8"/>
        <v>#N/A</v>
      </c>
      <c r="V1088" s="84" t="str">
        <f t="shared" si="9"/>
        <v/>
      </c>
      <c r="W1088" s="109" t="str">
        <f t="shared" si="10"/>
        <v/>
      </c>
      <c r="X1088" s="109" t="str">
        <f t="shared" si="11"/>
        <v/>
      </c>
      <c r="Y1088" s="110" t="str">
        <f t="array" ref="Y1088">_xlfn.XLOOKUP(A1088,'Video Database'!L:L,'Video Database'!M:M,"")</f>
        <v>Bottom of Funnel</v>
      </c>
    </row>
    <row r="1089" ht="22.5" customHeight="1">
      <c r="A1089" s="113">
        <f t="shared" si="12"/>
        <v>1088</v>
      </c>
      <c r="B1089" s="98" t="str">
        <f t="array" ref="B1089">_xlfn.XLOOKUP(A1089,'Video Database'!L:L,'Video Database'!D:D,"")</f>
        <v>Erin</v>
      </c>
      <c r="C1089" s="98" t="str">
        <f t="array" ref="C1089">_xlfn.XLOOKUP(A1089,'Video Database'!L:L,'Video Database'!E:E,"")</f>
        <v>Account 2</v>
      </c>
      <c r="D1089" s="99" t="str">
        <f t="array" ref="D1089">_xlfn.XLOOKUP(A1089,'Video Database'!L:L,'Video Database'!G:G,"")</f>
        <v>Medicube Kojic Accid Tumeric Pads</v>
      </c>
      <c r="E1089" s="100">
        <f t="array" ref="E1089">_xlfn.XLOOKUP(A1089,'Video Database'!L:L,'Video Database'!H:H,"")</f>
        <v>0.7337</v>
      </c>
      <c r="F1089" s="101">
        <v>0.0</v>
      </c>
      <c r="G1089" s="87">
        <v>0.0</v>
      </c>
      <c r="H1089" s="114">
        <f t="array" ref="H1089">_xlfn.XLOOKUP(A1089,'Video Database'!L:L,'Video Database'!A:A,"")</f>
        <v>46201</v>
      </c>
      <c r="I1089" s="103">
        <v>46201.0</v>
      </c>
      <c r="J1089" s="104">
        <v>0.0</v>
      </c>
      <c r="K1089" s="105"/>
      <c r="L1089" s="105" t="str">
        <f t="shared" si="1"/>
        <v/>
      </c>
      <c r="O1089" s="106" t="str">
        <f t="shared" si="2"/>
        <v>#N/A</v>
      </c>
      <c r="P1089" s="106" t="str">
        <f t="shared" si="3"/>
        <v>#N/A</v>
      </c>
      <c r="Q1089" s="84" t="str">
        <f t="shared" si="4"/>
        <v>#N/A</v>
      </c>
      <c r="R1089" s="84" t="str">
        <f t="shared" si="5"/>
        <v>#N/A</v>
      </c>
      <c r="S1089" s="107">
        <f t="shared" si="6"/>
        <v>-0.7337</v>
      </c>
      <c r="T1089" s="108">
        <f t="shared" si="7"/>
        <v>-1</v>
      </c>
      <c r="U1089" s="106" t="str">
        <f t="shared" si="8"/>
        <v>#N/A</v>
      </c>
      <c r="V1089" s="84" t="str">
        <f t="shared" si="9"/>
        <v/>
      </c>
      <c r="W1089" s="109" t="str">
        <f t="shared" si="10"/>
        <v/>
      </c>
      <c r="X1089" s="109" t="str">
        <f t="shared" si="11"/>
        <v/>
      </c>
      <c r="Y1089" s="110" t="str">
        <f t="array" ref="Y1089">_xlfn.XLOOKUP(A1089,'Video Database'!L:L,'Video Database'!M:M,"")</f>
        <v>Bottom of Funnel</v>
      </c>
    </row>
    <row r="1090" ht="22.5" customHeight="1">
      <c r="A1090" s="113">
        <f t="shared" si="12"/>
        <v>1089</v>
      </c>
      <c r="B1090" s="98" t="str">
        <f t="array" ref="B1090">_xlfn.XLOOKUP(A1090,'Video Database'!L:L,'Video Database'!D:D,"")</f>
        <v>Erin</v>
      </c>
      <c r="C1090" s="98" t="str">
        <f t="array" ref="C1090">_xlfn.XLOOKUP(A1090,'Video Database'!L:L,'Video Database'!E:E,"")</f>
        <v>Account 2</v>
      </c>
      <c r="D1090" s="99" t="str">
        <f t="array" ref="D1090">_xlfn.XLOOKUP(A1090,'Video Database'!L:L,'Video Database'!G:G,"")</f>
        <v>Elegant Faux Pearl Set</v>
      </c>
      <c r="E1090" s="100">
        <f t="array" ref="E1090">_xlfn.XLOOKUP(A1090,'Video Database'!L:L,'Video Database'!H:H,"")</f>
        <v>0.7337</v>
      </c>
      <c r="F1090" s="101">
        <v>0.0</v>
      </c>
      <c r="G1090" s="87">
        <v>0.0</v>
      </c>
      <c r="H1090" s="114">
        <f t="array" ref="H1090">_xlfn.XLOOKUP(A1090,'Video Database'!L:L,'Video Database'!A:A,"")</f>
        <v>46201</v>
      </c>
      <c r="I1090" s="103">
        <v>46201.0</v>
      </c>
      <c r="J1090" s="104">
        <v>0.0</v>
      </c>
      <c r="K1090" s="105"/>
      <c r="L1090" s="105" t="str">
        <f t="shared" si="1"/>
        <v/>
      </c>
      <c r="O1090" s="106" t="str">
        <f t="shared" si="2"/>
        <v>#N/A</v>
      </c>
      <c r="P1090" s="106" t="str">
        <f t="shared" si="3"/>
        <v>#N/A</v>
      </c>
      <c r="Q1090" s="84" t="str">
        <f t="shared" si="4"/>
        <v>#N/A</v>
      </c>
      <c r="R1090" s="84" t="str">
        <f t="shared" si="5"/>
        <v>#N/A</v>
      </c>
      <c r="S1090" s="107">
        <f t="shared" si="6"/>
        <v>-0.7337</v>
      </c>
      <c r="T1090" s="108">
        <f t="shared" si="7"/>
        <v>-1</v>
      </c>
      <c r="U1090" s="106" t="str">
        <f t="shared" si="8"/>
        <v>#N/A</v>
      </c>
      <c r="V1090" s="84" t="str">
        <f t="shared" si="9"/>
        <v/>
      </c>
      <c r="W1090" s="109" t="str">
        <f t="shared" si="10"/>
        <v/>
      </c>
      <c r="X1090" s="109" t="str">
        <f t="shared" si="11"/>
        <v/>
      </c>
      <c r="Y1090" s="110" t="str">
        <f t="array" ref="Y1090">_xlfn.XLOOKUP(A1090,'Video Database'!L:L,'Video Database'!M:M,"")</f>
        <v>Bottom of Funnel</v>
      </c>
    </row>
    <row r="1091" ht="22.5" customHeight="1">
      <c r="A1091" s="113">
        <f t="shared" si="12"/>
        <v>1090</v>
      </c>
      <c r="B1091" s="98" t="str">
        <f t="array" ref="B1091">_xlfn.XLOOKUP(A1091,'Video Database'!L:L,'Video Database'!D:D,"")</f>
        <v>Erin</v>
      </c>
      <c r="C1091" s="98" t="str">
        <f t="array" ref="C1091">_xlfn.XLOOKUP(A1091,'Video Database'!L:L,'Video Database'!E:E,"")</f>
        <v>Account 2</v>
      </c>
      <c r="D1091" s="99" t="str">
        <f t="array" ref="D1091">_xlfn.XLOOKUP(A1091,'Video Database'!L:L,'Video Database'!G:G,"")</f>
        <v>Medicube Kojic Accid Tumeric Pads</v>
      </c>
      <c r="E1091" s="100">
        <f t="array" ref="E1091">_xlfn.XLOOKUP(A1091,'Video Database'!L:L,'Video Database'!H:H,"")</f>
        <v>0.7337</v>
      </c>
      <c r="F1091" s="101">
        <v>0.0</v>
      </c>
      <c r="G1091" s="87">
        <v>0.0</v>
      </c>
      <c r="H1091" s="114">
        <f t="array" ref="H1091">_xlfn.XLOOKUP(A1091,'Video Database'!L:L,'Video Database'!A:A,"")</f>
        <v>46201</v>
      </c>
      <c r="I1091" s="103">
        <v>46201.0</v>
      </c>
      <c r="J1091" s="104">
        <v>0.0</v>
      </c>
      <c r="K1091" s="105"/>
      <c r="L1091" s="105" t="str">
        <f t="shared" si="1"/>
        <v/>
      </c>
      <c r="O1091" s="106" t="str">
        <f t="shared" si="2"/>
        <v>#N/A</v>
      </c>
      <c r="P1091" s="106" t="str">
        <f t="shared" si="3"/>
        <v>#N/A</v>
      </c>
      <c r="Q1091" s="84" t="str">
        <f t="shared" si="4"/>
        <v>#N/A</v>
      </c>
      <c r="R1091" s="84" t="str">
        <f t="shared" si="5"/>
        <v>#N/A</v>
      </c>
      <c r="S1091" s="107">
        <f t="shared" si="6"/>
        <v>-0.7337</v>
      </c>
      <c r="T1091" s="108">
        <f t="shared" si="7"/>
        <v>-1</v>
      </c>
      <c r="U1091" s="106" t="str">
        <f t="shared" si="8"/>
        <v>#N/A</v>
      </c>
      <c r="V1091" s="84" t="str">
        <f t="shared" si="9"/>
        <v/>
      </c>
      <c r="W1091" s="109" t="str">
        <f t="shared" si="10"/>
        <v/>
      </c>
      <c r="X1091" s="109" t="str">
        <f t="shared" si="11"/>
        <v/>
      </c>
      <c r="Y1091" s="110" t="str">
        <f t="array" ref="Y1091">_xlfn.XLOOKUP(A1091,'Video Database'!L:L,'Video Database'!M:M,"")</f>
        <v>Bottom of Funnel</v>
      </c>
    </row>
    <row r="1092" ht="22.5" customHeight="1">
      <c r="A1092" s="113">
        <f t="shared" si="12"/>
        <v>1091</v>
      </c>
      <c r="B1092" s="98" t="str">
        <f t="array" ref="B1092">_xlfn.XLOOKUP(A1092,'Video Database'!L:L,'Video Database'!D:D,"")</f>
        <v>Erin</v>
      </c>
      <c r="C1092" s="98" t="str">
        <f t="array" ref="C1092">_xlfn.XLOOKUP(A1092,'Video Database'!L:L,'Video Database'!E:E,"")</f>
        <v>Account 2</v>
      </c>
      <c r="D1092" s="99" t="str">
        <f t="array" ref="D1092">_xlfn.XLOOKUP(A1092,'Video Database'!L:L,'Video Database'!G:G,"")</f>
        <v>Camellia Deep Collagen Lifting Gel Mask</v>
      </c>
      <c r="E1092" s="100">
        <f t="array" ref="E1092">_xlfn.XLOOKUP(A1092,'Video Database'!L:L,'Video Database'!H:H,"")</f>
        <v>0.7337</v>
      </c>
      <c r="F1092" s="101">
        <v>0.0</v>
      </c>
      <c r="G1092" s="87">
        <v>0.0</v>
      </c>
      <c r="H1092" s="114">
        <f t="array" ref="H1092">_xlfn.XLOOKUP(A1092,'Video Database'!L:L,'Video Database'!A:A,"")</f>
        <v>46201</v>
      </c>
      <c r="I1092" s="103">
        <v>46201.0</v>
      </c>
      <c r="J1092" s="104">
        <v>0.0</v>
      </c>
      <c r="K1092" s="105"/>
      <c r="L1092" s="105" t="str">
        <f t="shared" si="1"/>
        <v/>
      </c>
      <c r="O1092" s="106" t="str">
        <f t="shared" si="2"/>
        <v>#N/A</v>
      </c>
      <c r="P1092" s="106" t="str">
        <f t="shared" si="3"/>
        <v>#N/A</v>
      </c>
      <c r="Q1092" s="84" t="str">
        <f t="shared" si="4"/>
        <v>#N/A</v>
      </c>
      <c r="R1092" s="84" t="str">
        <f t="shared" si="5"/>
        <v>#N/A</v>
      </c>
      <c r="S1092" s="107">
        <f t="shared" si="6"/>
        <v>-0.7337</v>
      </c>
      <c r="T1092" s="108">
        <f t="shared" si="7"/>
        <v>-1</v>
      </c>
      <c r="U1092" s="106" t="str">
        <f t="shared" si="8"/>
        <v>#N/A</v>
      </c>
      <c r="V1092" s="84" t="str">
        <f t="shared" si="9"/>
        <v/>
      </c>
      <c r="W1092" s="109" t="str">
        <f t="shared" si="10"/>
        <v/>
      </c>
      <c r="X1092" s="109" t="str">
        <f t="shared" si="11"/>
        <v/>
      </c>
      <c r="Y1092" s="110" t="str">
        <f t="array" ref="Y1092">_xlfn.XLOOKUP(A1092,'Video Database'!L:L,'Video Database'!M:M,"")</f>
        <v>Bottom of Funnel</v>
      </c>
    </row>
    <row r="1093" ht="22.5" customHeight="1">
      <c r="A1093" s="113">
        <f t="shared" si="12"/>
        <v>1092</v>
      </c>
      <c r="B1093" s="98" t="str">
        <f t="array" ref="B1093">_xlfn.XLOOKUP(A1093,'Video Database'!L:L,'Video Database'!D:D,"")</f>
        <v>Erin</v>
      </c>
      <c r="C1093" s="98" t="str">
        <f t="array" ref="C1093">_xlfn.XLOOKUP(A1093,'Video Database'!L:L,'Video Database'!E:E,"")</f>
        <v>Account 2</v>
      </c>
      <c r="D1093" s="99" t="str">
        <f t="array" ref="D1093">_xlfn.XLOOKUP(A1093,'Video Database'!L:L,'Video Database'!G:G,"")</f>
        <v>Camellia Deep Collagen Lifting Gel Mask</v>
      </c>
      <c r="E1093" s="100">
        <f t="array" ref="E1093">_xlfn.XLOOKUP(A1093,'Video Database'!L:L,'Video Database'!H:H,"")</f>
        <v>0.7337</v>
      </c>
      <c r="F1093" s="101">
        <v>0.0</v>
      </c>
      <c r="G1093" s="87">
        <v>0.0</v>
      </c>
      <c r="H1093" s="114">
        <f t="array" ref="H1093">_xlfn.XLOOKUP(A1093,'Video Database'!L:L,'Video Database'!A:A,"")</f>
        <v>46201</v>
      </c>
      <c r="I1093" s="103">
        <v>46201.0</v>
      </c>
      <c r="J1093" s="104">
        <v>0.0</v>
      </c>
      <c r="K1093" s="105"/>
      <c r="L1093" s="105" t="str">
        <f t="shared" si="1"/>
        <v/>
      </c>
      <c r="O1093" s="106" t="str">
        <f t="shared" si="2"/>
        <v>#N/A</v>
      </c>
      <c r="P1093" s="106" t="str">
        <f t="shared" si="3"/>
        <v>#N/A</v>
      </c>
      <c r="Q1093" s="84" t="str">
        <f t="shared" si="4"/>
        <v>#N/A</v>
      </c>
      <c r="R1093" s="84" t="str">
        <f t="shared" si="5"/>
        <v>#N/A</v>
      </c>
      <c r="S1093" s="107">
        <f t="shared" si="6"/>
        <v>-0.7337</v>
      </c>
      <c r="T1093" s="108">
        <f t="shared" si="7"/>
        <v>-1</v>
      </c>
      <c r="U1093" s="106" t="str">
        <f t="shared" si="8"/>
        <v>#N/A</v>
      </c>
      <c r="V1093" s="84" t="str">
        <f t="shared" si="9"/>
        <v/>
      </c>
      <c r="W1093" s="109" t="str">
        <f t="shared" si="10"/>
        <v/>
      </c>
      <c r="X1093" s="109" t="str">
        <f t="shared" si="11"/>
        <v/>
      </c>
      <c r="Y1093" s="110" t="str">
        <f t="array" ref="Y1093">_xlfn.XLOOKUP(A1093,'Video Database'!L:L,'Video Database'!M:M,"")</f>
        <v>Bottom of Funnel</v>
      </c>
    </row>
    <row r="1094" ht="22.5" customHeight="1">
      <c r="A1094" s="113">
        <f t="shared" si="12"/>
        <v>1093</v>
      </c>
      <c r="B1094" s="98" t="str">
        <f t="array" ref="B1094">_xlfn.XLOOKUP(A1094,'Video Database'!L:L,'Video Database'!D:D,"")</f>
        <v>Erin</v>
      </c>
      <c r="C1094" s="98" t="str">
        <f t="array" ref="C1094">_xlfn.XLOOKUP(A1094,'Video Database'!L:L,'Video Database'!E:E,"")</f>
        <v>Account 3</v>
      </c>
      <c r="D1094" s="99" t="str">
        <f t="array" ref="D1094">_xlfn.XLOOKUP(A1094,'Video Database'!L:L,'Video Database'!G:G,"")</f>
        <v>XL Microfiber Towel</v>
      </c>
      <c r="E1094" s="100">
        <f t="array" ref="E1094">_xlfn.XLOOKUP(A1094,'Video Database'!L:L,'Video Database'!H:H,"")</f>
        <v>0.7337</v>
      </c>
      <c r="F1094" s="101">
        <v>0.0</v>
      </c>
      <c r="G1094" s="87">
        <v>0.0</v>
      </c>
      <c r="H1094" s="114">
        <f t="array" ref="H1094">_xlfn.XLOOKUP(A1094,'Video Database'!L:L,'Video Database'!A:A,"")</f>
        <v>46201</v>
      </c>
      <c r="I1094" s="103">
        <v>46201.0</v>
      </c>
      <c r="J1094" s="104">
        <v>0.0</v>
      </c>
      <c r="K1094" s="105"/>
      <c r="L1094" s="105" t="str">
        <f t="shared" si="1"/>
        <v/>
      </c>
      <c r="O1094" s="106" t="str">
        <f t="shared" si="2"/>
        <v>#N/A</v>
      </c>
      <c r="P1094" s="106" t="str">
        <f t="shared" si="3"/>
        <v>#N/A</v>
      </c>
      <c r="Q1094" s="84" t="str">
        <f t="shared" si="4"/>
        <v>#N/A</v>
      </c>
      <c r="R1094" s="84" t="str">
        <f t="shared" si="5"/>
        <v>#N/A</v>
      </c>
      <c r="S1094" s="107">
        <f t="shared" si="6"/>
        <v>-0.7337</v>
      </c>
      <c r="T1094" s="108">
        <f t="shared" si="7"/>
        <v>-1</v>
      </c>
      <c r="U1094" s="106" t="str">
        <f t="shared" si="8"/>
        <v>#N/A</v>
      </c>
      <c r="V1094" s="84" t="str">
        <f t="shared" si="9"/>
        <v/>
      </c>
      <c r="W1094" s="109" t="str">
        <f t="shared" si="10"/>
        <v/>
      </c>
      <c r="X1094" s="109" t="str">
        <f t="shared" si="11"/>
        <v/>
      </c>
      <c r="Y1094" s="110" t="str">
        <f t="array" ref="Y1094">_xlfn.XLOOKUP(A1094,'Video Database'!L:L,'Video Database'!M:M,"")</f>
        <v>Bottom of Funnel</v>
      </c>
    </row>
    <row r="1095" ht="22.5" customHeight="1">
      <c r="A1095" s="113">
        <f t="shared" si="12"/>
        <v>1094</v>
      </c>
      <c r="B1095" s="98" t="str">
        <f t="array" ref="B1095">_xlfn.XLOOKUP(A1095,'Video Database'!L:L,'Video Database'!D:D,"")</f>
        <v>Erin</v>
      </c>
      <c r="C1095" s="98" t="str">
        <f t="array" ref="C1095">_xlfn.XLOOKUP(A1095,'Video Database'!L:L,'Video Database'!E:E,"")</f>
        <v>Account 3</v>
      </c>
      <c r="D1095" s="99" t="str">
        <f t="array" ref="D1095">_xlfn.XLOOKUP(A1095,'Video Database'!L:L,'Video Database'!G:G,"")</f>
        <v>Elegant Faux Pearl Set</v>
      </c>
      <c r="E1095" s="100">
        <f t="array" ref="E1095">_xlfn.XLOOKUP(A1095,'Video Database'!L:L,'Video Database'!H:H,"")</f>
        <v>0.7337</v>
      </c>
      <c r="F1095" s="101">
        <v>0.0</v>
      </c>
      <c r="G1095" s="87">
        <v>0.0</v>
      </c>
      <c r="H1095" s="114">
        <f t="array" ref="H1095">_xlfn.XLOOKUP(A1095,'Video Database'!L:L,'Video Database'!A:A,"")</f>
        <v>46201</v>
      </c>
      <c r="I1095" s="103">
        <v>46201.0</v>
      </c>
      <c r="J1095" s="104">
        <v>0.0</v>
      </c>
      <c r="K1095" s="105"/>
      <c r="L1095" s="105" t="str">
        <f t="shared" si="1"/>
        <v/>
      </c>
      <c r="O1095" s="106" t="str">
        <f t="shared" si="2"/>
        <v>#N/A</v>
      </c>
      <c r="P1095" s="106" t="str">
        <f t="shared" si="3"/>
        <v>#N/A</v>
      </c>
      <c r="Q1095" s="84" t="str">
        <f t="shared" si="4"/>
        <v>#N/A</v>
      </c>
      <c r="R1095" s="84" t="str">
        <f t="shared" si="5"/>
        <v>#N/A</v>
      </c>
      <c r="S1095" s="107">
        <f t="shared" si="6"/>
        <v>-0.7337</v>
      </c>
      <c r="T1095" s="108">
        <f t="shared" si="7"/>
        <v>-1</v>
      </c>
      <c r="U1095" s="106" t="str">
        <f t="shared" si="8"/>
        <v>#N/A</v>
      </c>
      <c r="V1095" s="84" t="str">
        <f t="shared" si="9"/>
        <v/>
      </c>
      <c r="W1095" s="109" t="str">
        <f t="shared" si="10"/>
        <v/>
      </c>
      <c r="X1095" s="109" t="str">
        <f t="shared" si="11"/>
        <v/>
      </c>
      <c r="Y1095" s="110" t="str">
        <f t="array" ref="Y1095">_xlfn.XLOOKUP(A1095,'Video Database'!L:L,'Video Database'!M:M,"")</f>
        <v>Bottom of Funnel</v>
      </c>
    </row>
    <row r="1096" ht="22.5" customHeight="1">
      <c r="A1096" s="113">
        <f t="shared" si="12"/>
        <v>1095</v>
      </c>
      <c r="B1096" s="98" t="str">
        <f t="array" ref="B1096">_xlfn.XLOOKUP(A1096,'Video Database'!L:L,'Video Database'!D:D,"")</f>
        <v>Erin</v>
      </c>
      <c r="C1096" s="98" t="str">
        <f t="array" ref="C1096">_xlfn.XLOOKUP(A1096,'Video Database'!L:L,'Video Database'!E:E,"")</f>
        <v>Account 3</v>
      </c>
      <c r="D1096" s="99" t="str">
        <f t="array" ref="D1096">_xlfn.XLOOKUP(A1096,'Video Database'!L:L,'Video Database'!G:G,"")</f>
        <v>XL Microfiber Towel</v>
      </c>
      <c r="E1096" s="100">
        <f t="array" ref="E1096">_xlfn.XLOOKUP(A1096,'Video Database'!L:L,'Video Database'!H:H,"")</f>
        <v>0.7337</v>
      </c>
      <c r="F1096" s="101">
        <v>0.0</v>
      </c>
      <c r="G1096" s="87">
        <v>0.0</v>
      </c>
      <c r="H1096" s="114">
        <f t="array" ref="H1096">_xlfn.XLOOKUP(A1096,'Video Database'!L:L,'Video Database'!A:A,"")</f>
        <v>46201</v>
      </c>
      <c r="I1096" s="103">
        <v>46201.0</v>
      </c>
      <c r="J1096" s="104">
        <v>0.0</v>
      </c>
      <c r="K1096" s="105"/>
      <c r="L1096" s="105" t="str">
        <f t="shared" si="1"/>
        <v/>
      </c>
      <c r="O1096" s="106" t="str">
        <f t="shared" si="2"/>
        <v>#N/A</v>
      </c>
      <c r="P1096" s="106" t="str">
        <f t="shared" si="3"/>
        <v>#N/A</v>
      </c>
      <c r="Q1096" s="84" t="str">
        <f t="shared" si="4"/>
        <v>#N/A</v>
      </c>
      <c r="R1096" s="84" t="str">
        <f t="shared" si="5"/>
        <v>#N/A</v>
      </c>
      <c r="S1096" s="107">
        <f t="shared" si="6"/>
        <v>-0.7337</v>
      </c>
      <c r="T1096" s="108">
        <f t="shared" si="7"/>
        <v>-1</v>
      </c>
      <c r="U1096" s="106" t="str">
        <f t="shared" si="8"/>
        <v>#N/A</v>
      </c>
      <c r="V1096" s="84" t="str">
        <f t="shared" si="9"/>
        <v/>
      </c>
      <c r="W1096" s="109" t="str">
        <f t="shared" si="10"/>
        <v/>
      </c>
      <c r="X1096" s="109" t="str">
        <f t="shared" si="11"/>
        <v/>
      </c>
      <c r="Y1096" s="110" t="str">
        <f t="array" ref="Y1096">_xlfn.XLOOKUP(A1096,'Video Database'!L:L,'Video Database'!M:M,"")</f>
        <v>Bottom of Funnel</v>
      </c>
    </row>
    <row r="1097" ht="22.5" customHeight="1">
      <c r="A1097" s="113">
        <f t="shared" si="12"/>
        <v>1096</v>
      </c>
      <c r="B1097" s="98" t="str">
        <f t="array" ref="B1097">_xlfn.XLOOKUP(A1097,'Video Database'!L:L,'Video Database'!D:D,"")</f>
        <v>Erin</v>
      </c>
      <c r="C1097" s="98" t="str">
        <f t="array" ref="C1097">_xlfn.XLOOKUP(A1097,'Video Database'!L:L,'Video Database'!E:E,"")</f>
        <v>Account 3</v>
      </c>
      <c r="D1097" s="99" t="str">
        <f t="array" ref="D1097">_xlfn.XLOOKUP(A1097,'Video Database'!L:L,'Video Database'!G:G,"")</f>
        <v>XL Microfiber Towel</v>
      </c>
      <c r="E1097" s="100">
        <f t="array" ref="E1097">_xlfn.XLOOKUP(A1097,'Video Database'!L:L,'Video Database'!H:H,"")</f>
        <v>0.7337</v>
      </c>
      <c r="F1097" s="101">
        <v>0.0</v>
      </c>
      <c r="G1097" s="87">
        <v>0.0</v>
      </c>
      <c r="H1097" s="114">
        <f t="array" ref="H1097">_xlfn.XLOOKUP(A1097,'Video Database'!L:L,'Video Database'!A:A,"")</f>
        <v>46201</v>
      </c>
      <c r="I1097" s="103">
        <v>46201.0</v>
      </c>
      <c r="J1097" s="104">
        <v>0.0</v>
      </c>
      <c r="K1097" s="105"/>
      <c r="L1097" s="105" t="str">
        <f t="shared" si="1"/>
        <v/>
      </c>
      <c r="O1097" s="106" t="str">
        <f t="shared" si="2"/>
        <v>#N/A</v>
      </c>
      <c r="P1097" s="106" t="str">
        <f t="shared" si="3"/>
        <v>#N/A</v>
      </c>
      <c r="Q1097" s="84" t="str">
        <f t="shared" si="4"/>
        <v>#N/A</v>
      </c>
      <c r="R1097" s="84" t="str">
        <f t="shared" si="5"/>
        <v>#N/A</v>
      </c>
      <c r="S1097" s="107">
        <f t="shared" si="6"/>
        <v>-0.7337</v>
      </c>
      <c r="T1097" s="108">
        <f t="shared" si="7"/>
        <v>-1</v>
      </c>
      <c r="U1097" s="106" t="str">
        <f t="shared" si="8"/>
        <v>#N/A</v>
      </c>
      <c r="V1097" s="84" t="str">
        <f t="shared" si="9"/>
        <v/>
      </c>
      <c r="W1097" s="109" t="str">
        <f t="shared" si="10"/>
        <v/>
      </c>
      <c r="X1097" s="109" t="str">
        <f t="shared" si="11"/>
        <v/>
      </c>
      <c r="Y1097" s="110" t="str">
        <f t="array" ref="Y1097">_xlfn.XLOOKUP(A1097,'Video Database'!L:L,'Video Database'!M:M,"")</f>
        <v>Bottom of Funnel</v>
      </c>
    </row>
    <row r="1098" ht="22.5" customHeight="1">
      <c r="A1098" s="113">
        <f t="shared" si="12"/>
        <v>1097</v>
      </c>
      <c r="B1098" s="98" t="str">
        <f t="array" ref="B1098">_xlfn.XLOOKUP(A1098,'Video Database'!L:L,'Video Database'!D:D,"")</f>
        <v>Erin</v>
      </c>
      <c r="C1098" s="98" t="str">
        <f t="array" ref="C1098">_xlfn.XLOOKUP(A1098,'Video Database'!L:L,'Video Database'!E:E,"")</f>
        <v>Account 3</v>
      </c>
      <c r="D1098" s="99" t="str">
        <f t="array" ref="D1098">_xlfn.XLOOKUP(A1098,'Video Database'!L:L,'Video Database'!G:G,"")</f>
        <v>Elegant Faux Pearl Set</v>
      </c>
      <c r="E1098" s="100">
        <f t="array" ref="E1098">_xlfn.XLOOKUP(A1098,'Video Database'!L:L,'Video Database'!H:H,"")</f>
        <v>0.7337</v>
      </c>
      <c r="F1098" s="101">
        <v>0.0</v>
      </c>
      <c r="G1098" s="87">
        <v>0.0</v>
      </c>
      <c r="H1098" s="114">
        <f t="array" ref="H1098">_xlfn.XLOOKUP(A1098,'Video Database'!L:L,'Video Database'!A:A,"")</f>
        <v>46201</v>
      </c>
      <c r="I1098" s="103">
        <v>46201.0</v>
      </c>
      <c r="J1098" s="104">
        <v>0.0</v>
      </c>
      <c r="K1098" s="105"/>
      <c r="L1098" s="105" t="str">
        <f t="shared" si="1"/>
        <v/>
      </c>
      <c r="O1098" s="106" t="str">
        <f t="shared" si="2"/>
        <v>#N/A</v>
      </c>
      <c r="P1098" s="106" t="str">
        <f t="shared" si="3"/>
        <v>#N/A</v>
      </c>
      <c r="Q1098" s="84" t="str">
        <f t="shared" si="4"/>
        <v>#N/A</v>
      </c>
      <c r="R1098" s="84" t="str">
        <f t="shared" si="5"/>
        <v>#N/A</v>
      </c>
      <c r="S1098" s="107">
        <f t="shared" si="6"/>
        <v>-0.7337</v>
      </c>
      <c r="T1098" s="108">
        <f t="shared" si="7"/>
        <v>-1</v>
      </c>
      <c r="U1098" s="106" t="str">
        <f t="shared" si="8"/>
        <v>#N/A</v>
      </c>
      <c r="V1098" s="84" t="str">
        <f t="shared" si="9"/>
        <v/>
      </c>
      <c r="W1098" s="109" t="str">
        <f t="shared" si="10"/>
        <v/>
      </c>
      <c r="X1098" s="109" t="str">
        <f t="shared" si="11"/>
        <v/>
      </c>
      <c r="Y1098" s="110" t="str">
        <f t="array" ref="Y1098">_xlfn.XLOOKUP(A1098,'Video Database'!L:L,'Video Database'!M:M,"")</f>
        <v>Bottom of Funnel</v>
      </c>
    </row>
    <row r="1099" ht="22.5" customHeight="1">
      <c r="A1099" s="113">
        <f t="shared" si="12"/>
        <v>1098</v>
      </c>
      <c r="B1099" s="98" t="str">
        <f t="array" ref="B1099">_xlfn.XLOOKUP(A1099,'Video Database'!L:L,'Video Database'!D:D,"")</f>
        <v>Erin</v>
      </c>
      <c r="C1099" s="98" t="str">
        <f t="array" ref="C1099">_xlfn.XLOOKUP(A1099,'Video Database'!L:L,'Video Database'!E:E,"")</f>
        <v>Account 3</v>
      </c>
      <c r="D1099" s="99" t="str">
        <f t="array" ref="D1099">_xlfn.XLOOKUP(A1099,'Video Database'!L:L,'Video Database'!G:G,"")</f>
        <v>Elegant Faux Pearl Set</v>
      </c>
      <c r="E1099" s="100">
        <f t="array" ref="E1099">_xlfn.XLOOKUP(A1099,'Video Database'!L:L,'Video Database'!H:H,"")</f>
        <v>0.7337</v>
      </c>
      <c r="F1099" s="101">
        <v>0.0</v>
      </c>
      <c r="G1099" s="87">
        <v>0.0</v>
      </c>
      <c r="H1099" s="114">
        <f t="array" ref="H1099">_xlfn.XLOOKUP(A1099,'Video Database'!L:L,'Video Database'!A:A,"")</f>
        <v>46201</v>
      </c>
      <c r="I1099" s="103">
        <v>46201.0</v>
      </c>
      <c r="J1099" s="104">
        <v>0.0</v>
      </c>
      <c r="K1099" s="105"/>
      <c r="L1099" s="105" t="str">
        <f t="shared" si="1"/>
        <v/>
      </c>
      <c r="O1099" s="106" t="str">
        <f t="shared" si="2"/>
        <v>#N/A</v>
      </c>
      <c r="P1099" s="106" t="str">
        <f t="shared" si="3"/>
        <v>#N/A</v>
      </c>
      <c r="Q1099" s="84" t="str">
        <f t="shared" si="4"/>
        <v>#N/A</v>
      </c>
      <c r="R1099" s="84" t="str">
        <f t="shared" si="5"/>
        <v>#N/A</v>
      </c>
      <c r="S1099" s="107">
        <f t="shared" si="6"/>
        <v>-0.7337</v>
      </c>
      <c r="T1099" s="108">
        <f t="shared" si="7"/>
        <v>-1</v>
      </c>
      <c r="U1099" s="106" t="str">
        <f t="shared" si="8"/>
        <v>#N/A</v>
      </c>
      <c r="V1099" s="84" t="str">
        <f t="shared" si="9"/>
        <v/>
      </c>
      <c r="W1099" s="109" t="str">
        <f t="shared" si="10"/>
        <v/>
      </c>
      <c r="X1099" s="109" t="str">
        <f t="shared" si="11"/>
        <v/>
      </c>
      <c r="Y1099" s="110" t="str">
        <f t="array" ref="Y1099">_xlfn.XLOOKUP(A1099,'Video Database'!L:L,'Video Database'!M:M,"")</f>
        <v>Bottom of Funnel</v>
      </c>
    </row>
    <row r="1100" ht="22.5" customHeight="1">
      <c r="A1100" s="113">
        <f t="shared" si="12"/>
        <v>1099</v>
      </c>
      <c r="B1100" s="98" t="str">
        <f t="array" ref="B1100">_xlfn.XLOOKUP(A1100,'Video Database'!L:L,'Video Database'!D:D,"")</f>
        <v>Erin</v>
      </c>
      <c r="C1100" s="98" t="str">
        <f t="array" ref="C1100">_xlfn.XLOOKUP(A1100,'Video Database'!L:L,'Video Database'!E:E,"")</f>
        <v>Account 3</v>
      </c>
      <c r="D1100" s="99" t="str">
        <f t="array" ref="D1100">_xlfn.XLOOKUP(A1100,'Video Database'!L:L,'Video Database'!G:G,"")</f>
        <v>Medicube Kojic Accid Tumeric Pads</v>
      </c>
      <c r="E1100" s="100">
        <f t="array" ref="E1100">_xlfn.XLOOKUP(A1100,'Video Database'!L:L,'Video Database'!H:H,"")</f>
        <v>0.7337</v>
      </c>
      <c r="F1100" s="101">
        <v>0.0</v>
      </c>
      <c r="G1100" s="87">
        <v>0.0</v>
      </c>
      <c r="H1100" s="114">
        <f t="array" ref="H1100">_xlfn.XLOOKUP(A1100,'Video Database'!L:L,'Video Database'!A:A,"")</f>
        <v>46201</v>
      </c>
      <c r="I1100" s="103">
        <v>46201.0</v>
      </c>
      <c r="J1100" s="104">
        <v>0.0</v>
      </c>
      <c r="K1100" s="105"/>
      <c r="L1100" s="105" t="str">
        <f t="shared" si="1"/>
        <v/>
      </c>
      <c r="O1100" s="106" t="str">
        <f t="shared" si="2"/>
        <v>#N/A</v>
      </c>
      <c r="P1100" s="106" t="str">
        <f t="shared" si="3"/>
        <v>#N/A</v>
      </c>
      <c r="Q1100" s="84" t="str">
        <f t="shared" si="4"/>
        <v>#N/A</v>
      </c>
      <c r="R1100" s="84" t="str">
        <f t="shared" si="5"/>
        <v>#N/A</v>
      </c>
      <c r="S1100" s="107">
        <f t="shared" si="6"/>
        <v>-0.7337</v>
      </c>
      <c r="T1100" s="108">
        <f t="shared" si="7"/>
        <v>-1</v>
      </c>
      <c r="U1100" s="106" t="str">
        <f t="shared" si="8"/>
        <v>#N/A</v>
      </c>
      <c r="V1100" s="84" t="str">
        <f t="shared" si="9"/>
        <v/>
      </c>
      <c r="W1100" s="109" t="str">
        <f t="shared" si="10"/>
        <v/>
      </c>
      <c r="X1100" s="109" t="str">
        <f t="shared" si="11"/>
        <v/>
      </c>
      <c r="Y1100" s="110" t="str">
        <f t="array" ref="Y1100">_xlfn.XLOOKUP(A1100,'Video Database'!L:L,'Video Database'!M:M,"")</f>
        <v>Bottom of Funnel</v>
      </c>
    </row>
    <row r="1101" ht="22.5" customHeight="1">
      <c r="A1101" s="113">
        <f t="shared" si="12"/>
        <v>1100</v>
      </c>
      <c r="B1101" s="98" t="str">
        <f t="array" ref="B1101">_xlfn.XLOOKUP(A1101,'Video Database'!L:L,'Video Database'!D:D,"")</f>
        <v>Erin</v>
      </c>
      <c r="C1101" s="98" t="str">
        <f t="array" ref="C1101">_xlfn.XLOOKUP(A1101,'Video Database'!L:L,'Video Database'!E:E,"")</f>
        <v>Account 3</v>
      </c>
      <c r="D1101" s="99" t="str">
        <f t="array" ref="D1101">_xlfn.XLOOKUP(A1101,'Video Database'!L:L,'Video Database'!G:G,"")</f>
        <v>Medicube Kojic Accid Tumeric Pads</v>
      </c>
      <c r="E1101" s="100">
        <f t="array" ref="E1101">_xlfn.XLOOKUP(A1101,'Video Database'!L:L,'Video Database'!H:H,"")</f>
        <v>0.7337</v>
      </c>
      <c r="F1101" s="101">
        <v>0.0</v>
      </c>
      <c r="G1101" s="87">
        <v>0.0</v>
      </c>
      <c r="H1101" s="114">
        <f t="array" ref="H1101">_xlfn.XLOOKUP(A1101,'Video Database'!L:L,'Video Database'!A:A,"")</f>
        <v>46201</v>
      </c>
      <c r="I1101" s="103">
        <v>46201.0</v>
      </c>
      <c r="J1101" s="104">
        <v>0.0</v>
      </c>
      <c r="K1101" s="105"/>
      <c r="L1101" s="105" t="str">
        <f t="shared" si="1"/>
        <v/>
      </c>
      <c r="O1101" s="106" t="str">
        <f t="shared" si="2"/>
        <v>#N/A</v>
      </c>
      <c r="P1101" s="106" t="str">
        <f t="shared" si="3"/>
        <v>#N/A</v>
      </c>
      <c r="Q1101" s="84" t="str">
        <f t="shared" si="4"/>
        <v>#N/A</v>
      </c>
      <c r="R1101" s="84" t="str">
        <f t="shared" si="5"/>
        <v>#N/A</v>
      </c>
      <c r="S1101" s="107">
        <f t="shared" si="6"/>
        <v>-0.7337</v>
      </c>
      <c r="T1101" s="108">
        <f t="shared" si="7"/>
        <v>-1</v>
      </c>
      <c r="U1101" s="106" t="str">
        <f t="shared" si="8"/>
        <v>#N/A</v>
      </c>
      <c r="V1101" s="84" t="str">
        <f t="shared" si="9"/>
        <v/>
      </c>
      <c r="W1101" s="109" t="str">
        <f t="shared" si="10"/>
        <v/>
      </c>
      <c r="X1101" s="109" t="str">
        <f t="shared" si="11"/>
        <v/>
      </c>
      <c r="Y1101" s="110" t="str">
        <f t="array" ref="Y1101">_xlfn.XLOOKUP(A1101,'Video Database'!L:L,'Video Database'!M:M,"")</f>
        <v>Bottom of Funnel</v>
      </c>
    </row>
    <row r="1102" ht="22.5" customHeight="1">
      <c r="A1102" s="113">
        <f t="shared" si="12"/>
        <v>1101</v>
      </c>
      <c r="B1102" s="98" t="str">
        <f t="array" ref="B1102">_xlfn.XLOOKUP(A1102,'Video Database'!L:L,'Video Database'!D:D,"")</f>
        <v>Erin</v>
      </c>
      <c r="C1102" s="98" t="str">
        <f t="array" ref="C1102">_xlfn.XLOOKUP(A1102,'Video Database'!L:L,'Video Database'!E:E,"")</f>
        <v>Account 3</v>
      </c>
      <c r="D1102" s="99" t="str">
        <f t="array" ref="D1102">_xlfn.XLOOKUP(A1102,'Video Database'!L:L,'Video Database'!G:G,"")</f>
        <v>Medicube Kojic Accid Tumeric Pads</v>
      </c>
      <c r="E1102" s="100">
        <f t="array" ref="E1102">_xlfn.XLOOKUP(A1102,'Video Database'!L:L,'Video Database'!H:H,"")</f>
        <v>0.7337</v>
      </c>
      <c r="F1102" s="101">
        <v>0.0</v>
      </c>
      <c r="G1102" s="87">
        <v>0.0</v>
      </c>
      <c r="H1102" s="114">
        <f t="array" ref="H1102">_xlfn.XLOOKUP(A1102,'Video Database'!L:L,'Video Database'!A:A,"")</f>
        <v>46201</v>
      </c>
      <c r="I1102" s="103">
        <v>46201.0</v>
      </c>
      <c r="J1102" s="104">
        <v>0.0</v>
      </c>
      <c r="K1102" s="105"/>
      <c r="L1102" s="105" t="str">
        <f t="shared" si="1"/>
        <v/>
      </c>
      <c r="O1102" s="106" t="str">
        <f t="shared" si="2"/>
        <v>#N/A</v>
      </c>
      <c r="P1102" s="106" t="str">
        <f t="shared" si="3"/>
        <v>#N/A</v>
      </c>
      <c r="Q1102" s="84" t="str">
        <f t="shared" si="4"/>
        <v>#N/A</v>
      </c>
      <c r="R1102" s="84" t="str">
        <f t="shared" si="5"/>
        <v>#N/A</v>
      </c>
      <c r="S1102" s="107">
        <f t="shared" si="6"/>
        <v>-0.7337</v>
      </c>
      <c r="T1102" s="108">
        <f t="shared" si="7"/>
        <v>-1</v>
      </c>
      <c r="U1102" s="106" t="str">
        <f t="shared" si="8"/>
        <v>#N/A</v>
      </c>
      <c r="V1102" s="84" t="str">
        <f t="shared" si="9"/>
        <v/>
      </c>
      <c r="W1102" s="109" t="str">
        <f t="shared" si="10"/>
        <v/>
      </c>
      <c r="X1102" s="109" t="str">
        <f t="shared" si="11"/>
        <v/>
      </c>
      <c r="Y1102" s="110" t="str">
        <f t="array" ref="Y1102">_xlfn.XLOOKUP(A1102,'Video Database'!L:L,'Video Database'!M:M,"")</f>
        <v>Bottom of Funnel</v>
      </c>
    </row>
    <row r="1103" ht="22.5" customHeight="1">
      <c r="A1103" s="113">
        <f t="shared" si="12"/>
        <v>1102</v>
      </c>
      <c r="B1103" s="98" t="str">
        <f t="array" ref="B1103">_xlfn.XLOOKUP(A1103,'Video Database'!L:L,'Video Database'!D:D,"")</f>
        <v>Erin</v>
      </c>
      <c r="C1103" s="98" t="str">
        <f t="array" ref="C1103">_xlfn.XLOOKUP(A1103,'Video Database'!L:L,'Video Database'!E:E,"")</f>
        <v>Account 3</v>
      </c>
      <c r="D1103" s="99" t="str">
        <f t="array" ref="D1103">_xlfn.XLOOKUP(A1103,'Video Database'!L:L,'Video Database'!G:G,"")</f>
        <v>Camellia Deep Collagen Lifting Gel Mask</v>
      </c>
      <c r="E1103" s="100">
        <f t="array" ref="E1103">_xlfn.XLOOKUP(A1103,'Video Database'!L:L,'Video Database'!H:H,"")</f>
        <v>0.7337</v>
      </c>
      <c r="F1103" s="101">
        <v>0.0</v>
      </c>
      <c r="G1103" s="87">
        <v>0.0</v>
      </c>
      <c r="H1103" s="114">
        <f t="array" ref="H1103">_xlfn.XLOOKUP(A1103,'Video Database'!L:L,'Video Database'!A:A,"")</f>
        <v>46201</v>
      </c>
      <c r="I1103" s="103">
        <v>46201.0</v>
      </c>
      <c r="J1103" s="104">
        <v>0.0</v>
      </c>
      <c r="K1103" s="105"/>
      <c r="L1103" s="105" t="str">
        <f t="shared" si="1"/>
        <v/>
      </c>
      <c r="O1103" s="106" t="str">
        <f t="shared" si="2"/>
        <v>#N/A</v>
      </c>
      <c r="P1103" s="106" t="str">
        <f t="shared" si="3"/>
        <v>#N/A</v>
      </c>
      <c r="Q1103" s="84" t="str">
        <f t="shared" si="4"/>
        <v>#N/A</v>
      </c>
      <c r="R1103" s="84" t="str">
        <f t="shared" si="5"/>
        <v>#N/A</v>
      </c>
      <c r="S1103" s="107">
        <f t="shared" si="6"/>
        <v>-0.7337</v>
      </c>
      <c r="T1103" s="108">
        <f t="shared" si="7"/>
        <v>-1</v>
      </c>
      <c r="U1103" s="106" t="str">
        <f t="shared" si="8"/>
        <v>#N/A</v>
      </c>
      <c r="V1103" s="84" t="str">
        <f t="shared" si="9"/>
        <v/>
      </c>
      <c r="W1103" s="109" t="str">
        <f t="shared" si="10"/>
        <v/>
      </c>
      <c r="X1103" s="109" t="str">
        <f t="shared" si="11"/>
        <v/>
      </c>
      <c r="Y1103" s="110" t="str">
        <f t="array" ref="Y1103">_xlfn.XLOOKUP(A1103,'Video Database'!L:L,'Video Database'!M:M,"")</f>
        <v>Bottom of Funnel</v>
      </c>
    </row>
    <row r="1104" ht="22.5" customHeight="1">
      <c r="A1104" s="113">
        <f t="shared" si="12"/>
        <v>1103</v>
      </c>
      <c r="B1104" s="98" t="str">
        <f t="array" ref="B1104">_xlfn.XLOOKUP(A1104,'Video Database'!L:L,'Video Database'!D:D,"")</f>
        <v>Erin</v>
      </c>
      <c r="C1104" s="98" t="str">
        <f t="array" ref="C1104">_xlfn.XLOOKUP(A1104,'Video Database'!L:L,'Video Database'!E:E,"")</f>
        <v>Account 4</v>
      </c>
      <c r="D1104" s="99" t="str">
        <f t="array" ref="D1104">_xlfn.XLOOKUP(A1104,'Video Database'!L:L,'Video Database'!G:G,"")</f>
        <v>XL Microfiber Towel</v>
      </c>
      <c r="E1104" s="100">
        <f t="array" ref="E1104">_xlfn.XLOOKUP(A1104,'Video Database'!L:L,'Video Database'!H:H,"")</f>
        <v>0.7337</v>
      </c>
      <c r="F1104" s="101">
        <v>0.0</v>
      </c>
      <c r="G1104" s="87">
        <v>0.0</v>
      </c>
      <c r="H1104" s="114">
        <f t="array" ref="H1104">_xlfn.XLOOKUP(A1104,'Video Database'!L:L,'Video Database'!A:A,"")</f>
        <v>46201</v>
      </c>
      <c r="I1104" s="103">
        <v>46201.0</v>
      </c>
      <c r="J1104" s="104">
        <v>0.0</v>
      </c>
      <c r="K1104" s="105"/>
      <c r="L1104" s="105" t="str">
        <f t="shared" si="1"/>
        <v/>
      </c>
      <c r="O1104" s="106" t="str">
        <f t="shared" si="2"/>
        <v>#N/A</v>
      </c>
      <c r="P1104" s="106" t="str">
        <f t="shared" si="3"/>
        <v>#N/A</v>
      </c>
      <c r="Q1104" s="84" t="str">
        <f t="shared" si="4"/>
        <v>#N/A</v>
      </c>
      <c r="R1104" s="84" t="str">
        <f t="shared" si="5"/>
        <v>#N/A</v>
      </c>
      <c r="S1104" s="107">
        <f t="shared" si="6"/>
        <v>-0.7337</v>
      </c>
      <c r="T1104" s="108">
        <f t="shared" si="7"/>
        <v>-1</v>
      </c>
      <c r="U1104" s="106" t="str">
        <f t="shared" si="8"/>
        <v>#N/A</v>
      </c>
      <c r="V1104" s="84" t="str">
        <f t="shared" si="9"/>
        <v/>
      </c>
      <c r="W1104" s="109" t="str">
        <f t="shared" si="10"/>
        <v/>
      </c>
      <c r="X1104" s="109" t="str">
        <f t="shared" si="11"/>
        <v/>
      </c>
      <c r="Y1104" s="110" t="str">
        <f t="array" ref="Y1104">_xlfn.XLOOKUP(A1104,'Video Database'!L:L,'Video Database'!M:M,"")</f>
        <v>Bottom of Funnel</v>
      </c>
    </row>
    <row r="1105" ht="22.5" customHeight="1">
      <c r="A1105" s="113">
        <f t="shared" si="12"/>
        <v>1104</v>
      </c>
      <c r="B1105" s="98" t="str">
        <f t="array" ref="B1105">_xlfn.XLOOKUP(A1105,'Video Database'!L:L,'Video Database'!D:D,"")</f>
        <v>Erin</v>
      </c>
      <c r="C1105" s="98" t="str">
        <f t="array" ref="C1105">_xlfn.XLOOKUP(A1105,'Video Database'!L:L,'Video Database'!E:E,"")</f>
        <v>Account 4</v>
      </c>
      <c r="D1105" s="99" t="str">
        <f t="array" ref="D1105">_xlfn.XLOOKUP(A1105,'Video Database'!L:L,'Video Database'!G:G,"")</f>
        <v>XL Microfiber Towel</v>
      </c>
      <c r="E1105" s="100">
        <f t="array" ref="E1105">_xlfn.XLOOKUP(A1105,'Video Database'!L:L,'Video Database'!H:H,"")</f>
        <v>0.7337</v>
      </c>
      <c r="F1105" s="101">
        <v>0.0</v>
      </c>
      <c r="G1105" s="87">
        <v>0.0</v>
      </c>
      <c r="H1105" s="114">
        <f t="array" ref="H1105">_xlfn.XLOOKUP(A1105,'Video Database'!L:L,'Video Database'!A:A,"")</f>
        <v>46201</v>
      </c>
      <c r="I1105" s="103">
        <v>46201.0</v>
      </c>
      <c r="J1105" s="104">
        <v>0.0</v>
      </c>
      <c r="K1105" s="105"/>
      <c r="L1105" s="105" t="str">
        <f t="shared" si="1"/>
        <v/>
      </c>
      <c r="O1105" s="106" t="str">
        <f t="shared" si="2"/>
        <v>#N/A</v>
      </c>
      <c r="P1105" s="106" t="str">
        <f t="shared" si="3"/>
        <v>#N/A</v>
      </c>
      <c r="Q1105" s="84" t="str">
        <f t="shared" si="4"/>
        <v>#N/A</v>
      </c>
      <c r="R1105" s="84" t="str">
        <f t="shared" si="5"/>
        <v>#N/A</v>
      </c>
      <c r="S1105" s="107">
        <f t="shared" si="6"/>
        <v>-0.7337</v>
      </c>
      <c r="T1105" s="108">
        <f t="shared" si="7"/>
        <v>-1</v>
      </c>
      <c r="U1105" s="106" t="str">
        <f t="shared" si="8"/>
        <v>#N/A</v>
      </c>
      <c r="V1105" s="84" t="str">
        <f t="shared" si="9"/>
        <v/>
      </c>
      <c r="W1105" s="109" t="str">
        <f t="shared" si="10"/>
        <v/>
      </c>
      <c r="X1105" s="109" t="str">
        <f t="shared" si="11"/>
        <v/>
      </c>
      <c r="Y1105" s="110" t="str">
        <f t="array" ref="Y1105">_xlfn.XLOOKUP(A1105,'Video Database'!L:L,'Video Database'!M:M,"")</f>
        <v>Bottom of Funnel</v>
      </c>
    </row>
    <row r="1106" ht="22.5" customHeight="1">
      <c r="A1106" s="113">
        <f t="shared" si="12"/>
        <v>1105</v>
      </c>
      <c r="B1106" s="98" t="str">
        <f t="array" ref="B1106">_xlfn.XLOOKUP(A1106,'Video Database'!L:L,'Video Database'!D:D,"")</f>
        <v>Erin</v>
      </c>
      <c r="C1106" s="98" t="str">
        <f t="array" ref="C1106">_xlfn.XLOOKUP(A1106,'Video Database'!L:L,'Video Database'!E:E,"")</f>
        <v>Account 4</v>
      </c>
      <c r="D1106" s="99" t="str">
        <f t="array" ref="D1106">_xlfn.XLOOKUP(A1106,'Video Database'!L:L,'Video Database'!G:G,"")</f>
        <v>XL Microfiber Towel</v>
      </c>
      <c r="E1106" s="100">
        <f t="array" ref="E1106">_xlfn.XLOOKUP(A1106,'Video Database'!L:L,'Video Database'!H:H,"")</f>
        <v>0.7337</v>
      </c>
      <c r="F1106" s="101">
        <v>0.0</v>
      </c>
      <c r="G1106" s="87">
        <v>0.0</v>
      </c>
      <c r="H1106" s="114">
        <f t="array" ref="H1106">_xlfn.XLOOKUP(A1106,'Video Database'!L:L,'Video Database'!A:A,"")</f>
        <v>46201</v>
      </c>
      <c r="I1106" s="103">
        <v>46201.0</v>
      </c>
      <c r="J1106" s="104">
        <v>0.0</v>
      </c>
      <c r="K1106" s="105"/>
      <c r="L1106" s="105" t="str">
        <f t="shared" si="1"/>
        <v/>
      </c>
      <c r="O1106" s="106" t="str">
        <f t="shared" si="2"/>
        <v>#N/A</v>
      </c>
      <c r="P1106" s="106" t="str">
        <f t="shared" si="3"/>
        <v>#N/A</v>
      </c>
      <c r="Q1106" s="84" t="str">
        <f t="shared" si="4"/>
        <v>#N/A</v>
      </c>
      <c r="R1106" s="84" t="str">
        <f t="shared" si="5"/>
        <v>#N/A</v>
      </c>
      <c r="S1106" s="107">
        <f t="shared" si="6"/>
        <v>-0.7337</v>
      </c>
      <c r="T1106" s="108">
        <f t="shared" si="7"/>
        <v>-1</v>
      </c>
      <c r="U1106" s="106" t="str">
        <f t="shared" si="8"/>
        <v>#N/A</v>
      </c>
      <c r="V1106" s="84" t="str">
        <f t="shared" si="9"/>
        <v/>
      </c>
      <c r="W1106" s="109" t="str">
        <f t="shared" si="10"/>
        <v/>
      </c>
      <c r="X1106" s="109" t="str">
        <f t="shared" si="11"/>
        <v/>
      </c>
      <c r="Y1106" s="110" t="str">
        <f t="array" ref="Y1106">_xlfn.XLOOKUP(A1106,'Video Database'!L:L,'Video Database'!M:M,"")</f>
        <v>Bottom of Funnel</v>
      </c>
    </row>
    <row r="1107" ht="22.5" customHeight="1">
      <c r="A1107" s="113">
        <f t="shared" si="12"/>
        <v>1106</v>
      </c>
      <c r="B1107" s="98" t="str">
        <f t="array" ref="B1107">_xlfn.XLOOKUP(A1107,'Video Database'!L:L,'Video Database'!D:D,"")</f>
        <v>Erin</v>
      </c>
      <c r="C1107" s="98" t="str">
        <f t="array" ref="C1107">_xlfn.XLOOKUP(A1107,'Video Database'!L:L,'Video Database'!E:E,"")</f>
        <v>Account 4</v>
      </c>
      <c r="D1107" s="99" t="str">
        <f t="array" ref="D1107">_xlfn.XLOOKUP(A1107,'Video Database'!L:L,'Video Database'!G:G,"")</f>
        <v>Elegant Faux Pearl Set</v>
      </c>
      <c r="E1107" s="100">
        <f t="array" ref="E1107">_xlfn.XLOOKUP(A1107,'Video Database'!L:L,'Video Database'!H:H,"")</f>
        <v>0.7337</v>
      </c>
      <c r="F1107" s="101">
        <v>0.0</v>
      </c>
      <c r="G1107" s="87">
        <v>0.0</v>
      </c>
      <c r="H1107" s="114">
        <f t="array" ref="H1107">_xlfn.XLOOKUP(A1107,'Video Database'!L:L,'Video Database'!A:A,"")</f>
        <v>46201</v>
      </c>
      <c r="I1107" s="103">
        <v>46201.0</v>
      </c>
      <c r="J1107" s="104">
        <v>0.0</v>
      </c>
      <c r="K1107" s="105"/>
      <c r="L1107" s="105" t="str">
        <f t="shared" si="1"/>
        <v/>
      </c>
      <c r="O1107" s="106" t="str">
        <f t="shared" si="2"/>
        <v>#N/A</v>
      </c>
      <c r="P1107" s="106" t="str">
        <f t="shared" si="3"/>
        <v>#N/A</v>
      </c>
      <c r="Q1107" s="84" t="str">
        <f t="shared" si="4"/>
        <v>#N/A</v>
      </c>
      <c r="R1107" s="84" t="str">
        <f t="shared" si="5"/>
        <v>#N/A</v>
      </c>
      <c r="S1107" s="107">
        <f t="shared" si="6"/>
        <v>-0.7337</v>
      </c>
      <c r="T1107" s="108">
        <f t="shared" si="7"/>
        <v>-1</v>
      </c>
      <c r="U1107" s="106" t="str">
        <f t="shared" si="8"/>
        <v>#N/A</v>
      </c>
      <c r="V1107" s="84" t="str">
        <f t="shared" si="9"/>
        <v/>
      </c>
      <c r="W1107" s="109" t="str">
        <f t="shared" si="10"/>
        <v/>
      </c>
      <c r="X1107" s="109" t="str">
        <f t="shared" si="11"/>
        <v/>
      </c>
      <c r="Y1107" s="110" t="str">
        <f t="array" ref="Y1107">_xlfn.XLOOKUP(A1107,'Video Database'!L:L,'Video Database'!M:M,"")</f>
        <v>Bottom of Funnel</v>
      </c>
    </row>
    <row r="1108" ht="22.5" customHeight="1">
      <c r="A1108" s="113">
        <f t="shared" si="12"/>
        <v>1107</v>
      </c>
      <c r="B1108" s="98" t="str">
        <f t="array" ref="B1108">_xlfn.XLOOKUP(A1108,'Video Database'!L:L,'Video Database'!D:D,"")</f>
        <v>Erin</v>
      </c>
      <c r="C1108" s="98" t="str">
        <f t="array" ref="C1108">_xlfn.XLOOKUP(A1108,'Video Database'!L:L,'Video Database'!E:E,"")</f>
        <v>Account 4</v>
      </c>
      <c r="D1108" s="99" t="str">
        <f t="array" ref="D1108">_xlfn.XLOOKUP(A1108,'Video Database'!L:L,'Video Database'!G:G,"")</f>
        <v>Elegant Faux Pearl Set</v>
      </c>
      <c r="E1108" s="100">
        <f t="array" ref="E1108">_xlfn.XLOOKUP(A1108,'Video Database'!L:L,'Video Database'!H:H,"")</f>
        <v>0.7337</v>
      </c>
      <c r="F1108" s="101">
        <v>0.0</v>
      </c>
      <c r="G1108" s="87">
        <v>0.0</v>
      </c>
      <c r="H1108" s="114">
        <f t="array" ref="H1108">_xlfn.XLOOKUP(A1108,'Video Database'!L:L,'Video Database'!A:A,"")</f>
        <v>46201</v>
      </c>
      <c r="I1108" s="103">
        <v>46201.0</v>
      </c>
      <c r="J1108" s="104">
        <v>0.0</v>
      </c>
      <c r="K1108" s="105"/>
      <c r="L1108" s="105" t="str">
        <f t="shared" si="1"/>
        <v/>
      </c>
      <c r="O1108" s="106" t="str">
        <f t="shared" si="2"/>
        <v>#N/A</v>
      </c>
      <c r="P1108" s="106" t="str">
        <f t="shared" si="3"/>
        <v>#N/A</v>
      </c>
      <c r="Q1108" s="84" t="str">
        <f t="shared" si="4"/>
        <v>#N/A</v>
      </c>
      <c r="R1108" s="84" t="str">
        <f t="shared" si="5"/>
        <v>#N/A</v>
      </c>
      <c r="S1108" s="107">
        <f t="shared" si="6"/>
        <v>-0.7337</v>
      </c>
      <c r="T1108" s="108">
        <f t="shared" si="7"/>
        <v>-1</v>
      </c>
      <c r="U1108" s="106" t="str">
        <f t="shared" si="8"/>
        <v>#N/A</v>
      </c>
      <c r="V1108" s="84" t="str">
        <f t="shared" si="9"/>
        <v/>
      </c>
      <c r="W1108" s="109" t="str">
        <f t="shared" si="10"/>
        <v/>
      </c>
      <c r="X1108" s="109" t="str">
        <f t="shared" si="11"/>
        <v/>
      </c>
      <c r="Y1108" s="110" t="str">
        <f t="array" ref="Y1108">_xlfn.XLOOKUP(A1108,'Video Database'!L:L,'Video Database'!M:M,"")</f>
        <v>Bottom of Funnel</v>
      </c>
    </row>
    <row r="1109" ht="22.5" customHeight="1">
      <c r="A1109" s="113">
        <f t="shared" si="12"/>
        <v>1108</v>
      </c>
      <c r="B1109" s="98" t="str">
        <f t="array" ref="B1109">_xlfn.XLOOKUP(A1109,'Video Database'!L:L,'Video Database'!D:D,"")</f>
        <v>Erin</v>
      </c>
      <c r="C1109" s="98" t="str">
        <f t="array" ref="C1109">_xlfn.XLOOKUP(A1109,'Video Database'!L:L,'Video Database'!E:E,"")</f>
        <v>Account 4</v>
      </c>
      <c r="D1109" s="99" t="str">
        <f t="array" ref="D1109">_xlfn.XLOOKUP(A1109,'Video Database'!L:L,'Video Database'!G:G,"")</f>
        <v>Elegant Faux Pearl Set</v>
      </c>
      <c r="E1109" s="100">
        <f t="array" ref="E1109">_xlfn.XLOOKUP(A1109,'Video Database'!L:L,'Video Database'!H:H,"")</f>
        <v>0.7337</v>
      </c>
      <c r="F1109" s="101">
        <v>0.0</v>
      </c>
      <c r="G1109" s="87">
        <v>0.0</v>
      </c>
      <c r="H1109" s="114">
        <f t="array" ref="H1109">_xlfn.XLOOKUP(A1109,'Video Database'!L:L,'Video Database'!A:A,"")</f>
        <v>46201</v>
      </c>
      <c r="I1109" s="103">
        <v>46201.0</v>
      </c>
      <c r="J1109" s="104">
        <v>0.0</v>
      </c>
      <c r="K1109" s="105"/>
      <c r="L1109" s="105" t="str">
        <f t="shared" si="1"/>
        <v/>
      </c>
      <c r="O1109" s="106" t="str">
        <f t="shared" si="2"/>
        <v>#N/A</v>
      </c>
      <c r="P1109" s="106" t="str">
        <f t="shared" si="3"/>
        <v>#N/A</v>
      </c>
      <c r="Q1109" s="84" t="str">
        <f t="shared" si="4"/>
        <v>#N/A</v>
      </c>
      <c r="R1109" s="84" t="str">
        <f t="shared" si="5"/>
        <v>#N/A</v>
      </c>
      <c r="S1109" s="107">
        <f t="shared" si="6"/>
        <v>-0.7337</v>
      </c>
      <c r="T1109" s="108">
        <f t="shared" si="7"/>
        <v>-1</v>
      </c>
      <c r="U1109" s="106" t="str">
        <f t="shared" si="8"/>
        <v>#N/A</v>
      </c>
      <c r="V1109" s="84" t="str">
        <f t="shared" si="9"/>
        <v/>
      </c>
      <c r="W1109" s="109" t="str">
        <f t="shared" si="10"/>
        <v/>
      </c>
      <c r="X1109" s="109" t="str">
        <f t="shared" si="11"/>
        <v/>
      </c>
      <c r="Y1109" s="110" t="str">
        <f t="array" ref="Y1109">_xlfn.XLOOKUP(A1109,'Video Database'!L:L,'Video Database'!M:M,"")</f>
        <v>Bottom of Funnel</v>
      </c>
    </row>
    <row r="1110" ht="22.5" customHeight="1">
      <c r="A1110" s="113">
        <f t="shared" si="12"/>
        <v>1109</v>
      </c>
      <c r="B1110" s="98" t="str">
        <f t="array" ref="B1110">_xlfn.XLOOKUP(A1110,'Video Database'!L:L,'Video Database'!D:D,"")</f>
        <v>Erin</v>
      </c>
      <c r="C1110" s="98" t="str">
        <f t="array" ref="C1110">_xlfn.XLOOKUP(A1110,'Video Database'!L:L,'Video Database'!E:E,"")</f>
        <v>Account 4</v>
      </c>
      <c r="D1110" s="99" t="str">
        <f t="array" ref="D1110">_xlfn.XLOOKUP(A1110,'Video Database'!L:L,'Video Database'!G:G,"")</f>
        <v>Medicube Kojic Accid Tumeric Pads</v>
      </c>
      <c r="E1110" s="100">
        <f t="array" ref="E1110">_xlfn.XLOOKUP(A1110,'Video Database'!L:L,'Video Database'!H:H,"")</f>
        <v>0.7337</v>
      </c>
      <c r="F1110" s="101">
        <v>0.0</v>
      </c>
      <c r="G1110" s="87">
        <v>0.0</v>
      </c>
      <c r="H1110" s="114">
        <f t="array" ref="H1110">_xlfn.XLOOKUP(A1110,'Video Database'!L:L,'Video Database'!A:A,"")</f>
        <v>46201</v>
      </c>
      <c r="I1110" s="103">
        <v>46201.0</v>
      </c>
      <c r="J1110" s="104">
        <v>0.0</v>
      </c>
      <c r="K1110" s="105"/>
      <c r="L1110" s="105" t="str">
        <f t="shared" si="1"/>
        <v/>
      </c>
      <c r="O1110" s="106" t="str">
        <f t="shared" si="2"/>
        <v>#N/A</v>
      </c>
      <c r="P1110" s="106" t="str">
        <f t="shared" si="3"/>
        <v>#N/A</v>
      </c>
      <c r="Q1110" s="84" t="str">
        <f t="shared" si="4"/>
        <v>#N/A</v>
      </c>
      <c r="R1110" s="84" t="str">
        <f t="shared" si="5"/>
        <v>#N/A</v>
      </c>
      <c r="S1110" s="107">
        <f t="shared" si="6"/>
        <v>-0.7337</v>
      </c>
      <c r="T1110" s="108">
        <f t="shared" si="7"/>
        <v>-1</v>
      </c>
      <c r="U1110" s="106" t="str">
        <f t="shared" si="8"/>
        <v>#N/A</v>
      </c>
      <c r="V1110" s="84" t="str">
        <f t="shared" si="9"/>
        <v/>
      </c>
      <c r="W1110" s="109" t="str">
        <f t="shared" si="10"/>
        <v/>
      </c>
      <c r="X1110" s="109" t="str">
        <f t="shared" si="11"/>
        <v/>
      </c>
      <c r="Y1110" s="110" t="str">
        <f t="array" ref="Y1110">_xlfn.XLOOKUP(A1110,'Video Database'!L:L,'Video Database'!M:M,"")</f>
        <v>Bottom of Funnel</v>
      </c>
    </row>
    <row r="1111" ht="22.5" customHeight="1">
      <c r="A1111" s="113">
        <f t="shared" si="12"/>
        <v>1110</v>
      </c>
      <c r="B1111" s="98" t="str">
        <f t="array" ref="B1111">_xlfn.XLOOKUP(A1111,'Video Database'!L:L,'Video Database'!D:D,"")</f>
        <v>Erin</v>
      </c>
      <c r="C1111" s="98" t="str">
        <f t="array" ref="C1111">_xlfn.XLOOKUP(A1111,'Video Database'!L:L,'Video Database'!E:E,"")</f>
        <v>Account 4</v>
      </c>
      <c r="D1111" s="99" t="str">
        <f t="array" ref="D1111">_xlfn.XLOOKUP(A1111,'Video Database'!L:L,'Video Database'!G:G,"")</f>
        <v>Medicube Kojic Accid Tumeric Pads</v>
      </c>
      <c r="E1111" s="100">
        <f t="array" ref="E1111">_xlfn.XLOOKUP(A1111,'Video Database'!L:L,'Video Database'!H:H,"")</f>
        <v>0.7337</v>
      </c>
      <c r="F1111" s="101">
        <v>0.0</v>
      </c>
      <c r="G1111" s="87">
        <v>0.0</v>
      </c>
      <c r="H1111" s="114">
        <f t="array" ref="H1111">_xlfn.XLOOKUP(A1111,'Video Database'!L:L,'Video Database'!A:A,"")</f>
        <v>46201</v>
      </c>
      <c r="I1111" s="103">
        <v>46201.0</v>
      </c>
      <c r="J1111" s="104">
        <v>0.0</v>
      </c>
      <c r="K1111" s="105"/>
      <c r="L1111" s="105" t="str">
        <f t="shared" si="1"/>
        <v/>
      </c>
      <c r="O1111" s="106" t="str">
        <f t="shared" si="2"/>
        <v>#N/A</v>
      </c>
      <c r="P1111" s="106" t="str">
        <f t="shared" si="3"/>
        <v>#N/A</v>
      </c>
      <c r="Q1111" s="84" t="str">
        <f t="shared" si="4"/>
        <v>#N/A</v>
      </c>
      <c r="R1111" s="84" t="str">
        <f t="shared" si="5"/>
        <v>#N/A</v>
      </c>
      <c r="S1111" s="107">
        <f t="shared" si="6"/>
        <v>-0.7337</v>
      </c>
      <c r="T1111" s="108">
        <f t="shared" si="7"/>
        <v>-1</v>
      </c>
      <c r="U1111" s="106" t="str">
        <f t="shared" si="8"/>
        <v>#N/A</v>
      </c>
      <c r="V1111" s="84" t="str">
        <f t="shared" si="9"/>
        <v/>
      </c>
      <c r="W1111" s="109" t="str">
        <f t="shared" si="10"/>
        <v/>
      </c>
      <c r="X1111" s="109" t="str">
        <f t="shared" si="11"/>
        <v/>
      </c>
      <c r="Y1111" s="110" t="str">
        <f t="array" ref="Y1111">_xlfn.XLOOKUP(A1111,'Video Database'!L:L,'Video Database'!M:M,"")</f>
        <v>Bottom of Funnel</v>
      </c>
    </row>
    <row r="1112" ht="22.5" customHeight="1">
      <c r="A1112" s="113">
        <f t="shared" si="12"/>
        <v>1111</v>
      </c>
      <c r="B1112" s="98" t="str">
        <f t="array" ref="B1112">_xlfn.XLOOKUP(A1112,'Video Database'!L:L,'Video Database'!D:D,"")</f>
        <v>Erin</v>
      </c>
      <c r="C1112" s="98" t="str">
        <f t="array" ref="C1112">_xlfn.XLOOKUP(A1112,'Video Database'!L:L,'Video Database'!E:E,"")</f>
        <v>Account 4</v>
      </c>
      <c r="D1112" s="99" t="str">
        <f t="array" ref="D1112">_xlfn.XLOOKUP(A1112,'Video Database'!L:L,'Video Database'!G:G,"")</f>
        <v>Medicube Kojic Accid Tumeric Pads</v>
      </c>
      <c r="E1112" s="100">
        <f t="array" ref="E1112">_xlfn.XLOOKUP(A1112,'Video Database'!L:L,'Video Database'!H:H,"")</f>
        <v>0.7337</v>
      </c>
      <c r="F1112" s="101">
        <v>0.0</v>
      </c>
      <c r="G1112" s="87">
        <v>0.0</v>
      </c>
      <c r="H1112" s="114">
        <f t="array" ref="H1112">_xlfn.XLOOKUP(A1112,'Video Database'!L:L,'Video Database'!A:A,"")</f>
        <v>46201</v>
      </c>
      <c r="I1112" s="103">
        <v>46201.0</v>
      </c>
      <c r="J1112" s="104">
        <v>0.0</v>
      </c>
      <c r="K1112" s="105"/>
      <c r="L1112" s="105" t="str">
        <f t="shared" si="1"/>
        <v/>
      </c>
      <c r="O1112" s="106" t="str">
        <f t="shared" si="2"/>
        <v>#N/A</v>
      </c>
      <c r="P1112" s="106" t="str">
        <f t="shared" si="3"/>
        <v>#N/A</v>
      </c>
      <c r="Q1112" s="84" t="str">
        <f t="shared" si="4"/>
        <v>#N/A</v>
      </c>
      <c r="R1112" s="84" t="str">
        <f t="shared" si="5"/>
        <v>#N/A</v>
      </c>
      <c r="S1112" s="107">
        <f t="shared" si="6"/>
        <v>-0.7337</v>
      </c>
      <c r="T1112" s="108">
        <f t="shared" si="7"/>
        <v>-1</v>
      </c>
      <c r="U1112" s="106" t="str">
        <f t="shared" si="8"/>
        <v>#N/A</v>
      </c>
      <c r="V1112" s="84" t="str">
        <f t="shared" si="9"/>
        <v/>
      </c>
      <c r="W1112" s="109" t="str">
        <f t="shared" si="10"/>
        <v/>
      </c>
      <c r="X1112" s="109" t="str">
        <f t="shared" si="11"/>
        <v/>
      </c>
      <c r="Y1112" s="110" t="str">
        <f t="array" ref="Y1112">_xlfn.XLOOKUP(A1112,'Video Database'!L:L,'Video Database'!M:M,"")</f>
        <v>Bottom of Funnel</v>
      </c>
    </row>
    <row r="1113" ht="22.5" customHeight="1">
      <c r="A1113" s="113">
        <f t="shared" si="12"/>
        <v>1112</v>
      </c>
      <c r="B1113" s="98" t="str">
        <f t="array" ref="B1113">_xlfn.XLOOKUP(A1113,'Video Database'!L:L,'Video Database'!D:D,"")</f>
        <v>Erin</v>
      </c>
      <c r="C1113" s="98" t="str">
        <f t="array" ref="C1113">_xlfn.XLOOKUP(A1113,'Video Database'!L:L,'Video Database'!E:E,"")</f>
        <v>Account 4</v>
      </c>
      <c r="D1113" s="99" t="str">
        <f t="array" ref="D1113">_xlfn.XLOOKUP(A1113,'Video Database'!L:L,'Video Database'!G:G,"")</f>
        <v>Camellia Deep Collagen Lifting Gel Mask</v>
      </c>
      <c r="E1113" s="100">
        <f t="array" ref="E1113">_xlfn.XLOOKUP(A1113,'Video Database'!L:L,'Video Database'!H:H,"")</f>
        <v>0.7337</v>
      </c>
      <c r="F1113" s="101">
        <v>0.0</v>
      </c>
      <c r="G1113" s="87">
        <v>0.0</v>
      </c>
      <c r="H1113" s="114">
        <f t="array" ref="H1113">_xlfn.XLOOKUP(A1113,'Video Database'!L:L,'Video Database'!A:A,"")</f>
        <v>46201</v>
      </c>
      <c r="I1113" s="103">
        <v>46201.0</v>
      </c>
      <c r="J1113" s="104">
        <v>0.0</v>
      </c>
      <c r="K1113" s="105"/>
      <c r="L1113" s="105" t="str">
        <f t="shared" si="1"/>
        <v/>
      </c>
      <c r="O1113" s="106" t="str">
        <f t="shared" si="2"/>
        <v>#N/A</v>
      </c>
      <c r="P1113" s="106" t="str">
        <f t="shared" si="3"/>
        <v>#N/A</v>
      </c>
      <c r="Q1113" s="84" t="str">
        <f t="shared" si="4"/>
        <v>#N/A</v>
      </c>
      <c r="R1113" s="84" t="str">
        <f t="shared" si="5"/>
        <v>#N/A</v>
      </c>
      <c r="S1113" s="107">
        <f t="shared" si="6"/>
        <v>-0.7337</v>
      </c>
      <c r="T1113" s="108">
        <f t="shared" si="7"/>
        <v>-1</v>
      </c>
      <c r="U1113" s="106" t="str">
        <f t="shared" si="8"/>
        <v>#N/A</v>
      </c>
      <c r="V1113" s="84" t="str">
        <f t="shared" si="9"/>
        <v/>
      </c>
      <c r="W1113" s="109" t="str">
        <f t="shared" si="10"/>
        <v/>
      </c>
      <c r="X1113" s="109" t="str">
        <f t="shared" si="11"/>
        <v/>
      </c>
      <c r="Y1113" s="110" t="str">
        <f t="array" ref="Y1113">_xlfn.XLOOKUP(A1113,'Video Database'!L:L,'Video Database'!M:M,"")</f>
        <v>Bottom of Funnel</v>
      </c>
    </row>
    <row r="1114" ht="22.5" customHeight="1">
      <c r="A1114" s="113">
        <f t="shared" si="12"/>
        <v>1113</v>
      </c>
      <c r="B1114" s="98" t="str">
        <f t="array" ref="B1114">_xlfn.XLOOKUP(A1114,'Video Database'!L:L,'Video Database'!D:D,"")</f>
        <v>Charley</v>
      </c>
      <c r="C1114" s="98" t="str">
        <f t="array" ref="C1114">_xlfn.XLOOKUP(A1114,'Video Database'!L:L,'Video Database'!E:E,"")</f>
        <v>Account 1</v>
      </c>
      <c r="D1114" s="99" t="str">
        <f t="array" ref="D1114">_xlfn.XLOOKUP(A1114,'Video Database'!L:L,'Video Database'!G:G,"")</f>
        <v>COSRX US Lifting Hydrogel Mask</v>
      </c>
      <c r="E1114" s="100">
        <f t="array" ref="E1114">_xlfn.XLOOKUP(A1114,'Video Database'!L:L,'Video Database'!H:H,"")</f>
        <v>1.1</v>
      </c>
      <c r="F1114" s="101"/>
      <c r="G1114" s="87"/>
      <c r="H1114" s="114">
        <f t="array" ref="H1114">_xlfn.XLOOKUP(A1114,'Video Database'!L:L,'Video Database'!A:A,"")</f>
        <v>46202</v>
      </c>
      <c r="I1114" s="103"/>
      <c r="J1114" s="104"/>
      <c r="K1114" s="105"/>
      <c r="L1114" s="105" t="str">
        <f t="shared" si="1"/>
        <v/>
      </c>
      <c r="O1114" s="106" t="str">
        <f t="shared" si="2"/>
        <v>#N/A</v>
      </c>
      <c r="P1114" s="106" t="str">
        <f t="shared" si="3"/>
        <v>#N/A</v>
      </c>
      <c r="Q1114" s="84" t="str">
        <f t="shared" si="4"/>
        <v>#N/A</v>
      </c>
      <c r="R1114" s="84" t="str">
        <f t="shared" si="5"/>
        <v>#N/A</v>
      </c>
      <c r="S1114" s="107">
        <f t="shared" si="6"/>
        <v>-1.1</v>
      </c>
      <c r="T1114" s="108">
        <f t="shared" si="7"/>
        <v>-1</v>
      </c>
      <c r="U1114" s="106" t="str">
        <f t="shared" si="8"/>
        <v>#N/A</v>
      </c>
      <c r="V1114" s="84" t="str">
        <f t="shared" si="9"/>
        <v/>
      </c>
      <c r="W1114" s="109" t="str">
        <f t="shared" si="10"/>
        <v/>
      </c>
      <c r="X1114" s="109" t="str">
        <f t="shared" si="11"/>
        <v/>
      </c>
      <c r="Y1114" s="110" t="str">
        <f t="array" ref="Y1114">_xlfn.XLOOKUP(A1114,'Video Database'!L:L,'Video Database'!M:M,"")</f>
        <v>Middle of Funnel</v>
      </c>
    </row>
    <row r="1115" ht="22.5" customHeight="1">
      <c r="A1115" s="113">
        <f t="shared" si="12"/>
        <v>1114</v>
      </c>
      <c r="B1115" s="98" t="str">
        <f t="array" ref="B1115">_xlfn.XLOOKUP(A1115,'Video Database'!L:L,'Video Database'!D:D,"")</f>
        <v>Erin</v>
      </c>
      <c r="C1115" s="98" t="str">
        <f t="array" ref="C1115">_xlfn.XLOOKUP(A1115,'Video Database'!L:L,'Video Database'!E:E,"")</f>
        <v>Account 1</v>
      </c>
      <c r="D1115" s="99" t="str">
        <f t="array" ref="D1115">_xlfn.XLOOKUP(A1115,'Video Database'!L:L,'Video Database'!G:G,"")</f>
        <v>Carovo Hoop Earrings Set</v>
      </c>
      <c r="E1115" s="100">
        <f t="array" ref="E1115">_xlfn.XLOOKUP(A1115,'Video Database'!L:L,'Video Database'!H:H,"")</f>
        <v>0.7337</v>
      </c>
      <c r="F1115" s="101"/>
      <c r="G1115" s="87"/>
      <c r="H1115" s="114">
        <f t="array" ref="H1115">_xlfn.XLOOKUP(A1115,'Video Database'!L:L,'Video Database'!A:A,"")</f>
        <v>46202</v>
      </c>
      <c r="I1115" s="103"/>
      <c r="J1115" s="104"/>
      <c r="K1115" s="105"/>
      <c r="L1115" s="105" t="str">
        <f t="shared" si="1"/>
        <v/>
      </c>
      <c r="O1115" s="106" t="str">
        <f t="shared" si="2"/>
        <v>#N/A</v>
      </c>
      <c r="P1115" s="106" t="str">
        <f t="shared" si="3"/>
        <v>#N/A</v>
      </c>
      <c r="Q1115" s="84" t="str">
        <f t="shared" si="4"/>
        <v>#N/A</v>
      </c>
      <c r="R1115" s="84" t="str">
        <f t="shared" si="5"/>
        <v>#N/A</v>
      </c>
      <c r="S1115" s="107">
        <f t="shared" si="6"/>
        <v>-0.7337</v>
      </c>
      <c r="T1115" s="108">
        <f t="shared" si="7"/>
        <v>-1</v>
      </c>
      <c r="U1115" s="106" t="str">
        <f t="shared" si="8"/>
        <v>#N/A</v>
      </c>
      <c r="V1115" s="84" t="str">
        <f t="shared" si="9"/>
        <v/>
      </c>
      <c r="W1115" s="109" t="str">
        <f t="shared" si="10"/>
        <v/>
      </c>
      <c r="X1115" s="109" t="str">
        <f t="shared" si="11"/>
        <v/>
      </c>
      <c r="Y1115" s="110" t="str">
        <f t="array" ref="Y1115">_xlfn.XLOOKUP(A1115,'Video Database'!L:L,'Video Database'!M:M,"")</f>
        <v>Bottom of Funnel</v>
      </c>
    </row>
    <row r="1116" ht="22.5" customHeight="1">
      <c r="A1116" s="113">
        <f t="shared" si="12"/>
        <v>1115</v>
      </c>
      <c r="B1116" s="98" t="str">
        <f t="array" ref="B1116">_xlfn.XLOOKUP(A1116,'Video Database'!L:L,'Video Database'!D:D,"")</f>
        <v>Erin</v>
      </c>
      <c r="C1116" s="98" t="str">
        <f t="array" ref="C1116">_xlfn.XLOOKUP(A1116,'Video Database'!L:L,'Video Database'!E:E,"")</f>
        <v>Account 1</v>
      </c>
      <c r="D1116" s="99" t="str">
        <f t="array" ref="D1116">_xlfn.XLOOKUP(A1116,'Video Database'!L:L,'Video Database'!G:G,"")</f>
        <v>Medicube Kojic Accid Tumeric Pads</v>
      </c>
      <c r="E1116" s="100">
        <f t="array" ref="E1116">_xlfn.XLOOKUP(A1116,'Video Database'!L:L,'Video Database'!H:H,"")</f>
        <v>0.7337</v>
      </c>
      <c r="F1116" s="101"/>
      <c r="G1116" s="87"/>
      <c r="H1116" s="114">
        <f t="array" ref="H1116">_xlfn.XLOOKUP(A1116,'Video Database'!L:L,'Video Database'!A:A,"")</f>
        <v>46202</v>
      </c>
      <c r="I1116" s="103"/>
      <c r="J1116" s="104"/>
      <c r="K1116" s="105"/>
      <c r="L1116" s="105" t="str">
        <f t="shared" si="1"/>
        <v/>
      </c>
      <c r="O1116" s="106" t="str">
        <f t="shared" si="2"/>
        <v>#N/A</v>
      </c>
      <c r="P1116" s="106" t="str">
        <f t="shared" si="3"/>
        <v>#N/A</v>
      </c>
      <c r="Q1116" s="84" t="str">
        <f t="shared" si="4"/>
        <v>#N/A</v>
      </c>
      <c r="R1116" s="84" t="str">
        <f t="shared" si="5"/>
        <v>#N/A</v>
      </c>
      <c r="S1116" s="107">
        <f t="shared" si="6"/>
        <v>-0.7337</v>
      </c>
      <c r="T1116" s="108">
        <f t="shared" si="7"/>
        <v>-1</v>
      </c>
      <c r="U1116" s="106" t="str">
        <f t="shared" si="8"/>
        <v>#N/A</v>
      </c>
      <c r="V1116" s="84" t="str">
        <f t="shared" si="9"/>
        <v/>
      </c>
      <c r="W1116" s="109" t="str">
        <f t="shared" si="10"/>
        <v/>
      </c>
      <c r="X1116" s="109" t="str">
        <f t="shared" si="11"/>
        <v/>
      </c>
      <c r="Y1116" s="110" t="str">
        <f t="array" ref="Y1116">_xlfn.XLOOKUP(A1116,'Video Database'!L:L,'Video Database'!M:M,"")</f>
        <v>Bottom of Funnel</v>
      </c>
    </row>
    <row r="1117" ht="22.5" customHeight="1">
      <c r="A1117" s="113">
        <f t="shared" si="12"/>
        <v>1116</v>
      </c>
      <c r="B1117" s="98" t="str">
        <f t="array" ref="B1117">_xlfn.XLOOKUP(A1117,'Video Database'!L:L,'Video Database'!D:D,"")</f>
        <v>Sierra</v>
      </c>
      <c r="C1117" s="98" t="str">
        <f t="array" ref="C1117">_xlfn.XLOOKUP(A1117,'Video Database'!L:L,'Video Database'!E:E,"")</f>
        <v>Account 1</v>
      </c>
      <c r="D1117" s="99" t="str">
        <f t="array" ref="D1117">_xlfn.XLOOKUP(A1117,'Video Database'!L:L,'Video Database'!G:G,"")</f>
        <v>SKIN1004 Hyla-Cica Water Fit Sunscreen</v>
      </c>
      <c r="E1117" s="100">
        <f t="array" ref="E1117">_xlfn.XLOOKUP(A1117,'Video Database'!L:L,'Video Database'!H:H,"")</f>
        <v>1.1</v>
      </c>
      <c r="F1117" s="101"/>
      <c r="G1117" s="87"/>
      <c r="H1117" s="114">
        <f t="array" ref="H1117">_xlfn.XLOOKUP(A1117,'Video Database'!L:L,'Video Database'!A:A,"")</f>
        <v>46202</v>
      </c>
      <c r="I1117" s="103"/>
      <c r="J1117" s="104"/>
      <c r="K1117" s="105"/>
      <c r="L1117" s="105" t="str">
        <f t="shared" si="1"/>
        <v/>
      </c>
      <c r="O1117" s="106" t="str">
        <f t="shared" si="2"/>
        <v>#N/A</v>
      </c>
      <c r="P1117" s="106" t="str">
        <f t="shared" si="3"/>
        <v>#N/A</v>
      </c>
      <c r="Q1117" s="84" t="str">
        <f t="shared" si="4"/>
        <v>#N/A</v>
      </c>
      <c r="R1117" s="84" t="str">
        <f t="shared" si="5"/>
        <v>#N/A</v>
      </c>
      <c r="S1117" s="107">
        <f t="shared" si="6"/>
        <v>-1.1</v>
      </c>
      <c r="T1117" s="108">
        <f t="shared" si="7"/>
        <v>-1</v>
      </c>
      <c r="U1117" s="106" t="str">
        <f t="shared" si="8"/>
        <v>#N/A</v>
      </c>
      <c r="V1117" s="84" t="str">
        <f t="shared" si="9"/>
        <v/>
      </c>
      <c r="W1117" s="109" t="str">
        <f t="shared" si="10"/>
        <v/>
      </c>
      <c r="X1117" s="109" t="str">
        <f t="shared" si="11"/>
        <v/>
      </c>
      <c r="Y1117" s="110" t="str">
        <f t="array" ref="Y1117">_xlfn.XLOOKUP(A1117,'Video Database'!L:L,'Video Database'!M:M,"")</f>
        <v>Middle of Funnel</v>
      </c>
    </row>
    <row r="1118" ht="22.5" customHeight="1">
      <c r="A1118" s="113">
        <f t="shared" si="12"/>
        <v>1117</v>
      </c>
      <c r="B1118" s="98" t="str">
        <f t="array" ref="B1118">_xlfn.XLOOKUP(A1118,'Video Database'!L:L,'Video Database'!D:D,"")</f>
        <v>Erin</v>
      </c>
      <c r="C1118" s="98" t="str">
        <f t="array" ref="C1118">_xlfn.XLOOKUP(A1118,'Video Database'!L:L,'Video Database'!E:E,"")</f>
        <v>Account 1</v>
      </c>
      <c r="D1118" s="99" t="str">
        <f t="array" ref="D1118">_xlfn.XLOOKUP(A1118,'Video Database'!L:L,'Video Database'!G:G,"")</f>
        <v>XL Microfiber Towel</v>
      </c>
      <c r="E1118" s="100">
        <f t="array" ref="E1118">_xlfn.XLOOKUP(A1118,'Video Database'!L:L,'Video Database'!H:H,"")</f>
        <v>0.7337</v>
      </c>
      <c r="F1118" s="101"/>
      <c r="G1118" s="87"/>
      <c r="H1118" s="114">
        <f t="array" ref="H1118">_xlfn.XLOOKUP(A1118,'Video Database'!L:L,'Video Database'!A:A,"")</f>
        <v>46202</v>
      </c>
      <c r="I1118" s="103"/>
      <c r="J1118" s="104"/>
      <c r="K1118" s="105"/>
      <c r="L1118" s="105" t="str">
        <f t="shared" si="1"/>
        <v/>
      </c>
      <c r="O1118" s="106" t="str">
        <f t="shared" si="2"/>
        <v>#N/A</v>
      </c>
      <c r="P1118" s="106" t="str">
        <f t="shared" si="3"/>
        <v>#N/A</v>
      </c>
      <c r="Q1118" s="84" t="str">
        <f t="shared" si="4"/>
        <v>#N/A</v>
      </c>
      <c r="R1118" s="84" t="str">
        <f t="shared" si="5"/>
        <v>#N/A</v>
      </c>
      <c r="S1118" s="107">
        <f t="shared" si="6"/>
        <v>-0.7337</v>
      </c>
      <c r="T1118" s="108">
        <f t="shared" si="7"/>
        <v>-1</v>
      </c>
      <c r="U1118" s="106" t="str">
        <f t="shared" si="8"/>
        <v>#N/A</v>
      </c>
      <c r="V1118" s="84" t="str">
        <f t="shared" si="9"/>
        <v/>
      </c>
      <c r="W1118" s="109" t="str">
        <f t="shared" si="10"/>
        <v/>
      </c>
      <c r="X1118" s="109" t="str">
        <f t="shared" si="11"/>
        <v/>
      </c>
      <c r="Y1118" s="110" t="str">
        <f t="array" ref="Y1118">_xlfn.XLOOKUP(A1118,'Video Database'!L:L,'Video Database'!M:M,"")</f>
        <v>Bottom of Funnel</v>
      </c>
    </row>
    <row r="1119" ht="22.5" customHeight="1">
      <c r="A1119" s="113">
        <f t="shared" si="12"/>
        <v>1118</v>
      </c>
      <c r="B1119" s="98" t="str">
        <f t="array" ref="B1119">_xlfn.XLOOKUP(A1119,'Video Database'!L:L,'Video Database'!D:D,"")</f>
        <v>Erin</v>
      </c>
      <c r="C1119" s="98" t="str">
        <f t="array" ref="C1119">_xlfn.XLOOKUP(A1119,'Video Database'!L:L,'Video Database'!E:E,"")</f>
        <v>Account 1</v>
      </c>
      <c r="D1119" s="99" t="str">
        <f t="array" ref="D1119">_xlfn.XLOOKUP(A1119,'Video Database'!L:L,'Video Database'!G:G,"")</f>
        <v>Elegant Faux Pearl Set</v>
      </c>
      <c r="E1119" s="100">
        <f t="array" ref="E1119">_xlfn.XLOOKUP(A1119,'Video Database'!L:L,'Video Database'!H:H,"")</f>
        <v>0.7337</v>
      </c>
      <c r="F1119" s="101"/>
      <c r="G1119" s="87"/>
      <c r="H1119" s="114">
        <f t="array" ref="H1119">_xlfn.XLOOKUP(A1119,'Video Database'!L:L,'Video Database'!A:A,"")</f>
        <v>46202</v>
      </c>
      <c r="I1119" s="103"/>
      <c r="J1119" s="104"/>
      <c r="K1119" s="105"/>
      <c r="L1119" s="105" t="str">
        <f t="shared" si="1"/>
        <v/>
      </c>
      <c r="O1119" s="106" t="str">
        <f t="shared" si="2"/>
        <v>#N/A</v>
      </c>
      <c r="P1119" s="106" t="str">
        <f t="shared" si="3"/>
        <v>#N/A</v>
      </c>
      <c r="Q1119" s="84" t="str">
        <f t="shared" si="4"/>
        <v>#N/A</v>
      </c>
      <c r="R1119" s="84" t="str">
        <f t="shared" si="5"/>
        <v>#N/A</v>
      </c>
      <c r="S1119" s="107">
        <f t="shared" si="6"/>
        <v>-0.7337</v>
      </c>
      <c r="T1119" s="108">
        <f t="shared" si="7"/>
        <v>-1</v>
      </c>
      <c r="U1119" s="106" t="str">
        <f t="shared" si="8"/>
        <v>#N/A</v>
      </c>
      <c r="V1119" s="84" t="str">
        <f t="shared" si="9"/>
        <v/>
      </c>
      <c r="W1119" s="109" t="str">
        <f t="shared" si="10"/>
        <v/>
      </c>
      <c r="X1119" s="109" t="str">
        <f t="shared" si="11"/>
        <v/>
      </c>
      <c r="Y1119" s="110" t="str">
        <f t="array" ref="Y1119">_xlfn.XLOOKUP(A1119,'Video Database'!L:L,'Video Database'!M:M,"")</f>
        <v>Bottom of Funnel</v>
      </c>
    </row>
    <row r="1120" ht="22.5" customHeight="1">
      <c r="A1120" s="113">
        <f t="shared" si="12"/>
        <v>1119</v>
      </c>
      <c r="B1120" s="98" t="str">
        <f t="array" ref="B1120">_xlfn.XLOOKUP(A1120,'Video Database'!L:L,'Video Database'!D:D,"")</f>
        <v>Addison</v>
      </c>
      <c r="C1120" s="98" t="str">
        <f t="array" ref="C1120">_xlfn.XLOOKUP(A1120,'Video Database'!L:L,'Video Database'!E:E,"")</f>
        <v>Account 1</v>
      </c>
      <c r="D1120" s="99" t="str">
        <f t="array" ref="D1120">_xlfn.XLOOKUP(A1120,'Video Database'!L:L,'Video Database'!G:G,"")</f>
        <v>TIRTIR Hydro UV Shield Sunscreen</v>
      </c>
      <c r="E1120" s="100">
        <f t="array" ref="E1120">_xlfn.XLOOKUP(A1120,'Video Database'!L:L,'Video Database'!H:H,"")</f>
        <v>1.1</v>
      </c>
      <c r="F1120" s="101"/>
      <c r="G1120" s="87"/>
      <c r="H1120" s="114">
        <f t="array" ref="H1120">_xlfn.XLOOKUP(A1120,'Video Database'!L:L,'Video Database'!A:A,"")</f>
        <v>46202</v>
      </c>
      <c r="I1120" s="103"/>
      <c r="J1120" s="104"/>
      <c r="K1120" s="105"/>
      <c r="L1120" s="105" t="str">
        <f t="shared" si="1"/>
        <v/>
      </c>
      <c r="O1120" s="106" t="str">
        <f t="shared" si="2"/>
        <v>#N/A</v>
      </c>
      <c r="P1120" s="106" t="str">
        <f t="shared" si="3"/>
        <v>#N/A</v>
      </c>
      <c r="Q1120" s="84" t="str">
        <f t="shared" si="4"/>
        <v>#N/A</v>
      </c>
      <c r="R1120" s="84" t="str">
        <f t="shared" si="5"/>
        <v>#N/A</v>
      </c>
      <c r="S1120" s="107">
        <f t="shared" si="6"/>
        <v>-1.1</v>
      </c>
      <c r="T1120" s="108">
        <f t="shared" si="7"/>
        <v>-1</v>
      </c>
      <c r="U1120" s="106" t="str">
        <f t="shared" si="8"/>
        <v>#N/A</v>
      </c>
      <c r="V1120" s="84" t="str">
        <f t="shared" si="9"/>
        <v/>
      </c>
      <c r="W1120" s="109" t="str">
        <f t="shared" si="10"/>
        <v/>
      </c>
      <c r="X1120" s="109" t="str">
        <f t="shared" si="11"/>
        <v/>
      </c>
      <c r="Y1120" s="110" t="str">
        <f t="array" ref="Y1120">_xlfn.XLOOKUP(A1120,'Video Database'!L:L,'Video Database'!M:M,"")</f>
        <v>Middle of Funnel</v>
      </c>
    </row>
    <row r="1121" ht="22.5" customHeight="1">
      <c r="A1121" s="113">
        <f t="shared" si="12"/>
        <v>1120</v>
      </c>
      <c r="B1121" s="98" t="str">
        <f t="array" ref="B1121">_xlfn.XLOOKUP(A1121,'Video Database'!L:L,'Video Database'!D:D,"")</f>
        <v>Brittney</v>
      </c>
      <c r="C1121" s="98" t="str">
        <f t="array" ref="C1121">_xlfn.XLOOKUP(A1121,'Video Database'!L:L,'Video Database'!E:E,"")</f>
        <v>Account 1</v>
      </c>
      <c r="D1121" s="99" t="str">
        <f t="array" ref="D1121">_xlfn.XLOOKUP(A1121,'Video Database'!L:L,'Video Database'!G:G,"")</f>
        <v>Gruns Greens Popsicle Firecracker Gummies</v>
      </c>
      <c r="E1121" s="100">
        <f t="array" ref="E1121">_xlfn.XLOOKUP(A1121,'Video Database'!L:L,'Video Database'!H:H,"")</f>
        <v>0.11</v>
      </c>
      <c r="F1121" s="101"/>
      <c r="G1121" s="87"/>
      <c r="H1121" s="114">
        <f t="array" ref="H1121">_xlfn.XLOOKUP(A1121,'Video Database'!L:L,'Video Database'!A:A,"")</f>
        <v>46202</v>
      </c>
      <c r="I1121" s="103"/>
      <c r="J1121" s="104"/>
      <c r="K1121" s="105"/>
      <c r="L1121" s="105" t="str">
        <f t="shared" si="1"/>
        <v/>
      </c>
      <c r="O1121" s="106" t="str">
        <f t="shared" si="2"/>
        <v>#N/A</v>
      </c>
      <c r="P1121" s="106" t="str">
        <f t="shared" si="3"/>
        <v>#N/A</v>
      </c>
      <c r="Q1121" s="84" t="str">
        <f t="shared" si="4"/>
        <v>#N/A</v>
      </c>
      <c r="R1121" s="84" t="str">
        <f t="shared" si="5"/>
        <v>#N/A</v>
      </c>
      <c r="S1121" s="107">
        <f t="shared" si="6"/>
        <v>-0.11</v>
      </c>
      <c r="T1121" s="108">
        <f t="shared" si="7"/>
        <v>-1</v>
      </c>
      <c r="U1121" s="106" t="str">
        <f t="shared" si="8"/>
        <v>#N/A</v>
      </c>
      <c r="V1121" s="84" t="str">
        <f t="shared" si="9"/>
        <v/>
      </c>
      <c r="W1121" s="109" t="str">
        <f t="shared" si="10"/>
        <v/>
      </c>
      <c r="X1121" s="109" t="str">
        <f t="shared" si="11"/>
        <v/>
      </c>
      <c r="Y1121" s="110" t="str">
        <f t="array" ref="Y1121">_xlfn.XLOOKUP(A1121,'Video Database'!L:L,'Video Database'!M:M,"")</f>
        <v>Bottom of Funnel</v>
      </c>
    </row>
    <row r="1122" ht="22.5" customHeight="1">
      <c r="A1122" s="113">
        <f t="shared" si="12"/>
        <v>1121</v>
      </c>
      <c r="B1122" s="98" t="str">
        <f t="array" ref="B1122">_xlfn.XLOOKUP(A1122,'Video Database'!L:L,'Video Database'!D:D,"")</f>
        <v>Sierra</v>
      </c>
      <c r="C1122" s="98" t="str">
        <f t="array" ref="C1122">_xlfn.XLOOKUP(A1122,'Video Database'!L:L,'Video Database'!E:E,"")</f>
        <v>Account 1</v>
      </c>
      <c r="D1122" s="99" t="str">
        <f t="array" ref="D1122">_xlfn.XLOOKUP(A1122,'Video Database'!L:L,'Video Database'!G:G,"")</f>
        <v>SKIN1004 Hyla-Cica Water Fit Sunscreen</v>
      </c>
      <c r="E1122" s="100">
        <f t="array" ref="E1122">_xlfn.XLOOKUP(A1122,'Video Database'!L:L,'Video Database'!H:H,"")</f>
        <v>1.1</v>
      </c>
      <c r="F1122" s="101"/>
      <c r="G1122" s="87"/>
      <c r="H1122" s="114">
        <f t="array" ref="H1122">_xlfn.XLOOKUP(A1122,'Video Database'!L:L,'Video Database'!A:A,"")</f>
        <v>46202</v>
      </c>
      <c r="I1122" s="103"/>
      <c r="J1122" s="104"/>
      <c r="K1122" s="105"/>
      <c r="L1122" s="105" t="str">
        <f t="shared" si="1"/>
        <v/>
      </c>
      <c r="O1122" s="106" t="str">
        <f t="shared" si="2"/>
        <v>#N/A</v>
      </c>
      <c r="P1122" s="106" t="str">
        <f t="shared" si="3"/>
        <v>#N/A</v>
      </c>
      <c r="Q1122" s="84" t="str">
        <f t="shared" si="4"/>
        <v>#N/A</v>
      </c>
      <c r="R1122" s="84" t="str">
        <f t="shared" si="5"/>
        <v>#N/A</v>
      </c>
      <c r="S1122" s="107">
        <f t="shared" si="6"/>
        <v>-1.1</v>
      </c>
      <c r="T1122" s="108">
        <f t="shared" si="7"/>
        <v>-1</v>
      </c>
      <c r="U1122" s="106" t="str">
        <f t="shared" si="8"/>
        <v>#N/A</v>
      </c>
      <c r="V1122" s="84" t="str">
        <f t="shared" si="9"/>
        <v/>
      </c>
      <c r="W1122" s="109" t="str">
        <f t="shared" si="10"/>
        <v/>
      </c>
      <c r="X1122" s="109" t="str">
        <f t="shared" si="11"/>
        <v/>
      </c>
      <c r="Y1122" s="110" t="str">
        <f t="array" ref="Y1122">_xlfn.XLOOKUP(A1122,'Video Database'!L:L,'Video Database'!M:M,"")</f>
        <v>Middle of Funnel</v>
      </c>
    </row>
    <row r="1123" ht="22.5" customHeight="1">
      <c r="A1123" s="113">
        <f t="shared" si="12"/>
        <v>1122</v>
      </c>
      <c r="B1123" s="98" t="str">
        <f t="array" ref="B1123">_xlfn.XLOOKUP(A1123,'Video Database'!L:L,'Video Database'!D:D,"")</f>
        <v>Brittney</v>
      </c>
      <c r="C1123" s="98" t="str">
        <f t="array" ref="C1123">_xlfn.XLOOKUP(A1123,'Video Database'!L:L,'Video Database'!E:E,"")</f>
        <v>Account 1</v>
      </c>
      <c r="D1123" s="99" t="str">
        <f t="array" ref="D1123">_xlfn.XLOOKUP(A1123,'Video Database'!L:L,'Video Database'!G:G,"")</f>
        <v>Gruns Greens Popsicle Firecracker Gummies</v>
      </c>
      <c r="E1123" s="100">
        <f t="array" ref="E1123">_xlfn.XLOOKUP(A1123,'Video Database'!L:L,'Video Database'!H:H,"")</f>
        <v>0.11</v>
      </c>
      <c r="F1123" s="101"/>
      <c r="G1123" s="87"/>
      <c r="H1123" s="114">
        <f t="array" ref="H1123">_xlfn.XLOOKUP(A1123,'Video Database'!L:L,'Video Database'!A:A,"")</f>
        <v>46202</v>
      </c>
      <c r="I1123" s="103"/>
      <c r="J1123" s="104"/>
      <c r="K1123" s="105"/>
      <c r="L1123" s="105" t="str">
        <f t="shared" si="1"/>
        <v/>
      </c>
      <c r="O1123" s="106" t="str">
        <f t="shared" si="2"/>
        <v>#N/A</v>
      </c>
      <c r="P1123" s="106" t="str">
        <f t="shared" si="3"/>
        <v>#N/A</v>
      </c>
      <c r="Q1123" s="84" t="str">
        <f t="shared" si="4"/>
        <v>#N/A</v>
      </c>
      <c r="R1123" s="84" t="str">
        <f t="shared" si="5"/>
        <v>#N/A</v>
      </c>
      <c r="S1123" s="107">
        <f t="shared" si="6"/>
        <v>-0.11</v>
      </c>
      <c r="T1123" s="108">
        <f t="shared" si="7"/>
        <v>-1</v>
      </c>
      <c r="U1123" s="106" t="str">
        <f t="shared" si="8"/>
        <v>#N/A</v>
      </c>
      <c r="V1123" s="84" t="str">
        <f t="shared" si="9"/>
        <v/>
      </c>
      <c r="W1123" s="109" t="str">
        <f t="shared" si="10"/>
        <v/>
      </c>
      <c r="X1123" s="109" t="str">
        <f t="shared" si="11"/>
        <v/>
      </c>
      <c r="Y1123" s="110" t="str">
        <f t="array" ref="Y1123">_xlfn.XLOOKUP(A1123,'Video Database'!L:L,'Video Database'!M:M,"")</f>
        <v>Bottom of Funnel</v>
      </c>
    </row>
    <row r="1124" ht="22.5" customHeight="1">
      <c r="A1124" s="113">
        <f t="shared" si="12"/>
        <v>1123</v>
      </c>
      <c r="B1124" s="98" t="str">
        <f t="array" ref="B1124">_xlfn.XLOOKUP(A1124,'Video Database'!L:L,'Video Database'!D:D,"")</f>
        <v>Erin</v>
      </c>
      <c r="C1124" s="98" t="str">
        <f t="array" ref="C1124">_xlfn.XLOOKUP(A1124,'Video Database'!L:L,'Video Database'!E:E,"")</f>
        <v>Account 2</v>
      </c>
      <c r="D1124" s="99" t="str">
        <f t="array" ref="D1124">_xlfn.XLOOKUP(A1124,'Video Database'!L:L,'Video Database'!G:G,"")</f>
        <v>XL Microfiber Towel</v>
      </c>
      <c r="E1124" s="100">
        <f t="array" ref="E1124">_xlfn.XLOOKUP(A1124,'Video Database'!L:L,'Video Database'!H:H,"")</f>
        <v>0.7337</v>
      </c>
      <c r="F1124" s="101"/>
      <c r="G1124" s="87"/>
      <c r="H1124" s="114">
        <f t="array" ref="H1124">_xlfn.XLOOKUP(A1124,'Video Database'!L:L,'Video Database'!A:A,"")</f>
        <v>46202</v>
      </c>
      <c r="I1124" s="103"/>
      <c r="J1124" s="104"/>
      <c r="K1124" s="105"/>
      <c r="L1124" s="105" t="str">
        <f t="shared" si="1"/>
        <v/>
      </c>
      <c r="O1124" s="106" t="str">
        <f t="shared" si="2"/>
        <v>#N/A</v>
      </c>
      <c r="P1124" s="106" t="str">
        <f t="shared" si="3"/>
        <v>#N/A</v>
      </c>
      <c r="Q1124" s="84" t="str">
        <f t="shared" si="4"/>
        <v>#N/A</v>
      </c>
      <c r="R1124" s="84" t="str">
        <f t="shared" si="5"/>
        <v>#N/A</v>
      </c>
      <c r="S1124" s="107">
        <f t="shared" si="6"/>
        <v>-0.7337</v>
      </c>
      <c r="T1124" s="108">
        <f t="shared" si="7"/>
        <v>-1</v>
      </c>
      <c r="U1124" s="106" t="str">
        <f t="shared" si="8"/>
        <v>#N/A</v>
      </c>
      <c r="V1124" s="84" t="str">
        <f t="shared" si="9"/>
        <v/>
      </c>
      <c r="W1124" s="109" t="str">
        <f t="shared" si="10"/>
        <v/>
      </c>
      <c r="X1124" s="109" t="str">
        <f t="shared" si="11"/>
        <v/>
      </c>
      <c r="Y1124" s="110" t="str">
        <f t="array" ref="Y1124">_xlfn.XLOOKUP(A1124,'Video Database'!L:L,'Video Database'!M:M,"")</f>
        <v>Bottom of Funnel</v>
      </c>
    </row>
    <row r="1125" ht="22.5" customHeight="1">
      <c r="A1125" s="113">
        <f t="shared" si="12"/>
        <v>1124</v>
      </c>
      <c r="B1125" s="98" t="str">
        <f t="array" ref="B1125">_xlfn.XLOOKUP(A1125,'Video Database'!L:L,'Video Database'!D:D,"")</f>
        <v>Erin</v>
      </c>
      <c r="C1125" s="98" t="str">
        <f t="array" ref="C1125">_xlfn.XLOOKUP(A1125,'Video Database'!L:L,'Video Database'!E:E,"")</f>
        <v>Account 2</v>
      </c>
      <c r="D1125" s="99" t="str">
        <f t="array" ref="D1125">_xlfn.XLOOKUP(A1125,'Video Database'!L:L,'Video Database'!G:G,"")</f>
        <v>Elegant Faux Pearl Set</v>
      </c>
      <c r="E1125" s="100">
        <f t="array" ref="E1125">_xlfn.XLOOKUP(A1125,'Video Database'!L:L,'Video Database'!H:H,"")</f>
        <v>0.7337</v>
      </c>
      <c r="F1125" s="101"/>
      <c r="G1125" s="87"/>
      <c r="H1125" s="114">
        <f t="array" ref="H1125">_xlfn.XLOOKUP(A1125,'Video Database'!L:L,'Video Database'!A:A,"")</f>
        <v>46202</v>
      </c>
      <c r="I1125" s="103"/>
      <c r="J1125" s="104"/>
      <c r="K1125" s="105"/>
      <c r="L1125" s="105" t="str">
        <f t="shared" si="1"/>
        <v/>
      </c>
      <c r="O1125" s="106" t="str">
        <f t="shared" si="2"/>
        <v>#N/A</v>
      </c>
      <c r="P1125" s="106" t="str">
        <f t="shared" si="3"/>
        <v>#N/A</v>
      </c>
      <c r="Q1125" s="84" t="str">
        <f t="shared" si="4"/>
        <v>#N/A</v>
      </c>
      <c r="R1125" s="84" t="str">
        <f t="shared" si="5"/>
        <v>#N/A</v>
      </c>
      <c r="S1125" s="107">
        <f t="shared" si="6"/>
        <v>-0.7337</v>
      </c>
      <c r="T1125" s="108">
        <f t="shared" si="7"/>
        <v>-1</v>
      </c>
      <c r="U1125" s="106" t="str">
        <f t="shared" si="8"/>
        <v>#N/A</v>
      </c>
      <c r="V1125" s="84" t="str">
        <f t="shared" si="9"/>
        <v/>
      </c>
      <c r="W1125" s="109" t="str">
        <f t="shared" si="10"/>
        <v/>
      </c>
      <c r="X1125" s="109" t="str">
        <f t="shared" si="11"/>
        <v/>
      </c>
      <c r="Y1125" s="110" t="str">
        <f t="array" ref="Y1125">_xlfn.XLOOKUP(A1125,'Video Database'!L:L,'Video Database'!M:M,"")</f>
        <v>Bottom of Funnel</v>
      </c>
    </row>
    <row r="1126" ht="22.5" customHeight="1">
      <c r="A1126" s="113">
        <f t="shared" si="12"/>
        <v>1125</v>
      </c>
      <c r="B1126" s="98" t="str">
        <f t="array" ref="B1126">_xlfn.XLOOKUP(A1126,'Video Database'!L:L,'Video Database'!D:D,"")</f>
        <v>Brittney</v>
      </c>
      <c r="C1126" s="98" t="str">
        <f t="array" ref="C1126">_xlfn.XLOOKUP(A1126,'Video Database'!L:L,'Video Database'!E:E,"")</f>
        <v>Account 2</v>
      </c>
      <c r="D1126" s="99" t="str">
        <f t="array" ref="D1126">_xlfn.XLOOKUP(A1126,'Video Database'!L:L,'Video Database'!G:G,"")</f>
        <v>Gruns Greens Popsicle Firecracker Gummies</v>
      </c>
      <c r="E1126" s="100">
        <f t="array" ref="E1126">_xlfn.XLOOKUP(A1126,'Video Database'!L:L,'Video Database'!H:H,"")</f>
        <v>0.11</v>
      </c>
      <c r="F1126" s="101"/>
      <c r="G1126" s="87"/>
      <c r="H1126" s="114">
        <f t="array" ref="H1126">_xlfn.XLOOKUP(A1126,'Video Database'!L:L,'Video Database'!A:A,"")</f>
        <v>46202</v>
      </c>
      <c r="I1126" s="103"/>
      <c r="J1126" s="104"/>
      <c r="K1126" s="105"/>
      <c r="L1126" s="105" t="str">
        <f t="shared" si="1"/>
        <v/>
      </c>
      <c r="O1126" s="106" t="str">
        <f t="shared" si="2"/>
        <v>#N/A</v>
      </c>
      <c r="P1126" s="106" t="str">
        <f t="shared" si="3"/>
        <v>#N/A</v>
      </c>
      <c r="Q1126" s="84" t="str">
        <f t="shared" si="4"/>
        <v>#N/A</v>
      </c>
      <c r="R1126" s="84" t="str">
        <f t="shared" si="5"/>
        <v>#N/A</v>
      </c>
      <c r="S1126" s="107">
        <f t="shared" si="6"/>
        <v>-0.11</v>
      </c>
      <c r="T1126" s="108">
        <f t="shared" si="7"/>
        <v>-1</v>
      </c>
      <c r="U1126" s="106" t="str">
        <f t="shared" si="8"/>
        <v>#N/A</v>
      </c>
      <c r="V1126" s="84" t="str">
        <f t="shared" si="9"/>
        <v/>
      </c>
      <c r="W1126" s="109" t="str">
        <f t="shared" si="10"/>
        <v/>
      </c>
      <c r="X1126" s="109" t="str">
        <f t="shared" si="11"/>
        <v/>
      </c>
      <c r="Y1126" s="110" t="str">
        <f t="array" ref="Y1126">_xlfn.XLOOKUP(A1126,'Video Database'!L:L,'Video Database'!M:M,"")</f>
        <v>Bottom of Funnel</v>
      </c>
    </row>
    <row r="1127" ht="22.5" customHeight="1">
      <c r="A1127" s="113">
        <f t="shared" si="12"/>
        <v>1126</v>
      </c>
      <c r="B1127" s="98" t="str">
        <f t="array" ref="B1127">_xlfn.XLOOKUP(A1127,'Video Database'!L:L,'Video Database'!D:D,"")</f>
        <v>Sierra</v>
      </c>
      <c r="C1127" s="98" t="str">
        <f t="array" ref="C1127">_xlfn.XLOOKUP(A1127,'Video Database'!L:L,'Video Database'!E:E,"")</f>
        <v>Account 2</v>
      </c>
      <c r="D1127" s="99" t="str">
        <f t="array" ref="D1127">_xlfn.XLOOKUP(A1127,'Video Database'!L:L,'Video Database'!G:G,"")</f>
        <v>Taste Salud Skin + Beauty Drink Mix</v>
      </c>
      <c r="E1127" s="100">
        <f t="array" ref="E1127">_xlfn.XLOOKUP(A1127,'Video Database'!L:L,'Video Database'!H:H,"")</f>
        <v>1.1</v>
      </c>
      <c r="F1127" s="101"/>
      <c r="G1127" s="87"/>
      <c r="H1127" s="114">
        <f t="array" ref="H1127">_xlfn.XLOOKUP(A1127,'Video Database'!L:L,'Video Database'!A:A,"")</f>
        <v>46202</v>
      </c>
      <c r="I1127" s="103"/>
      <c r="J1127" s="104"/>
      <c r="K1127" s="105"/>
      <c r="L1127" s="105" t="str">
        <f t="shared" si="1"/>
        <v/>
      </c>
      <c r="O1127" s="106" t="str">
        <f t="shared" si="2"/>
        <v>#N/A</v>
      </c>
      <c r="P1127" s="106" t="str">
        <f t="shared" si="3"/>
        <v>#N/A</v>
      </c>
      <c r="Q1127" s="84" t="str">
        <f t="shared" si="4"/>
        <v>#N/A</v>
      </c>
      <c r="R1127" s="84" t="str">
        <f t="shared" si="5"/>
        <v>#N/A</v>
      </c>
      <c r="S1127" s="107">
        <f t="shared" si="6"/>
        <v>-1.1</v>
      </c>
      <c r="T1127" s="108">
        <f t="shared" si="7"/>
        <v>-1</v>
      </c>
      <c r="U1127" s="106" t="str">
        <f t="shared" si="8"/>
        <v>#N/A</v>
      </c>
      <c r="V1127" s="84" t="str">
        <f t="shared" si="9"/>
        <v/>
      </c>
      <c r="W1127" s="109" t="str">
        <f t="shared" si="10"/>
        <v/>
      </c>
      <c r="X1127" s="109" t="str">
        <f t="shared" si="11"/>
        <v/>
      </c>
      <c r="Y1127" s="110" t="str">
        <f t="array" ref="Y1127">_xlfn.XLOOKUP(A1127,'Video Database'!L:L,'Video Database'!M:M,"")</f>
        <v>Middle of Funnel</v>
      </c>
    </row>
    <row r="1128" ht="22.5" customHeight="1">
      <c r="A1128" s="113">
        <f t="shared" si="12"/>
        <v>1127</v>
      </c>
      <c r="B1128" s="98" t="str">
        <f t="array" ref="B1128">_xlfn.XLOOKUP(A1128,'Video Database'!L:L,'Video Database'!D:D,"")</f>
        <v>Erin</v>
      </c>
      <c r="C1128" s="98" t="str">
        <f t="array" ref="C1128">_xlfn.XLOOKUP(A1128,'Video Database'!L:L,'Video Database'!E:E,"")</f>
        <v>Account 2</v>
      </c>
      <c r="D1128" s="99" t="str">
        <f t="array" ref="D1128">_xlfn.XLOOKUP(A1128,'Video Database'!L:L,'Video Database'!G:G,"")</f>
        <v>Carovo Hoop Earrings Set</v>
      </c>
      <c r="E1128" s="100">
        <f t="array" ref="E1128">_xlfn.XLOOKUP(A1128,'Video Database'!L:L,'Video Database'!H:H,"")</f>
        <v>0.7337</v>
      </c>
      <c r="F1128" s="101"/>
      <c r="G1128" s="87"/>
      <c r="H1128" s="114">
        <f t="array" ref="H1128">_xlfn.XLOOKUP(A1128,'Video Database'!L:L,'Video Database'!A:A,"")</f>
        <v>46202</v>
      </c>
      <c r="I1128" s="103"/>
      <c r="J1128" s="104"/>
      <c r="K1128" s="105"/>
      <c r="L1128" s="105" t="str">
        <f t="shared" si="1"/>
        <v/>
      </c>
      <c r="O1128" s="106" t="str">
        <f t="shared" si="2"/>
        <v>#N/A</v>
      </c>
      <c r="P1128" s="106" t="str">
        <f t="shared" si="3"/>
        <v>#N/A</v>
      </c>
      <c r="Q1128" s="84" t="str">
        <f t="shared" si="4"/>
        <v>#N/A</v>
      </c>
      <c r="R1128" s="84" t="str">
        <f t="shared" si="5"/>
        <v>#N/A</v>
      </c>
      <c r="S1128" s="107">
        <f t="shared" si="6"/>
        <v>-0.7337</v>
      </c>
      <c r="T1128" s="108">
        <f t="shared" si="7"/>
        <v>-1</v>
      </c>
      <c r="U1128" s="106" t="str">
        <f t="shared" si="8"/>
        <v>#N/A</v>
      </c>
      <c r="V1128" s="84" t="str">
        <f t="shared" si="9"/>
        <v/>
      </c>
      <c r="W1128" s="109" t="str">
        <f t="shared" si="10"/>
        <v/>
      </c>
      <c r="X1128" s="109" t="str">
        <f t="shared" si="11"/>
        <v/>
      </c>
      <c r="Y1128" s="110" t="str">
        <f t="array" ref="Y1128">_xlfn.XLOOKUP(A1128,'Video Database'!L:L,'Video Database'!M:M,"")</f>
        <v>Bottom of Funnel</v>
      </c>
    </row>
    <row r="1129" ht="22.5" customHeight="1">
      <c r="A1129" s="113">
        <f t="shared" si="12"/>
        <v>1128</v>
      </c>
      <c r="B1129" s="98" t="str">
        <f t="array" ref="B1129">_xlfn.XLOOKUP(A1129,'Video Database'!L:L,'Video Database'!D:D,"")</f>
        <v>Addison</v>
      </c>
      <c r="C1129" s="98" t="str">
        <f t="array" ref="C1129">_xlfn.XLOOKUP(A1129,'Video Database'!L:L,'Video Database'!E:E,"")</f>
        <v>Account 2</v>
      </c>
      <c r="D1129" s="99" t="str">
        <f t="array" ref="D1129">_xlfn.XLOOKUP(A1129,'Video Database'!L:L,'Video Database'!G:G,"")</f>
        <v>TIRTIR Hydro UV Shield Sunscreen</v>
      </c>
      <c r="E1129" s="100">
        <f t="array" ref="E1129">_xlfn.XLOOKUP(A1129,'Video Database'!L:L,'Video Database'!H:H,"")</f>
        <v>1.1</v>
      </c>
      <c r="F1129" s="101"/>
      <c r="G1129" s="87"/>
      <c r="H1129" s="114">
        <f t="array" ref="H1129">_xlfn.XLOOKUP(A1129,'Video Database'!L:L,'Video Database'!A:A,"")</f>
        <v>46202</v>
      </c>
      <c r="I1129" s="103"/>
      <c r="J1129" s="104"/>
      <c r="K1129" s="105"/>
      <c r="L1129" s="105" t="str">
        <f t="shared" si="1"/>
        <v/>
      </c>
      <c r="O1129" s="106" t="str">
        <f t="shared" si="2"/>
        <v>#N/A</v>
      </c>
      <c r="P1129" s="106" t="str">
        <f t="shared" si="3"/>
        <v>#N/A</v>
      </c>
      <c r="Q1129" s="84" t="str">
        <f t="shared" si="4"/>
        <v>#N/A</v>
      </c>
      <c r="R1129" s="84" t="str">
        <f t="shared" si="5"/>
        <v>#N/A</v>
      </c>
      <c r="S1129" s="107">
        <f t="shared" si="6"/>
        <v>-1.1</v>
      </c>
      <c r="T1129" s="108">
        <f t="shared" si="7"/>
        <v>-1</v>
      </c>
      <c r="U1129" s="106" t="str">
        <f t="shared" si="8"/>
        <v>#N/A</v>
      </c>
      <c r="V1129" s="84" t="str">
        <f t="shared" si="9"/>
        <v/>
      </c>
      <c r="W1129" s="109" t="str">
        <f t="shared" si="10"/>
        <v/>
      </c>
      <c r="X1129" s="109" t="str">
        <f t="shared" si="11"/>
        <v/>
      </c>
      <c r="Y1129" s="110" t="str">
        <f t="array" ref="Y1129">_xlfn.XLOOKUP(A1129,'Video Database'!L:L,'Video Database'!M:M,"")</f>
        <v>Middle of Funnel</v>
      </c>
    </row>
    <row r="1130" ht="22.5" customHeight="1">
      <c r="A1130" s="113">
        <f t="shared" si="12"/>
        <v>1129</v>
      </c>
      <c r="B1130" s="98" t="str">
        <f t="array" ref="B1130">_xlfn.XLOOKUP(A1130,'Video Database'!L:L,'Video Database'!D:D,"")</f>
        <v>Charley</v>
      </c>
      <c r="C1130" s="98" t="str">
        <f t="array" ref="C1130">_xlfn.XLOOKUP(A1130,'Video Database'!L:L,'Video Database'!E:E,"")</f>
        <v>Account 2</v>
      </c>
      <c r="D1130" s="99" t="str">
        <f t="array" ref="D1130">_xlfn.XLOOKUP(A1130,'Video Database'!L:L,'Video Database'!G:G,"")</f>
        <v>COSRX US Lifting Hydrogel Mask</v>
      </c>
      <c r="E1130" s="100">
        <f t="array" ref="E1130">_xlfn.XLOOKUP(A1130,'Video Database'!L:L,'Video Database'!H:H,"")</f>
        <v>1.1</v>
      </c>
      <c r="F1130" s="101"/>
      <c r="G1130" s="87"/>
      <c r="H1130" s="114">
        <f t="array" ref="H1130">_xlfn.XLOOKUP(A1130,'Video Database'!L:L,'Video Database'!A:A,"")</f>
        <v>46202</v>
      </c>
      <c r="I1130" s="103"/>
      <c r="J1130" s="104"/>
      <c r="K1130" s="105"/>
      <c r="L1130" s="105" t="str">
        <f t="shared" si="1"/>
        <v/>
      </c>
      <c r="O1130" s="106" t="str">
        <f t="shared" si="2"/>
        <v>#N/A</v>
      </c>
      <c r="P1130" s="106" t="str">
        <f t="shared" si="3"/>
        <v>#N/A</v>
      </c>
      <c r="Q1130" s="84" t="str">
        <f t="shared" si="4"/>
        <v>#N/A</v>
      </c>
      <c r="R1130" s="84" t="str">
        <f t="shared" si="5"/>
        <v>#N/A</v>
      </c>
      <c r="S1130" s="107">
        <f t="shared" si="6"/>
        <v>-1.1</v>
      </c>
      <c r="T1130" s="108">
        <f t="shared" si="7"/>
        <v>-1</v>
      </c>
      <c r="U1130" s="106" t="str">
        <f t="shared" si="8"/>
        <v>#N/A</v>
      </c>
      <c r="V1130" s="84" t="str">
        <f t="shared" si="9"/>
        <v/>
      </c>
      <c r="W1130" s="109" t="str">
        <f t="shared" si="10"/>
        <v/>
      </c>
      <c r="X1130" s="109" t="str">
        <f t="shared" si="11"/>
        <v/>
      </c>
      <c r="Y1130" s="110" t="str">
        <f t="array" ref="Y1130">_xlfn.XLOOKUP(A1130,'Video Database'!L:L,'Video Database'!M:M,"")</f>
        <v>Middle of Funnel</v>
      </c>
    </row>
    <row r="1131" ht="22.5" customHeight="1">
      <c r="A1131" s="113">
        <f t="shared" si="12"/>
        <v>1130</v>
      </c>
      <c r="B1131" s="98" t="str">
        <f t="array" ref="B1131">_xlfn.XLOOKUP(A1131,'Video Database'!L:L,'Video Database'!D:D,"")</f>
        <v>Sierra</v>
      </c>
      <c r="C1131" s="98" t="str">
        <f t="array" ref="C1131">_xlfn.XLOOKUP(A1131,'Video Database'!L:L,'Video Database'!E:E,"")</f>
        <v>Account 2</v>
      </c>
      <c r="D1131" s="99" t="str">
        <f t="array" ref="D1131">_xlfn.XLOOKUP(A1131,'Video Database'!L:L,'Video Database'!G:G,"")</f>
        <v>SKIN1004 Hyla-Cica Water Fit Sunscreen</v>
      </c>
      <c r="E1131" s="100">
        <f t="array" ref="E1131">_xlfn.XLOOKUP(A1131,'Video Database'!L:L,'Video Database'!H:H,"")</f>
        <v>1.1</v>
      </c>
      <c r="F1131" s="101"/>
      <c r="G1131" s="87"/>
      <c r="H1131" s="114">
        <f t="array" ref="H1131">_xlfn.XLOOKUP(A1131,'Video Database'!L:L,'Video Database'!A:A,"")</f>
        <v>46202</v>
      </c>
      <c r="I1131" s="103"/>
      <c r="J1131" s="104"/>
      <c r="K1131" s="105"/>
      <c r="L1131" s="105" t="str">
        <f t="shared" si="1"/>
        <v/>
      </c>
      <c r="O1131" s="106" t="str">
        <f t="shared" si="2"/>
        <v>#N/A</v>
      </c>
      <c r="P1131" s="106" t="str">
        <f t="shared" si="3"/>
        <v>#N/A</v>
      </c>
      <c r="Q1131" s="84" t="str">
        <f t="shared" si="4"/>
        <v>#N/A</v>
      </c>
      <c r="R1131" s="84" t="str">
        <f t="shared" si="5"/>
        <v>#N/A</v>
      </c>
      <c r="S1131" s="107">
        <f t="shared" si="6"/>
        <v>-1.1</v>
      </c>
      <c r="T1131" s="108">
        <f t="shared" si="7"/>
        <v>-1</v>
      </c>
      <c r="U1131" s="106" t="str">
        <f t="shared" si="8"/>
        <v>#N/A</v>
      </c>
      <c r="V1131" s="84" t="str">
        <f t="shared" si="9"/>
        <v/>
      </c>
      <c r="W1131" s="109" t="str">
        <f t="shared" si="10"/>
        <v/>
      </c>
      <c r="X1131" s="109" t="str">
        <f t="shared" si="11"/>
        <v/>
      </c>
      <c r="Y1131" s="110" t="str">
        <f t="array" ref="Y1131">_xlfn.XLOOKUP(A1131,'Video Database'!L:L,'Video Database'!M:M,"")</f>
        <v>Middle of Funnel</v>
      </c>
    </row>
    <row r="1132" ht="22.5" customHeight="1">
      <c r="A1132" s="113">
        <f t="shared" si="12"/>
        <v>1131</v>
      </c>
      <c r="B1132" s="98" t="str">
        <f t="array" ref="B1132">_xlfn.XLOOKUP(A1132,'Video Database'!L:L,'Video Database'!D:D,"")</f>
        <v>Brittney</v>
      </c>
      <c r="C1132" s="98" t="str">
        <f t="array" ref="C1132">_xlfn.XLOOKUP(A1132,'Video Database'!L:L,'Video Database'!E:E,"")</f>
        <v>Account 2</v>
      </c>
      <c r="D1132" s="99" t="str">
        <f t="array" ref="D1132">_xlfn.XLOOKUP(A1132,'Video Database'!L:L,'Video Database'!G:G,"")</f>
        <v>Gruns Greens Popsicle Firecracker Gummies</v>
      </c>
      <c r="E1132" s="100">
        <f t="array" ref="E1132">_xlfn.XLOOKUP(A1132,'Video Database'!L:L,'Video Database'!H:H,"")</f>
        <v>0.11</v>
      </c>
      <c r="F1132" s="101"/>
      <c r="G1132" s="87"/>
      <c r="H1132" s="114">
        <f t="array" ref="H1132">_xlfn.XLOOKUP(A1132,'Video Database'!L:L,'Video Database'!A:A,"")</f>
        <v>46202</v>
      </c>
      <c r="I1132" s="103"/>
      <c r="J1132" s="104"/>
      <c r="K1132" s="105"/>
      <c r="L1132" s="105" t="str">
        <f t="shared" si="1"/>
        <v/>
      </c>
      <c r="O1132" s="106" t="str">
        <f t="shared" si="2"/>
        <v>#N/A</v>
      </c>
      <c r="P1132" s="106" t="str">
        <f t="shared" si="3"/>
        <v>#N/A</v>
      </c>
      <c r="Q1132" s="84" t="str">
        <f t="shared" si="4"/>
        <v>#N/A</v>
      </c>
      <c r="R1132" s="84" t="str">
        <f t="shared" si="5"/>
        <v>#N/A</v>
      </c>
      <c r="S1132" s="107">
        <f t="shared" si="6"/>
        <v>-0.11</v>
      </c>
      <c r="T1132" s="108">
        <f t="shared" si="7"/>
        <v>-1</v>
      </c>
      <c r="U1132" s="106" t="str">
        <f t="shared" si="8"/>
        <v>#N/A</v>
      </c>
      <c r="V1132" s="84" t="str">
        <f t="shared" si="9"/>
        <v/>
      </c>
      <c r="W1132" s="109" t="str">
        <f t="shared" si="10"/>
        <v/>
      </c>
      <c r="X1132" s="109" t="str">
        <f t="shared" si="11"/>
        <v/>
      </c>
      <c r="Y1132" s="110" t="str">
        <f t="array" ref="Y1132">_xlfn.XLOOKUP(A1132,'Video Database'!L:L,'Video Database'!M:M,"")</f>
        <v>Bottom of Funnel</v>
      </c>
    </row>
    <row r="1133" ht="22.5" customHeight="1">
      <c r="A1133" s="113">
        <f t="shared" si="12"/>
        <v>1132</v>
      </c>
      <c r="B1133" s="98" t="str">
        <f t="array" ref="B1133">_xlfn.XLOOKUP(A1133,'Video Database'!L:L,'Video Database'!D:D,"")</f>
        <v>Erin</v>
      </c>
      <c r="C1133" s="98" t="str">
        <f t="array" ref="C1133">_xlfn.XLOOKUP(A1133,'Video Database'!L:L,'Video Database'!E:E,"")</f>
        <v>Account 2</v>
      </c>
      <c r="D1133" s="99" t="str">
        <f t="array" ref="D1133">_xlfn.XLOOKUP(A1133,'Video Database'!L:L,'Video Database'!G:G,"")</f>
        <v>Medicube Kojic Accid Tumeric Pads</v>
      </c>
      <c r="E1133" s="100">
        <f t="array" ref="E1133">_xlfn.XLOOKUP(A1133,'Video Database'!L:L,'Video Database'!H:H,"")</f>
        <v>0.7337</v>
      </c>
      <c r="F1133" s="101"/>
      <c r="G1133" s="87"/>
      <c r="H1133" s="114">
        <f t="array" ref="H1133">_xlfn.XLOOKUP(A1133,'Video Database'!L:L,'Video Database'!A:A,"")</f>
        <v>46202</v>
      </c>
      <c r="I1133" s="103"/>
      <c r="J1133" s="104"/>
      <c r="K1133" s="105"/>
      <c r="L1133" s="105" t="str">
        <f t="shared" si="1"/>
        <v/>
      </c>
      <c r="O1133" s="106" t="str">
        <f t="shared" si="2"/>
        <v>#N/A</v>
      </c>
      <c r="P1133" s="106" t="str">
        <f t="shared" si="3"/>
        <v>#N/A</v>
      </c>
      <c r="Q1133" s="84" t="str">
        <f t="shared" si="4"/>
        <v>#N/A</v>
      </c>
      <c r="R1133" s="84" t="str">
        <f t="shared" si="5"/>
        <v>#N/A</v>
      </c>
      <c r="S1133" s="107">
        <f t="shared" si="6"/>
        <v>-0.7337</v>
      </c>
      <c r="T1133" s="108">
        <f t="shared" si="7"/>
        <v>-1</v>
      </c>
      <c r="U1133" s="106" t="str">
        <f t="shared" si="8"/>
        <v>#N/A</v>
      </c>
      <c r="V1133" s="84" t="str">
        <f t="shared" si="9"/>
        <v/>
      </c>
      <c r="W1133" s="109" t="str">
        <f t="shared" si="10"/>
        <v/>
      </c>
      <c r="X1133" s="109" t="str">
        <f t="shared" si="11"/>
        <v/>
      </c>
      <c r="Y1133" s="110" t="str">
        <f t="array" ref="Y1133">_xlfn.XLOOKUP(A1133,'Video Database'!L:L,'Video Database'!M:M,"")</f>
        <v>Bottom of Funnel</v>
      </c>
    </row>
    <row r="1134" ht="22.5" customHeight="1">
      <c r="A1134" s="113">
        <f t="shared" si="12"/>
        <v>1133</v>
      </c>
      <c r="B1134" s="98" t="str">
        <f t="array" ref="B1134">_xlfn.XLOOKUP(A1134,'Video Database'!L:L,'Video Database'!D:D,"")</f>
        <v>Erin</v>
      </c>
      <c r="C1134" s="98" t="str">
        <f t="array" ref="C1134">_xlfn.XLOOKUP(A1134,'Video Database'!L:L,'Video Database'!E:E,"")</f>
        <v>Account 3</v>
      </c>
      <c r="D1134" s="99" t="str">
        <f t="array" ref="D1134">_xlfn.XLOOKUP(A1134,'Video Database'!L:L,'Video Database'!G:G,"")</f>
        <v>Carovo Hoop Earrings Set</v>
      </c>
      <c r="E1134" s="100">
        <f t="array" ref="E1134">_xlfn.XLOOKUP(A1134,'Video Database'!L:L,'Video Database'!H:H,"")</f>
        <v>0.7337</v>
      </c>
      <c r="F1134" s="101"/>
      <c r="G1134" s="87"/>
      <c r="H1134" s="114">
        <f t="array" ref="H1134">_xlfn.XLOOKUP(A1134,'Video Database'!L:L,'Video Database'!A:A,"")</f>
        <v>46202</v>
      </c>
      <c r="I1134" s="103"/>
      <c r="J1134" s="104"/>
      <c r="K1134" s="105"/>
      <c r="L1134" s="105" t="str">
        <f t="shared" si="1"/>
        <v/>
      </c>
      <c r="O1134" s="106" t="str">
        <f t="shared" si="2"/>
        <v>#N/A</v>
      </c>
      <c r="P1134" s="106" t="str">
        <f t="shared" si="3"/>
        <v>#N/A</v>
      </c>
      <c r="Q1134" s="84" t="str">
        <f t="shared" si="4"/>
        <v>#N/A</v>
      </c>
      <c r="R1134" s="84" t="str">
        <f t="shared" si="5"/>
        <v>#N/A</v>
      </c>
      <c r="S1134" s="107">
        <f t="shared" si="6"/>
        <v>-0.7337</v>
      </c>
      <c r="T1134" s="108">
        <f t="shared" si="7"/>
        <v>-1</v>
      </c>
      <c r="U1134" s="106" t="str">
        <f t="shared" si="8"/>
        <v>#N/A</v>
      </c>
      <c r="V1134" s="84" t="str">
        <f t="shared" si="9"/>
        <v/>
      </c>
      <c r="W1134" s="109" t="str">
        <f t="shared" si="10"/>
        <v/>
      </c>
      <c r="X1134" s="109" t="str">
        <f t="shared" si="11"/>
        <v/>
      </c>
      <c r="Y1134" s="110" t="str">
        <f t="array" ref="Y1134">_xlfn.XLOOKUP(A1134,'Video Database'!L:L,'Video Database'!M:M,"")</f>
        <v>Bottom of Funnel</v>
      </c>
    </row>
    <row r="1135" ht="22.5" customHeight="1">
      <c r="A1135" s="113">
        <f t="shared" si="12"/>
        <v>1134</v>
      </c>
      <c r="B1135" s="98" t="str">
        <f t="array" ref="B1135">_xlfn.XLOOKUP(A1135,'Video Database'!L:L,'Video Database'!D:D,"")</f>
        <v>Charley</v>
      </c>
      <c r="C1135" s="98" t="str">
        <f t="array" ref="C1135">_xlfn.XLOOKUP(A1135,'Video Database'!L:L,'Video Database'!E:E,"")</f>
        <v>Account 3</v>
      </c>
      <c r="D1135" s="99" t="str">
        <f t="array" ref="D1135">_xlfn.XLOOKUP(A1135,'Video Database'!L:L,'Video Database'!G:G,"")</f>
        <v>COSRX US Lifting Hydrogel Mask</v>
      </c>
      <c r="E1135" s="100">
        <f t="array" ref="E1135">_xlfn.XLOOKUP(A1135,'Video Database'!L:L,'Video Database'!H:H,"")</f>
        <v>1.1</v>
      </c>
      <c r="F1135" s="101"/>
      <c r="G1135" s="87"/>
      <c r="H1135" s="114">
        <f t="array" ref="H1135">_xlfn.XLOOKUP(A1135,'Video Database'!L:L,'Video Database'!A:A,"")</f>
        <v>46202</v>
      </c>
      <c r="I1135" s="103"/>
      <c r="J1135" s="104"/>
      <c r="K1135" s="105"/>
      <c r="L1135" s="105" t="str">
        <f t="shared" si="1"/>
        <v/>
      </c>
      <c r="O1135" s="106" t="str">
        <f t="shared" si="2"/>
        <v>#N/A</v>
      </c>
      <c r="P1135" s="106" t="str">
        <f t="shared" si="3"/>
        <v>#N/A</v>
      </c>
      <c r="Q1135" s="84" t="str">
        <f t="shared" si="4"/>
        <v>#N/A</v>
      </c>
      <c r="R1135" s="84" t="str">
        <f t="shared" si="5"/>
        <v>#N/A</v>
      </c>
      <c r="S1135" s="107">
        <f t="shared" si="6"/>
        <v>-1.1</v>
      </c>
      <c r="T1135" s="108">
        <f t="shared" si="7"/>
        <v>-1</v>
      </c>
      <c r="U1135" s="106" t="str">
        <f t="shared" si="8"/>
        <v>#N/A</v>
      </c>
      <c r="V1135" s="84" t="str">
        <f t="shared" si="9"/>
        <v/>
      </c>
      <c r="W1135" s="109" t="str">
        <f t="shared" si="10"/>
        <v/>
      </c>
      <c r="X1135" s="109" t="str">
        <f t="shared" si="11"/>
        <v/>
      </c>
      <c r="Y1135" s="110" t="str">
        <f t="array" ref="Y1135">_xlfn.XLOOKUP(A1135,'Video Database'!L:L,'Video Database'!M:M,"")</f>
        <v>Middle of Funnel</v>
      </c>
    </row>
    <row r="1136" ht="22.5" customHeight="1">
      <c r="A1136" s="113">
        <f t="shared" si="12"/>
        <v>1135</v>
      </c>
      <c r="B1136" s="98" t="str">
        <f t="array" ref="B1136">_xlfn.XLOOKUP(A1136,'Video Database'!L:L,'Video Database'!D:D,"")</f>
        <v>Sierra</v>
      </c>
      <c r="C1136" s="98" t="str">
        <f t="array" ref="C1136">_xlfn.XLOOKUP(A1136,'Video Database'!L:L,'Video Database'!E:E,"")</f>
        <v>Account 3</v>
      </c>
      <c r="D1136" s="99" t="str">
        <f t="array" ref="D1136">_xlfn.XLOOKUP(A1136,'Video Database'!L:L,'Video Database'!G:G,"")</f>
        <v>SKIN1004 Hyla-Cica Water Fit Sunscreen</v>
      </c>
      <c r="E1136" s="100">
        <f t="array" ref="E1136">_xlfn.XLOOKUP(A1136,'Video Database'!L:L,'Video Database'!H:H,"")</f>
        <v>1.1</v>
      </c>
      <c r="F1136" s="101"/>
      <c r="G1136" s="87"/>
      <c r="H1136" s="114">
        <f t="array" ref="H1136">_xlfn.XLOOKUP(A1136,'Video Database'!L:L,'Video Database'!A:A,"")</f>
        <v>46202</v>
      </c>
      <c r="I1136" s="103"/>
      <c r="J1136" s="104"/>
      <c r="K1136" s="105"/>
      <c r="L1136" s="105" t="str">
        <f t="shared" si="1"/>
        <v/>
      </c>
      <c r="O1136" s="106" t="str">
        <f t="shared" si="2"/>
        <v>#N/A</v>
      </c>
      <c r="P1136" s="106" t="str">
        <f t="shared" si="3"/>
        <v>#N/A</v>
      </c>
      <c r="Q1136" s="84" t="str">
        <f t="shared" si="4"/>
        <v>#N/A</v>
      </c>
      <c r="R1136" s="84" t="str">
        <f t="shared" si="5"/>
        <v>#N/A</v>
      </c>
      <c r="S1136" s="107">
        <f t="shared" si="6"/>
        <v>-1.1</v>
      </c>
      <c r="T1136" s="108">
        <f t="shared" si="7"/>
        <v>-1</v>
      </c>
      <c r="U1136" s="106" t="str">
        <f t="shared" si="8"/>
        <v>#N/A</v>
      </c>
      <c r="V1136" s="84" t="str">
        <f t="shared" si="9"/>
        <v/>
      </c>
      <c r="W1136" s="109" t="str">
        <f t="shared" si="10"/>
        <v/>
      </c>
      <c r="X1136" s="109" t="str">
        <f t="shared" si="11"/>
        <v/>
      </c>
      <c r="Y1136" s="110" t="str">
        <f t="array" ref="Y1136">_xlfn.XLOOKUP(A1136,'Video Database'!L:L,'Video Database'!M:M,"")</f>
        <v>Middle of Funnel</v>
      </c>
    </row>
    <row r="1137" ht="22.5" customHeight="1">
      <c r="A1137" s="113">
        <f t="shared" si="12"/>
        <v>1136</v>
      </c>
      <c r="B1137" s="98" t="str">
        <f t="array" ref="B1137">_xlfn.XLOOKUP(A1137,'Video Database'!L:L,'Video Database'!D:D,"")</f>
        <v>Erin</v>
      </c>
      <c r="C1137" s="98" t="str">
        <f t="array" ref="C1137">_xlfn.XLOOKUP(A1137,'Video Database'!L:L,'Video Database'!E:E,"")</f>
        <v>Account 3</v>
      </c>
      <c r="D1137" s="99" t="str">
        <f t="array" ref="D1137">_xlfn.XLOOKUP(A1137,'Video Database'!L:L,'Video Database'!G:G,"")</f>
        <v>XL Microfiber Towel</v>
      </c>
      <c r="E1137" s="100">
        <f t="array" ref="E1137">_xlfn.XLOOKUP(A1137,'Video Database'!L:L,'Video Database'!H:H,"")</f>
        <v>0.7337</v>
      </c>
      <c r="F1137" s="101"/>
      <c r="G1137" s="87"/>
      <c r="H1137" s="114">
        <f t="array" ref="H1137">_xlfn.XLOOKUP(A1137,'Video Database'!L:L,'Video Database'!A:A,"")</f>
        <v>46202</v>
      </c>
      <c r="I1137" s="103"/>
      <c r="J1137" s="104"/>
      <c r="K1137" s="105"/>
      <c r="L1137" s="105" t="str">
        <f t="shared" si="1"/>
        <v/>
      </c>
      <c r="O1137" s="106" t="str">
        <f t="shared" si="2"/>
        <v>#N/A</v>
      </c>
      <c r="P1137" s="106" t="str">
        <f t="shared" si="3"/>
        <v>#N/A</v>
      </c>
      <c r="Q1137" s="84" t="str">
        <f t="shared" si="4"/>
        <v>#N/A</v>
      </c>
      <c r="R1137" s="84" t="str">
        <f t="shared" si="5"/>
        <v>#N/A</v>
      </c>
      <c r="S1137" s="107">
        <f t="shared" si="6"/>
        <v>-0.7337</v>
      </c>
      <c r="T1137" s="108">
        <f t="shared" si="7"/>
        <v>-1</v>
      </c>
      <c r="U1137" s="106" t="str">
        <f t="shared" si="8"/>
        <v>#N/A</v>
      </c>
      <c r="V1137" s="84" t="str">
        <f t="shared" si="9"/>
        <v/>
      </c>
      <c r="W1137" s="109" t="str">
        <f t="shared" si="10"/>
        <v/>
      </c>
      <c r="X1137" s="109" t="str">
        <f t="shared" si="11"/>
        <v/>
      </c>
      <c r="Y1137" s="110" t="str">
        <f t="array" ref="Y1137">_xlfn.XLOOKUP(A1137,'Video Database'!L:L,'Video Database'!M:M,"")</f>
        <v>Bottom of Funnel</v>
      </c>
    </row>
    <row r="1138" ht="22.5" customHeight="1">
      <c r="A1138" s="113">
        <f t="shared" si="12"/>
        <v>1137</v>
      </c>
      <c r="B1138" s="98" t="str">
        <f t="array" ref="B1138">_xlfn.XLOOKUP(A1138,'Video Database'!L:L,'Video Database'!D:D,"")</f>
        <v>Brittney</v>
      </c>
      <c r="C1138" s="98" t="str">
        <f t="array" ref="C1138">_xlfn.XLOOKUP(A1138,'Video Database'!L:L,'Video Database'!E:E,"")</f>
        <v>Account 3</v>
      </c>
      <c r="D1138" s="99" t="str">
        <f t="array" ref="D1138">_xlfn.XLOOKUP(A1138,'Video Database'!L:L,'Video Database'!G:G,"")</f>
        <v>Gruns Greens Popsicle Firecracker Gummies</v>
      </c>
      <c r="E1138" s="100">
        <f t="array" ref="E1138">_xlfn.XLOOKUP(A1138,'Video Database'!L:L,'Video Database'!H:H,"")</f>
        <v>0.11</v>
      </c>
      <c r="F1138" s="101"/>
      <c r="G1138" s="87"/>
      <c r="H1138" s="114">
        <f t="array" ref="H1138">_xlfn.XLOOKUP(A1138,'Video Database'!L:L,'Video Database'!A:A,"")</f>
        <v>46202</v>
      </c>
      <c r="I1138" s="103"/>
      <c r="J1138" s="104"/>
      <c r="K1138" s="105"/>
      <c r="L1138" s="105" t="str">
        <f t="shared" si="1"/>
        <v/>
      </c>
      <c r="O1138" s="106" t="str">
        <f t="shared" si="2"/>
        <v>#N/A</v>
      </c>
      <c r="P1138" s="106" t="str">
        <f t="shared" si="3"/>
        <v>#N/A</v>
      </c>
      <c r="Q1138" s="84" t="str">
        <f t="shared" si="4"/>
        <v>#N/A</v>
      </c>
      <c r="R1138" s="84" t="str">
        <f t="shared" si="5"/>
        <v>#N/A</v>
      </c>
      <c r="S1138" s="107">
        <f t="shared" si="6"/>
        <v>-0.11</v>
      </c>
      <c r="T1138" s="108">
        <f t="shared" si="7"/>
        <v>-1</v>
      </c>
      <c r="U1138" s="106" t="str">
        <f t="shared" si="8"/>
        <v>#N/A</v>
      </c>
      <c r="V1138" s="84" t="str">
        <f t="shared" si="9"/>
        <v/>
      </c>
      <c r="W1138" s="109" t="str">
        <f t="shared" si="10"/>
        <v/>
      </c>
      <c r="X1138" s="109" t="str">
        <f t="shared" si="11"/>
        <v/>
      </c>
      <c r="Y1138" s="110" t="str">
        <f t="array" ref="Y1138">_xlfn.XLOOKUP(A1138,'Video Database'!L:L,'Video Database'!M:M,"")</f>
        <v>Bottom of Funnel</v>
      </c>
    </row>
    <row r="1139" ht="22.5" customHeight="1">
      <c r="A1139" s="113">
        <f t="shared" si="12"/>
        <v>1138</v>
      </c>
      <c r="B1139" s="98" t="str">
        <f t="array" ref="B1139">_xlfn.XLOOKUP(A1139,'Video Database'!L:L,'Video Database'!D:D,"")</f>
        <v>Erin</v>
      </c>
      <c r="C1139" s="98" t="str">
        <f t="array" ref="C1139">_xlfn.XLOOKUP(A1139,'Video Database'!L:L,'Video Database'!E:E,"")</f>
        <v>Account 3</v>
      </c>
      <c r="D1139" s="99" t="str">
        <f t="array" ref="D1139">_xlfn.XLOOKUP(A1139,'Video Database'!L:L,'Video Database'!G:G,"")</f>
        <v>Elegant Faux Pearl Set</v>
      </c>
      <c r="E1139" s="100">
        <f t="array" ref="E1139">_xlfn.XLOOKUP(A1139,'Video Database'!L:L,'Video Database'!H:H,"")</f>
        <v>0.7337</v>
      </c>
      <c r="F1139" s="101"/>
      <c r="G1139" s="87"/>
      <c r="H1139" s="114">
        <f t="array" ref="H1139">_xlfn.XLOOKUP(A1139,'Video Database'!L:L,'Video Database'!A:A,"")</f>
        <v>46202</v>
      </c>
      <c r="I1139" s="103"/>
      <c r="J1139" s="104"/>
      <c r="K1139" s="105"/>
      <c r="L1139" s="105" t="str">
        <f t="shared" si="1"/>
        <v/>
      </c>
      <c r="O1139" s="106" t="str">
        <f t="shared" si="2"/>
        <v>#N/A</v>
      </c>
      <c r="P1139" s="106" t="str">
        <f t="shared" si="3"/>
        <v>#N/A</v>
      </c>
      <c r="Q1139" s="84" t="str">
        <f t="shared" si="4"/>
        <v>#N/A</v>
      </c>
      <c r="R1139" s="84" t="str">
        <f t="shared" si="5"/>
        <v>#N/A</v>
      </c>
      <c r="S1139" s="107">
        <f t="shared" si="6"/>
        <v>-0.7337</v>
      </c>
      <c r="T1139" s="108">
        <f t="shared" si="7"/>
        <v>-1</v>
      </c>
      <c r="U1139" s="106" t="str">
        <f t="shared" si="8"/>
        <v>#N/A</v>
      </c>
      <c r="V1139" s="84" t="str">
        <f t="shared" si="9"/>
        <v/>
      </c>
      <c r="W1139" s="109" t="str">
        <f t="shared" si="10"/>
        <v/>
      </c>
      <c r="X1139" s="109" t="str">
        <f t="shared" si="11"/>
        <v/>
      </c>
      <c r="Y1139" s="110" t="str">
        <f t="array" ref="Y1139">_xlfn.XLOOKUP(A1139,'Video Database'!L:L,'Video Database'!M:M,"")</f>
        <v>Bottom of Funnel</v>
      </c>
    </row>
    <row r="1140" ht="22.5" customHeight="1">
      <c r="A1140" s="113">
        <f t="shared" si="12"/>
        <v>1139</v>
      </c>
      <c r="B1140" s="98" t="str">
        <f t="array" ref="B1140">_xlfn.XLOOKUP(A1140,'Video Database'!L:L,'Video Database'!D:D,"")</f>
        <v>Erin</v>
      </c>
      <c r="C1140" s="98" t="str">
        <f t="array" ref="C1140">_xlfn.XLOOKUP(A1140,'Video Database'!L:L,'Video Database'!E:E,"")</f>
        <v>Account 3</v>
      </c>
      <c r="D1140" s="99" t="str">
        <f t="array" ref="D1140">_xlfn.XLOOKUP(A1140,'Video Database'!L:L,'Video Database'!G:G,"")</f>
        <v>Medicube Kojic Accid Tumeric Pads</v>
      </c>
      <c r="E1140" s="100">
        <f t="array" ref="E1140">_xlfn.XLOOKUP(A1140,'Video Database'!L:L,'Video Database'!H:H,"")</f>
        <v>0.7337</v>
      </c>
      <c r="F1140" s="101"/>
      <c r="G1140" s="87"/>
      <c r="H1140" s="114">
        <f t="array" ref="H1140">_xlfn.XLOOKUP(A1140,'Video Database'!L:L,'Video Database'!A:A,"")</f>
        <v>46202</v>
      </c>
      <c r="I1140" s="103"/>
      <c r="J1140" s="104"/>
      <c r="K1140" s="105"/>
      <c r="L1140" s="105" t="str">
        <f t="shared" si="1"/>
        <v/>
      </c>
      <c r="O1140" s="106" t="str">
        <f t="shared" si="2"/>
        <v>#N/A</v>
      </c>
      <c r="P1140" s="106" t="str">
        <f t="shared" si="3"/>
        <v>#N/A</v>
      </c>
      <c r="Q1140" s="84" t="str">
        <f t="shared" si="4"/>
        <v>#N/A</v>
      </c>
      <c r="R1140" s="84" t="str">
        <f t="shared" si="5"/>
        <v>#N/A</v>
      </c>
      <c r="S1140" s="107">
        <f t="shared" si="6"/>
        <v>-0.7337</v>
      </c>
      <c r="T1140" s="108">
        <f t="shared" si="7"/>
        <v>-1</v>
      </c>
      <c r="U1140" s="106" t="str">
        <f t="shared" si="8"/>
        <v>#N/A</v>
      </c>
      <c r="V1140" s="84" t="str">
        <f t="shared" si="9"/>
        <v/>
      </c>
      <c r="W1140" s="109" t="str">
        <f t="shared" si="10"/>
        <v/>
      </c>
      <c r="X1140" s="109" t="str">
        <f t="shared" si="11"/>
        <v/>
      </c>
      <c r="Y1140" s="110" t="str">
        <f t="array" ref="Y1140">_xlfn.XLOOKUP(A1140,'Video Database'!L:L,'Video Database'!M:M,"")</f>
        <v>Bottom of Funnel</v>
      </c>
    </row>
    <row r="1141" ht="22.5" customHeight="1">
      <c r="A1141" s="113">
        <f t="shared" si="12"/>
        <v>1140</v>
      </c>
      <c r="B1141" s="98" t="str">
        <f t="array" ref="B1141">_xlfn.XLOOKUP(A1141,'Video Database'!L:L,'Video Database'!D:D,"")</f>
        <v>Sierra</v>
      </c>
      <c r="C1141" s="98" t="str">
        <f t="array" ref="C1141">_xlfn.XLOOKUP(A1141,'Video Database'!L:L,'Video Database'!E:E,"")</f>
        <v>Account 3</v>
      </c>
      <c r="D1141" s="99" t="str">
        <f t="array" ref="D1141">_xlfn.XLOOKUP(A1141,'Video Database'!L:L,'Video Database'!G:G,"")</f>
        <v>SKIN1004 Hyla-Cica Water Fit Sunscreen</v>
      </c>
      <c r="E1141" s="100">
        <f t="array" ref="E1141">_xlfn.XLOOKUP(A1141,'Video Database'!L:L,'Video Database'!H:H,"")</f>
        <v>1.1</v>
      </c>
      <c r="F1141" s="101"/>
      <c r="G1141" s="87"/>
      <c r="H1141" s="114">
        <f t="array" ref="H1141">_xlfn.XLOOKUP(A1141,'Video Database'!L:L,'Video Database'!A:A,"")</f>
        <v>46202</v>
      </c>
      <c r="I1141" s="103"/>
      <c r="J1141" s="104"/>
      <c r="K1141" s="105"/>
      <c r="L1141" s="105" t="str">
        <f t="shared" si="1"/>
        <v/>
      </c>
      <c r="O1141" s="106" t="str">
        <f t="shared" si="2"/>
        <v>#N/A</v>
      </c>
      <c r="P1141" s="106" t="str">
        <f t="shared" si="3"/>
        <v>#N/A</v>
      </c>
      <c r="Q1141" s="84" t="str">
        <f t="shared" si="4"/>
        <v>#N/A</v>
      </c>
      <c r="R1141" s="84" t="str">
        <f t="shared" si="5"/>
        <v>#N/A</v>
      </c>
      <c r="S1141" s="107">
        <f t="shared" si="6"/>
        <v>-1.1</v>
      </c>
      <c r="T1141" s="108">
        <f t="shared" si="7"/>
        <v>-1</v>
      </c>
      <c r="U1141" s="106" t="str">
        <f t="shared" si="8"/>
        <v>#N/A</v>
      </c>
      <c r="V1141" s="84" t="str">
        <f t="shared" si="9"/>
        <v/>
      </c>
      <c r="W1141" s="109" t="str">
        <f t="shared" si="10"/>
        <v/>
      </c>
      <c r="X1141" s="109" t="str">
        <f t="shared" si="11"/>
        <v/>
      </c>
      <c r="Y1141" s="110" t="str">
        <f t="array" ref="Y1141">_xlfn.XLOOKUP(A1141,'Video Database'!L:L,'Video Database'!M:M,"")</f>
        <v>Middle of Funnel</v>
      </c>
    </row>
    <row r="1142" ht="22.5" customHeight="1">
      <c r="A1142" s="113">
        <f t="shared" si="12"/>
        <v>1141</v>
      </c>
      <c r="B1142" s="98" t="str">
        <f t="array" ref="B1142">_xlfn.XLOOKUP(A1142,'Video Database'!L:L,'Video Database'!D:D,"")</f>
        <v>Brittney</v>
      </c>
      <c r="C1142" s="98" t="str">
        <f t="array" ref="C1142">_xlfn.XLOOKUP(A1142,'Video Database'!L:L,'Video Database'!E:E,"")</f>
        <v>Account 3</v>
      </c>
      <c r="D1142" s="99" t="str">
        <f t="array" ref="D1142">_xlfn.XLOOKUP(A1142,'Video Database'!L:L,'Video Database'!G:G,"")</f>
        <v>Gruns Greens Popsicle Firecracker Gummies</v>
      </c>
      <c r="E1142" s="100">
        <f t="array" ref="E1142">_xlfn.XLOOKUP(A1142,'Video Database'!L:L,'Video Database'!H:H,"")</f>
        <v>0.11</v>
      </c>
      <c r="F1142" s="101"/>
      <c r="G1142" s="87"/>
      <c r="H1142" s="114">
        <f t="array" ref="H1142">_xlfn.XLOOKUP(A1142,'Video Database'!L:L,'Video Database'!A:A,"")</f>
        <v>46202</v>
      </c>
      <c r="I1142" s="103"/>
      <c r="J1142" s="104"/>
      <c r="K1142" s="105"/>
      <c r="L1142" s="105" t="str">
        <f t="shared" si="1"/>
        <v/>
      </c>
      <c r="O1142" s="106" t="str">
        <f t="shared" si="2"/>
        <v>#N/A</v>
      </c>
      <c r="P1142" s="106" t="str">
        <f t="shared" si="3"/>
        <v>#N/A</v>
      </c>
      <c r="Q1142" s="84" t="str">
        <f t="shared" si="4"/>
        <v>#N/A</v>
      </c>
      <c r="R1142" s="84" t="str">
        <f t="shared" si="5"/>
        <v>#N/A</v>
      </c>
      <c r="S1142" s="107">
        <f t="shared" si="6"/>
        <v>-0.11</v>
      </c>
      <c r="T1142" s="108">
        <f t="shared" si="7"/>
        <v>-1</v>
      </c>
      <c r="U1142" s="106" t="str">
        <f t="shared" si="8"/>
        <v>#N/A</v>
      </c>
      <c r="V1142" s="84" t="str">
        <f t="shared" si="9"/>
        <v/>
      </c>
      <c r="W1142" s="109" t="str">
        <f t="shared" si="10"/>
        <v/>
      </c>
      <c r="X1142" s="109" t="str">
        <f t="shared" si="11"/>
        <v/>
      </c>
      <c r="Y1142" s="110" t="str">
        <f t="array" ref="Y1142">_xlfn.XLOOKUP(A1142,'Video Database'!L:L,'Video Database'!M:M,"")</f>
        <v>Bottom of Funnel</v>
      </c>
    </row>
    <row r="1143" ht="22.5" customHeight="1">
      <c r="A1143" s="113">
        <f t="shared" si="12"/>
        <v>1142</v>
      </c>
      <c r="B1143" s="98" t="str">
        <f t="array" ref="B1143">_xlfn.XLOOKUP(A1143,'Video Database'!L:L,'Video Database'!D:D,"")</f>
        <v>Addison</v>
      </c>
      <c r="C1143" s="98" t="str">
        <f t="array" ref="C1143">_xlfn.XLOOKUP(A1143,'Video Database'!L:L,'Video Database'!E:E,"")</f>
        <v>Account 3</v>
      </c>
      <c r="D1143" s="99" t="str">
        <f t="array" ref="D1143">_xlfn.XLOOKUP(A1143,'Video Database'!L:L,'Video Database'!G:G,"")</f>
        <v>TIRTIR Hydro UV Shield Sunscreen</v>
      </c>
      <c r="E1143" s="100">
        <f t="array" ref="E1143">_xlfn.XLOOKUP(A1143,'Video Database'!L:L,'Video Database'!H:H,"")</f>
        <v>1.1</v>
      </c>
      <c r="F1143" s="101"/>
      <c r="G1143" s="87"/>
      <c r="H1143" s="114">
        <f t="array" ref="H1143">_xlfn.XLOOKUP(A1143,'Video Database'!L:L,'Video Database'!A:A,"")</f>
        <v>46202</v>
      </c>
      <c r="I1143" s="103"/>
      <c r="J1143" s="104"/>
      <c r="K1143" s="105"/>
      <c r="L1143" s="105" t="str">
        <f t="shared" si="1"/>
        <v/>
      </c>
      <c r="O1143" s="106" t="str">
        <f t="shared" si="2"/>
        <v>#N/A</v>
      </c>
      <c r="P1143" s="106" t="str">
        <f t="shared" si="3"/>
        <v>#N/A</v>
      </c>
      <c r="Q1143" s="84" t="str">
        <f t="shared" si="4"/>
        <v>#N/A</v>
      </c>
      <c r="R1143" s="84" t="str">
        <f t="shared" si="5"/>
        <v>#N/A</v>
      </c>
      <c r="S1143" s="107">
        <f t="shared" si="6"/>
        <v>-1.1</v>
      </c>
      <c r="T1143" s="108">
        <f t="shared" si="7"/>
        <v>-1</v>
      </c>
      <c r="U1143" s="106" t="str">
        <f t="shared" si="8"/>
        <v>#N/A</v>
      </c>
      <c r="V1143" s="84" t="str">
        <f t="shared" si="9"/>
        <v/>
      </c>
      <c r="W1143" s="109" t="str">
        <f t="shared" si="10"/>
        <v/>
      </c>
      <c r="X1143" s="109" t="str">
        <f t="shared" si="11"/>
        <v/>
      </c>
      <c r="Y1143" s="110" t="str">
        <f t="array" ref="Y1143">_xlfn.XLOOKUP(A1143,'Video Database'!L:L,'Video Database'!M:M,"")</f>
        <v>Middle of Funnel</v>
      </c>
    </row>
    <row r="1144" ht="22.5" customHeight="1">
      <c r="A1144" s="113">
        <f t="shared" si="12"/>
        <v>1143</v>
      </c>
      <c r="B1144" s="98" t="str">
        <f t="array" ref="B1144">_xlfn.XLOOKUP(A1144,'Video Database'!L:L,'Video Database'!D:D,"")</f>
        <v>Brittney</v>
      </c>
      <c r="C1144" s="98" t="str">
        <f t="array" ref="C1144">_xlfn.XLOOKUP(A1144,'Video Database'!L:L,'Video Database'!E:E,"")</f>
        <v>Account 4</v>
      </c>
      <c r="D1144" s="99" t="str">
        <f t="array" ref="D1144">_xlfn.XLOOKUP(A1144,'Video Database'!L:L,'Video Database'!G:G,"")</f>
        <v>Gruns Greens Popsicle Firecracker Gummies</v>
      </c>
      <c r="E1144" s="100">
        <f t="array" ref="E1144">_xlfn.XLOOKUP(A1144,'Video Database'!L:L,'Video Database'!H:H,"")</f>
        <v>0.11</v>
      </c>
      <c r="F1144" s="101"/>
      <c r="G1144" s="87"/>
      <c r="H1144" s="114">
        <f t="array" ref="H1144">_xlfn.XLOOKUP(A1144,'Video Database'!L:L,'Video Database'!A:A,"")</f>
        <v>46202</v>
      </c>
      <c r="I1144" s="103"/>
      <c r="J1144" s="104"/>
      <c r="K1144" s="105"/>
      <c r="L1144" s="105" t="str">
        <f t="shared" si="1"/>
        <v/>
      </c>
      <c r="O1144" s="106" t="str">
        <f t="shared" si="2"/>
        <v>#N/A</v>
      </c>
      <c r="P1144" s="106" t="str">
        <f t="shared" si="3"/>
        <v>#N/A</v>
      </c>
      <c r="Q1144" s="84" t="str">
        <f t="shared" si="4"/>
        <v>#N/A</v>
      </c>
      <c r="R1144" s="84" t="str">
        <f t="shared" si="5"/>
        <v>#N/A</v>
      </c>
      <c r="S1144" s="107">
        <f t="shared" si="6"/>
        <v>-0.11</v>
      </c>
      <c r="T1144" s="108">
        <f t="shared" si="7"/>
        <v>-1</v>
      </c>
      <c r="U1144" s="106" t="str">
        <f t="shared" si="8"/>
        <v>#N/A</v>
      </c>
      <c r="V1144" s="84" t="str">
        <f t="shared" si="9"/>
        <v/>
      </c>
      <c r="W1144" s="109" t="str">
        <f t="shared" si="10"/>
        <v/>
      </c>
      <c r="X1144" s="109" t="str">
        <f t="shared" si="11"/>
        <v/>
      </c>
      <c r="Y1144" s="110" t="str">
        <f t="array" ref="Y1144">_xlfn.XLOOKUP(A1144,'Video Database'!L:L,'Video Database'!M:M,"")</f>
        <v>Bottom of Funnel</v>
      </c>
    </row>
    <row r="1145" ht="22.5" customHeight="1">
      <c r="A1145" s="113">
        <f t="shared" si="12"/>
        <v>1144</v>
      </c>
      <c r="B1145" s="98" t="str">
        <f t="array" ref="B1145">_xlfn.XLOOKUP(A1145,'Video Database'!L:L,'Video Database'!D:D,"")</f>
        <v>Sierra</v>
      </c>
      <c r="C1145" s="98" t="str">
        <f t="array" ref="C1145">_xlfn.XLOOKUP(A1145,'Video Database'!L:L,'Video Database'!E:E,"")</f>
        <v>Account 4</v>
      </c>
      <c r="D1145" s="99" t="str">
        <f t="array" ref="D1145">_xlfn.XLOOKUP(A1145,'Video Database'!L:L,'Video Database'!G:G,"")</f>
        <v>SKIN1004 Hyla-Cica Water Fit Sunscreen</v>
      </c>
      <c r="E1145" s="100">
        <f t="array" ref="E1145">_xlfn.XLOOKUP(A1145,'Video Database'!L:L,'Video Database'!H:H,"")</f>
        <v>1.1</v>
      </c>
      <c r="F1145" s="101"/>
      <c r="G1145" s="87"/>
      <c r="H1145" s="114">
        <f t="array" ref="H1145">_xlfn.XLOOKUP(A1145,'Video Database'!L:L,'Video Database'!A:A,"")</f>
        <v>46202</v>
      </c>
      <c r="I1145" s="103"/>
      <c r="J1145" s="104"/>
      <c r="K1145" s="105"/>
      <c r="L1145" s="105" t="str">
        <f t="shared" si="1"/>
        <v/>
      </c>
      <c r="O1145" s="106" t="str">
        <f t="shared" si="2"/>
        <v>#N/A</v>
      </c>
      <c r="P1145" s="106" t="str">
        <f t="shared" si="3"/>
        <v>#N/A</v>
      </c>
      <c r="Q1145" s="84" t="str">
        <f t="shared" si="4"/>
        <v>#N/A</v>
      </c>
      <c r="R1145" s="84" t="str">
        <f t="shared" si="5"/>
        <v>#N/A</v>
      </c>
      <c r="S1145" s="107">
        <f t="shared" si="6"/>
        <v>-1.1</v>
      </c>
      <c r="T1145" s="108">
        <f t="shared" si="7"/>
        <v>-1</v>
      </c>
      <c r="U1145" s="106" t="str">
        <f t="shared" si="8"/>
        <v>#N/A</v>
      </c>
      <c r="V1145" s="84" t="str">
        <f t="shared" si="9"/>
        <v/>
      </c>
      <c r="W1145" s="109" t="str">
        <f t="shared" si="10"/>
        <v/>
      </c>
      <c r="X1145" s="109" t="str">
        <f t="shared" si="11"/>
        <v/>
      </c>
      <c r="Y1145" s="110" t="str">
        <f t="array" ref="Y1145">_xlfn.XLOOKUP(A1145,'Video Database'!L:L,'Video Database'!M:M,"")</f>
        <v>Middle of Funnel</v>
      </c>
    </row>
    <row r="1146" ht="22.5" customHeight="1">
      <c r="A1146" s="113">
        <f t="shared" si="12"/>
        <v>1145</v>
      </c>
      <c r="B1146" s="98" t="str">
        <f t="array" ref="B1146">_xlfn.XLOOKUP(A1146,'Video Database'!L:L,'Video Database'!D:D,"")</f>
        <v>Erin</v>
      </c>
      <c r="C1146" s="98" t="str">
        <f t="array" ref="C1146">_xlfn.XLOOKUP(A1146,'Video Database'!L:L,'Video Database'!E:E,"")</f>
        <v>Account 4</v>
      </c>
      <c r="D1146" s="99" t="str">
        <f t="array" ref="D1146">_xlfn.XLOOKUP(A1146,'Video Database'!L:L,'Video Database'!G:G,"")</f>
        <v>Carovo Hoop Earrings Set</v>
      </c>
      <c r="E1146" s="100">
        <f t="array" ref="E1146">_xlfn.XLOOKUP(A1146,'Video Database'!L:L,'Video Database'!H:H,"")</f>
        <v>0.7337</v>
      </c>
      <c r="F1146" s="101"/>
      <c r="G1146" s="87"/>
      <c r="H1146" s="114">
        <f t="array" ref="H1146">_xlfn.XLOOKUP(A1146,'Video Database'!L:L,'Video Database'!A:A,"")</f>
        <v>46202</v>
      </c>
      <c r="I1146" s="103"/>
      <c r="J1146" s="104"/>
      <c r="K1146" s="105"/>
      <c r="L1146" s="105" t="str">
        <f t="shared" si="1"/>
        <v/>
      </c>
      <c r="O1146" s="106" t="str">
        <f t="shared" si="2"/>
        <v>#N/A</v>
      </c>
      <c r="P1146" s="106" t="str">
        <f t="shared" si="3"/>
        <v>#N/A</v>
      </c>
      <c r="Q1146" s="84" t="str">
        <f t="shared" si="4"/>
        <v>#N/A</v>
      </c>
      <c r="R1146" s="84" t="str">
        <f t="shared" si="5"/>
        <v>#N/A</v>
      </c>
      <c r="S1146" s="107">
        <f t="shared" si="6"/>
        <v>-0.7337</v>
      </c>
      <c r="T1146" s="108">
        <f t="shared" si="7"/>
        <v>-1</v>
      </c>
      <c r="U1146" s="106" t="str">
        <f t="shared" si="8"/>
        <v>#N/A</v>
      </c>
      <c r="V1146" s="84" t="str">
        <f t="shared" si="9"/>
        <v/>
      </c>
      <c r="W1146" s="109" t="str">
        <f t="shared" si="10"/>
        <v/>
      </c>
      <c r="X1146" s="109" t="str">
        <f t="shared" si="11"/>
        <v/>
      </c>
      <c r="Y1146" s="110" t="str">
        <f t="array" ref="Y1146">_xlfn.XLOOKUP(A1146,'Video Database'!L:L,'Video Database'!M:M,"")</f>
        <v>Bottom of Funnel</v>
      </c>
    </row>
    <row r="1147" ht="22.5" customHeight="1">
      <c r="A1147" s="113">
        <f t="shared" si="12"/>
        <v>1146</v>
      </c>
      <c r="B1147" s="98" t="str">
        <f t="array" ref="B1147">_xlfn.XLOOKUP(A1147,'Video Database'!L:L,'Video Database'!D:D,"")</f>
        <v>Sierra</v>
      </c>
      <c r="C1147" s="98" t="str">
        <f t="array" ref="C1147">_xlfn.XLOOKUP(A1147,'Video Database'!L:L,'Video Database'!E:E,"")</f>
        <v>Account 4</v>
      </c>
      <c r="D1147" s="99" t="str">
        <f t="array" ref="D1147">_xlfn.XLOOKUP(A1147,'Video Database'!L:L,'Video Database'!G:G,"")</f>
        <v>Taste Salud Skin + Beauty Drink Mix</v>
      </c>
      <c r="E1147" s="100">
        <f t="array" ref="E1147">_xlfn.XLOOKUP(A1147,'Video Database'!L:L,'Video Database'!H:H,"")</f>
        <v>1.1</v>
      </c>
      <c r="F1147" s="101">
        <v>55.69</v>
      </c>
      <c r="G1147" s="87">
        <v>2.0</v>
      </c>
      <c r="H1147" s="114">
        <f t="array" ref="H1147">_xlfn.XLOOKUP(A1147,'Video Database'!L:L,'Video Database'!A:A,"")</f>
        <v>46202</v>
      </c>
      <c r="I1147" s="103">
        <v>46209.0</v>
      </c>
      <c r="J1147" s="104">
        <v>14.57</v>
      </c>
      <c r="K1147" s="87">
        <v>1.0</v>
      </c>
      <c r="L1147" s="105">
        <f t="shared" si="1"/>
        <v>207</v>
      </c>
      <c r="M1147" s="87">
        <v>207.0</v>
      </c>
      <c r="O1147" s="106">
        <f t="shared" si="2"/>
        <v>0.004830917874</v>
      </c>
      <c r="P1147" s="106">
        <f t="shared" si="3"/>
        <v>2</v>
      </c>
      <c r="Q1147" s="84">
        <f t="shared" si="4"/>
        <v>7.285</v>
      </c>
      <c r="R1147" s="84">
        <f t="shared" si="5"/>
        <v>27.845</v>
      </c>
      <c r="S1147" s="107">
        <f t="shared" si="6"/>
        <v>13.47</v>
      </c>
      <c r="T1147" s="108">
        <f t="shared" si="7"/>
        <v>12.24545455</v>
      </c>
      <c r="U1147" s="106">
        <f t="shared" si="8"/>
        <v>0.9245024022</v>
      </c>
      <c r="V1147" s="129">
        <f t="shared" si="9"/>
        <v>0.55</v>
      </c>
      <c r="W1147" s="109">
        <f t="shared" si="10"/>
        <v>1.1</v>
      </c>
      <c r="X1147" s="109">
        <f t="shared" si="11"/>
        <v>1.975219968</v>
      </c>
      <c r="Y1147" s="110" t="str">
        <f t="array" ref="Y1147">_xlfn.XLOOKUP(A1147,'Video Database'!L:L,'Video Database'!M:M,"")</f>
        <v>Middle of Funnel</v>
      </c>
    </row>
    <row r="1148" ht="22.5" customHeight="1">
      <c r="A1148" s="113">
        <f t="shared" si="12"/>
        <v>1147</v>
      </c>
      <c r="B1148" s="98" t="str">
        <f t="array" ref="B1148">_xlfn.XLOOKUP(A1148,'Video Database'!L:L,'Video Database'!D:D,"")</f>
        <v>Erin</v>
      </c>
      <c r="C1148" s="98" t="str">
        <f t="array" ref="C1148">_xlfn.XLOOKUP(A1148,'Video Database'!L:L,'Video Database'!E:E,"")</f>
        <v>Account 4</v>
      </c>
      <c r="D1148" s="99" t="str">
        <f t="array" ref="D1148">_xlfn.XLOOKUP(A1148,'Video Database'!L:L,'Video Database'!G:G,"")</f>
        <v>Elegant Faux Pearl Set</v>
      </c>
      <c r="E1148" s="100">
        <f t="array" ref="E1148">_xlfn.XLOOKUP(A1148,'Video Database'!L:L,'Video Database'!H:H,"")</f>
        <v>0.7337</v>
      </c>
      <c r="F1148" s="101"/>
      <c r="G1148" s="87"/>
      <c r="H1148" s="114">
        <f t="array" ref="H1148">_xlfn.XLOOKUP(A1148,'Video Database'!L:L,'Video Database'!A:A,"")</f>
        <v>46202</v>
      </c>
      <c r="I1148" s="103"/>
      <c r="J1148" s="104"/>
      <c r="K1148" s="105"/>
      <c r="L1148" s="105" t="str">
        <f t="shared" si="1"/>
        <v/>
      </c>
      <c r="O1148" s="106" t="str">
        <f t="shared" si="2"/>
        <v>#N/A</v>
      </c>
      <c r="P1148" s="106" t="str">
        <f t="shared" si="3"/>
        <v>#N/A</v>
      </c>
      <c r="Q1148" s="84" t="str">
        <f t="shared" si="4"/>
        <v>#N/A</v>
      </c>
      <c r="R1148" s="84" t="str">
        <f t="shared" si="5"/>
        <v>#N/A</v>
      </c>
      <c r="S1148" s="107">
        <f t="shared" si="6"/>
        <v>-0.7337</v>
      </c>
      <c r="T1148" s="108">
        <f t="shared" si="7"/>
        <v>-1</v>
      </c>
      <c r="U1148" s="106" t="str">
        <f t="shared" si="8"/>
        <v>#N/A</v>
      </c>
      <c r="V1148" s="84" t="str">
        <f t="shared" si="9"/>
        <v/>
      </c>
      <c r="W1148" s="109" t="str">
        <f t="shared" si="10"/>
        <v/>
      </c>
      <c r="X1148" s="109" t="str">
        <f t="shared" si="11"/>
        <v/>
      </c>
      <c r="Y1148" s="110" t="str">
        <f t="array" ref="Y1148">_xlfn.XLOOKUP(A1148,'Video Database'!L:L,'Video Database'!M:M,"")</f>
        <v>Bottom of Funnel</v>
      </c>
    </row>
    <row r="1149" ht="22.5" customHeight="1">
      <c r="A1149" s="113">
        <f t="shared" si="12"/>
        <v>1148</v>
      </c>
      <c r="B1149" s="98" t="str">
        <f t="array" ref="B1149">_xlfn.XLOOKUP(A1149,'Video Database'!L:L,'Video Database'!D:D,"")</f>
        <v>Erin</v>
      </c>
      <c r="C1149" s="98" t="str">
        <f t="array" ref="C1149">_xlfn.XLOOKUP(A1149,'Video Database'!L:L,'Video Database'!E:E,"")</f>
        <v>Account 4</v>
      </c>
      <c r="D1149" s="99" t="str">
        <f t="array" ref="D1149">_xlfn.XLOOKUP(A1149,'Video Database'!L:L,'Video Database'!G:G,"")</f>
        <v>XL Microfiber Towel</v>
      </c>
      <c r="E1149" s="100">
        <f t="array" ref="E1149">_xlfn.XLOOKUP(A1149,'Video Database'!L:L,'Video Database'!H:H,"")</f>
        <v>0.7337</v>
      </c>
      <c r="F1149" s="101"/>
      <c r="G1149" s="87"/>
      <c r="H1149" s="114">
        <f t="array" ref="H1149">_xlfn.XLOOKUP(A1149,'Video Database'!L:L,'Video Database'!A:A,"")</f>
        <v>46202</v>
      </c>
      <c r="I1149" s="103"/>
      <c r="J1149" s="104"/>
      <c r="K1149" s="105"/>
      <c r="L1149" s="105" t="str">
        <f t="shared" si="1"/>
        <v/>
      </c>
      <c r="O1149" s="106" t="str">
        <f t="shared" si="2"/>
        <v>#N/A</v>
      </c>
      <c r="P1149" s="106" t="str">
        <f t="shared" si="3"/>
        <v>#N/A</v>
      </c>
      <c r="Q1149" s="84" t="str">
        <f t="shared" si="4"/>
        <v>#N/A</v>
      </c>
      <c r="R1149" s="84" t="str">
        <f t="shared" si="5"/>
        <v>#N/A</v>
      </c>
      <c r="S1149" s="107">
        <f t="shared" si="6"/>
        <v>-0.7337</v>
      </c>
      <c r="T1149" s="108">
        <f t="shared" si="7"/>
        <v>-1</v>
      </c>
      <c r="U1149" s="106" t="str">
        <f t="shared" si="8"/>
        <v>#N/A</v>
      </c>
      <c r="V1149" s="84" t="str">
        <f t="shared" si="9"/>
        <v/>
      </c>
      <c r="W1149" s="109" t="str">
        <f t="shared" si="10"/>
        <v/>
      </c>
      <c r="X1149" s="109" t="str">
        <f t="shared" si="11"/>
        <v/>
      </c>
      <c r="Y1149" s="110" t="str">
        <f t="array" ref="Y1149">_xlfn.XLOOKUP(A1149,'Video Database'!L:L,'Video Database'!M:M,"")</f>
        <v>Bottom of Funnel</v>
      </c>
    </row>
    <row r="1150" ht="22.5" customHeight="1">
      <c r="A1150" s="113">
        <f t="shared" si="12"/>
        <v>1149</v>
      </c>
      <c r="B1150" s="98" t="str">
        <f t="array" ref="B1150">_xlfn.XLOOKUP(A1150,'Video Database'!L:L,'Video Database'!D:D,"")</f>
        <v>Erin</v>
      </c>
      <c r="C1150" s="98" t="str">
        <f t="array" ref="C1150">_xlfn.XLOOKUP(A1150,'Video Database'!L:L,'Video Database'!E:E,"")</f>
        <v>Account 4</v>
      </c>
      <c r="D1150" s="99" t="str">
        <f t="array" ref="D1150">_xlfn.XLOOKUP(A1150,'Video Database'!L:L,'Video Database'!G:G,"")</f>
        <v>Medicube Kojic Accid Tumeric Pads</v>
      </c>
      <c r="E1150" s="100">
        <f t="array" ref="E1150">_xlfn.XLOOKUP(A1150,'Video Database'!L:L,'Video Database'!H:H,"")</f>
        <v>0.7337</v>
      </c>
      <c r="F1150" s="101"/>
      <c r="G1150" s="87"/>
      <c r="H1150" s="114">
        <f t="array" ref="H1150">_xlfn.XLOOKUP(A1150,'Video Database'!L:L,'Video Database'!A:A,"")</f>
        <v>46202</v>
      </c>
      <c r="I1150" s="103"/>
      <c r="J1150" s="104"/>
      <c r="K1150" s="105"/>
      <c r="L1150" s="105" t="str">
        <f t="shared" si="1"/>
        <v/>
      </c>
      <c r="O1150" s="106" t="str">
        <f t="shared" si="2"/>
        <v>#N/A</v>
      </c>
      <c r="P1150" s="106" t="str">
        <f t="shared" si="3"/>
        <v>#N/A</v>
      </c>
      <c r="Q1150" s="84" t="str">
        <f t="shared" si="4"/>
        <v>#N/A</v>
      </c>
      <c r="R1150" s="84" t="str">
        <f t="shared" si="5"/>
        <v>#N/A</v>
      </c>
      <c r="S1150" s="107">
        <f t="shared" si="6"/>
        <v>-0.7337</v>
      </c>
      <c r="T1150" s="108">
        <f t="shared" si="7"/>
        <v>-1</v>
      </c>
      <c r="U1150" s="106" t="str">
        <f t="shared" si="8"/>
        <v>#N/A</v>
      </c>
      <c r="V1150" s="84" t="str">
        <f t="shared" si="9"/>
        <v/>
      </c>
      <c r="W1150" s="109" t="str">
        <f t="shared" si="10"/>
        <v/>
      </c>
      <c r="X1150" s="109" t="str">
        <f t="shared" si="11"/>
        <v/>
      </c>
      <c r="Y1150" s="110" t="str">
        <f t="array" ref="Y1150">_xlfn.XLOOKUP(A1150,'Video Database'!L:L,'Video Database'!M:M,"")</f>
        <v>Bottom of Funnel</v>
      </c>
    </row>
    <row r="1151" ht="22.5" customHeight="1">
      <c r="A1151" s="113">
        <f t="shared" si="12"/>
        <v>1150</v>
      </c>
      <c r="B1151" s="98" t="str">
        <f t="array" ref="B1151">_xlfn.XLOOKUP(A1151,'Video Database'!L:L,'Video Database'!D:D,"")</f>
        <v>Charley</v>
      </c>
      <c r="C1151" s="98" t="str">
        <f t="array" ref="C1151">_xlfn.XLOOKUP(A1151,'Video Database'!L:L,'Video Database'!E:E,"")</f>
        <v>Account 4</v>
      </c>
      <c r="D1151" s="99" t="str">
        <f t="array" ref="D1151">_xlfn.XLOOKUP(A1151,'Video Database'!L:L,'Video Database'!G:G,"")</f>
        <v>COSRX US Lifting Hydrogel Mask</v>
      </c>
      <c r="E1151" s="100">
        <f t="array" ref="E1151">_xlfn.XLOOKUP(A1151,'Video Database'!L:L,'Video Database'!H:H,"")</f>
        <v>1.1</v>
      </c>
      <c r="F1151" s="101"/>
      <c r="G1151" s="87"/>
      <c r="H1151" s="114">
        <f t="array" ref="H1151">_xlfn.XLOOKUP(A1151,'Video Database'!L:L,'Video Database'!A:A,"")</f>
        <v>46202</v>
      </c>
      <c r="I1151" s="103"/>
      <c r="J1151" s="104"/>
      <c r="K1151" s="105"/>
      <c r="L1151" s="105" t="str">
        <f t="shared" si="1"/>
        <v/>
      </c>
      <c r="O1151" s="106" t="str">
        <f t="shared" si="2"/>
        <v>#N/A</v>
      </c>
      <c r="P1151" s="106" t="str">
        <f t="shared" si="3"/>
        <v>#N/A</v>
      </c>
      <c r="Q1151" s="84" t="str">
        <f t="shared" si="4"/>
        <v>#N/A</v>
      </c>
      <c r="R1151" s="84" t="str">
        <f t="shared" si="5"/>
        <v>#N/A</v>
      </c>
      <c r="S1151" s="107">
        <f t="shared" si="6"/>
        <v>-1.1</v>
      </c>
      <c r="T1151" s="108">
        <f t="shared" si="7"/>
        <v>-1</v>
      </c>
      <c r="U1151" s="106" t="str">
        <f t="shared" si="8"/>
        <v>#N/A</v>
      </c>
      <c r="V1151" s="84" t="str">
        <f t="shared" si="9"/>
        <v/>
      </c>
      <c r="W1151" s="109" t="str">
        <f t="shared" si="10"/>
        <v/>
      </c>
      <c r="X1151" s="109" t="str">
        <f t="shared" si="11"/>
        <v/>
      </c>
      <c r="Y1151" s="110" t="str">
        <f t="array" ref="Y1151">_xlfn.XLOOKUP(A1151,'Video Database'!L:L,'Video Database'!M:M,"")</f>
        <v>Middle of Funnel</v>
      </c>
    </row>
    <row r="1152" ht="22.5" customHeight="1">
      <c r="A1152" s="113">
        <f t="shared" si="12"/>
        <v>1151</v>
      </c>
      <c r="B1152" s="98" t="str">
        <f t="array" ref="B1152">_xlfn.XLOOKUP(A1152,'Video Database'!L:L,'Video Database'!D:D,"")</f>
        <v>Brittney</v>
      </c>
      <c r="C1152" s="98" t="str">
        <f t="array" ref="C1152">_xlfn.XLOOKUP(A1152,'Video Database'!L:L,'Video Database'!E:E,"")</f>
        <v>Account 4</v>
      </c>
      <c r="D1152" s="99" t="str">
        <f t="array" ref="D1152">_xlfn.XLOOKUP(A1152,'Video Database'!L:L,'Video Database'!G:G,"")</f>
        <v>Gruns Greens Popsicle Firecracker Gummies</v>
      </c>
      <c r="E1152" s="100">
        <f t="array" ref="E1152">_xlfn.XLOOKUP(A1152,'Video Database'!L:L,'Video Database'!H:H,"")</f>
        <v>0.11</v>
      </c>
      <c r="F1152" s="101"/>
      <c r="G1152" s="87"/>
      <c r="H1152" s="114">
        <f t="array" ref="H1152">_xlfn.XLOOKUP(A1152,'Video Database'!L:L,'Video Database'!A:A,"")</f>
        <v>46202</v>
      </c>
      <c r="I1152" s="103"/>
      <c r="J1152" s="104"/>
      <c r="K1152" s="105"/>
      <c r="L1152" s="105" t="str">
        <f t="shared" si="1"/>
        <v/>
      </c>
      <c r="O1152" s="106" t="str">
        <f t="shared" si="2"/>
        <v>#N/A</v>
      </c>
      <c r="P1152" s="106" t="str">
        <f t="shared" si="3"/>
        <v>#N/A</v>
      </c>
      <c r="Q1152" s="84" t="str">
        <f t="shared" si="4"/>
        <v>#N/A</v>
      </c>
      <c r="R1152" s="84" t="str">
        <f t="shared" si="5"/>
        <v>#N/A</v>
      </c>
      <c r="S1152" s="107">
        <f t="shared" si="6"/>
        <v>-0.11</v>
      </c>
      <c r="T1152" s="108">
        <f t="shared" si="7"/>
        <v>-1</v>
      </c>
      <c r="U1152" s="106" t="str">
        <f t="shared" si="8"/>
        <v>#N/A</v>
      </c>
      <c r="V1152" s="84" t="str">
        <f t="shared" si="9"/>
        <v/>
      </c>
      <c r="W1152" s="109" t="str">
        <f t="shared" si="10"/>
        <v/>
      </c>
      <c r="X1152" s="109" t="str">
        <f t="shared" si="11"/>
        <v/>
      </c>
      <c r="Y1152" s="110" t="str">
        <f t="array" ref="Y1152">_xlfn.XLOOKUP(A1152,'Video Database'!L:L,'Video Database'!M:M,"")</f>
        <v>Bottom of Funnel</v>
      </c>
    </row>
    <row r="1153" ht="22.5" customHeight="1">
      <c r="A1153" s="113">
        <f t="shared" si="12"/>
        <v>1152</v>
      </c>
      <c r="B1153" s="98" t="str">
        <f t="array" ref="B1153">_xlfn.XLOOKUP(A1153,'Video Database'!L:L,'Video Database'!D:D,"")</f>
        <v>Addison</v>
      </c>
      <c r="C1153" s="98" t="str">
        <f t="array" ref="C1153">_xlfn.XLOOKUP(A1153,'Video Database'!L:L,'Video Database'!E:E,"")</f>
        <v>Account 4</v>
      </c>
      <c r="D1153" s="99" t="str">
        <f t="array" ref="D1153">_xlfn.XLOOKUP(A1153,'Video Database'!L:L,'Video Database'!G:G,"")</f>
        <v>TIRTIR Hydro UV Shield Sunscreen</v>
      </c>
      <c r="E1153" s="100">
        <f t="array" ref="E1153">_xlfn.XLOOKUP(A1153,'Video Database'!L:L,'Video Database'!H:H,"")</f>
        <v>1.1</v>
      </c>
      <c r="F1153" s="101"/>
      <c r="G1153" s="87"/>
      <c r="H1153" s="114">
        <f t="array" ref="H1153">_xlfn.XLOOKUP(A1153,'Video Database'!L:L,'Video Database'!A:A,"")</f>
        <v>46202</v>
      </c>
      <c r="I1153" s="103"/>
      <c r="J1153" s="104"/>
      <c r="K1153" s="105"/>
      <c r="L1153" s="105" t="str">
        <f t="shared" si="1"/>
        <v/>
      </c>
      <c r="O1153" s="106" t="str">
        <f t="shared" si="2"/>
        <v>#N/A</v>
      </c>
      <c r="P1153" s="106" t="str">
        <f t="shared" si="3"/>
        <v>#N/A</v>
      </c>
      <c r="Q1153" s="84" t="str">
        <f t="shared" si="4"/>
        <v>#N/A</v>
      </c>
      <c r="R1153" s="84" t="str">
        <f t="shared" si="5"/>
        <v>#N/A</v>
      </c>
      <c r="S1153" s="107">
        <f t="shared" si="6"/>
        <v>-1.1</v>
      </c>
      <c r="T1153" s="108">
        <f t="shared" si="7"/>
        <v>-1</v>
      </c>
      <c r="U1153" s="106" t="str">
        <f t="shared" si="8"/>
        <v>#N/A</v>
      </c>
      <c r="V1153" s="84" t="str">
        <f t="shared" si="9"/>
        <v/>
      </c>
      <c r="W1153" s="109" t="str">
        <f t="shared" si="10"/>
        <v/>
      </c>
      <c r="X1153" s="109" t="str">
        <f t="shared" si="11"/>
        <v/>
      </c>
      <c r="Y1153" s="110" t="str">
        <f t="array" ref="Y1153">_xlfn.XLOOKUP(A1153,'Video Database'!L:L,'Video Database'!M:M,"")</f>
        <v>Middle of Funnel</v>
      </c>
    </row>
    <row r="1154" ht="22.5" customHeight="1">
      <c r="A1154" s="113">
        <f t="shared" si="12"/>
        <v>1153</v>
      </c>
      <c r="B1154" s="98" t="str">
        <f t="array" ref="B1154">_xlfn.XLOOKUP(A1154,'Video Database'!L:L,'Video Database'!D:D,"")</f>
        <v>Brittney</v>
      </c>
      <c r="C1154" s="98" t="str">
        <f t="array" ref="C1154">_xlfn.XLOOKUP(A1154,'Video Database'!L:L,'Video Database'!E:E,"")</f>
        <v>Account 1</v>
      </c>
      <c r="D1154" s="99" t="str">
        <f t="array" ref="D1154">_xlfn.XLOOKUP(A1154,'Video Database'!L:L,'Video Database'!G:G,"")</f>
        <v>Gruns Greens Popsicle Firecracker Gummies</v>
      </c>
      <c r="E1154" s="100">
        <f t="array" ref="E1154">_xlfn.XLOOKUP(A1154,'Video Database'!L:L,'Video Database'!H:H,"")</f>
        <v>0.11</v>
      </c>
      <c r="F1154" s="101"/>
      <c r="G1154" s="87"/>
      <c r="H1154" s="114">
        <f t="array" ref="H1154">_xlfn.XLOOKUP(A1154,'Video Database'!L:L,'Video Database'!A:A,"")</f>
        <v>46203</v>
      </c>
      <c r="I1154" s="103"/>
      <c r="J1154" s="104"/>
      <c r="K1154" s="105"/>
      <c r="L1154" s="105" t="str">
        <f t="shared" si="1"/>
        <v/>
      </c>
      <c r="O1154" s="106" t="str">
        <f t="shared" si="2"/>
        <v>#N/A</v>
      </c>
      <c r="P1154" s="106" t="str">
        <f t="shared" si="3"/>
        <v>#N/A</v>
      </c>
      <c r="Q1154" s="84" t="str">
        <f t="shared" si="4"/>
        <v>#N/A</v>
      </c>
      <c r="R1154" s="84" t="str">
        <f t="shared" si="5"/>
        <v>#N/A</v>
      </c>
      <c r="S1154" s="107">
        <f t="shared" si="6"/>
        <v>-0.11</v>
      </c>
      <c r="T1154" s="108">
        <f t="shared" si="7"/>
        <v>-1</v>
      </c>
      <c r="U1154" s="106" t="str">
        <f t="shared" si="8"/>
        <v>#N/A</v>
      </c>
      <c r="V1154" s="84" t="str">
        <f t="shared" si="9"/>
        <v/>
      </c>
      <c r="W1154" s="109" t="str">
        <f t="shared" si="10"/>
        <v/>
      </c>
      <c r="X1154" s="109" t="str">
        <f t="shared" si="11"/>
        <v/>
      </c>
      <c r="Y1154" s="110" t="str">
        <f t="array" ref="Y1154">_xlfn.XLOOKUP(A1154,'Video Database'!L:L,'Video Database'!M:M,"")</f>
        <v>Bottom of Funnel</v>
      </c>
    </row>
    <row r="1155" ht="22.5" customHeight="1">
      <c r="A1155" s="113">
        <f t="shared" si="12"/>
        <v>1154</v>
      </c>
      <c r="B1155" s="98" t="str">
        <f t="array" ref="B1155">_xlfn.XLOOKUP(A1155,'Video Database'!L:L,'Video Database'!D:D,"")</f>
        <v>Charley</v>
      </c>
      <c r="C1155" s="98" t="str">
        <f t="array" ref="C1155">_xlfn.XLOOKUP(A1155,'Video Database'!L:L,'Video Database'!E:E,"")</f>
        <v>Account 1</v>
      </c>
      <c r="D1155" s="99" t="str">
        <f t="array" ref="D1155">_xlfn.XLOOKUP(A1155,'Video Database'!L:L,'Video Database'!G:G,"")</f>
        <v>COSRX US Vitamin E Sunscreen</v>
      </c>
      <c r="E1155" s="100">
        <f t="array" ref="E1155">_xlfn.XLOOKUP(A1155,'Video Database'!L:L,'Video Database'!H:H,"")</f>
        <v>1.1</v>
      </c>
      <c r="F1155" s="101"/>
      <c r="G1155" s="87"/>
      <c r="H1155" s="114">
        <f t="array" ref="H1155">_xlfn.XLOOKUP(A1155,'Video Database'!L:L,'Video Database'!A:A,"")</f>
        <v>46203</v>
      </c>
      <c r="I1155" s="103"/>
      <c r="J1155" s="104"/>
      <c r="K1155" s="105"/>
      <c r="L1155" s="105" t="str">
        <f t="shared" si="1"/>
        <v/>
      </c>
      <c r="O1155" s="106" t="str">
        <f t="shared" si="2"/>
        <v>#N/A</v>
      </c>
      <c r="P1155" s="106" t="str">
        <f t="shared" si="3"/>
        <v>#N/A</v>
      </c>
      <c r="Q1155" s="84" t="str">
        <f t="shared" si="4"/>
        <v>#N/A</v>
      </c>
      <c r="R1155" s="84" t="str">
        <f t="shared" si="5"/>
        <v>#N/A</v>
      </c>
      <c r="S1155" s="107">
        <f t="shared" si="6"/>
        <v>-1.1</v>
      </c>
      <c r="T1155" s="108">
        <f t="shared" si="7"/>
        <v>-1</v>
      </c>
      <c r="U1155" s="106" t="str">
        <f t="shared" si="8"/>
        <v>#N/A</v>
      </c>
      <c r="V1155" s="84" t="str">
        <f t="shared" si="9"/>
        <v/>
      </c>
      <c r="W1155" s="109" t="str">
        <f t="shared" si="10"/>
        <v/>
      </c>
      <c r="X1155" s="109" t="str">
        <f t="shared" si="11"/>
        <v/>
      </c>
      <c r="Y1155" s="110" t="str">
        <f t="array" ref="Y1155">_xlfn.XLOOKUP(A1155,'Video Database'!L:L,'Video Database'!M:M,"")</f>
        <v>Middle of Funnel</v>
      </c>
    </row>
    <row r="1156" ht="22.5" customHeight="1">
      <c r="A1156" s="113">
        <f t="shared" si="12"/>
        <v>1155</v>
      </c>
      <c r="B1156" s="98" t="str">
        <f t="array" ref="B1156">_xlfn.XLOOKUP(A1156,'Video Database'!L:L,'Video Database'!D:D,"")</f>
        <v>Erin</v>
      </c>
      <c r="C1156" s="98" t="str">
        <f t="array" ref="C1156">_xlfn.XLOOKUP(A1156,'Video Database'!L:L,'Video Database'!E:E,"")</f>
        <v>Account 1</v>
      </c>
      <c r="D1156" s="99" t="str">
        <f t="array" ref="D1156">_xlfn.XLOOKUP(A1156,'Video Database'!L:L,'Video Database'!G:G,"")</f>
        <v>Elegant Faux Pearl Set</v>
      </c>
      <c r="E1156" s="100">
        <f t="array" ref="E1156">_xlfn.XLOOKUP(A1156,'Video Database'!L:L,'Video Database'!H:H,"")</f>
        <v>0.7337</v>
      </c>
      <c r="F1156" s="101"/>
      <c r="G1156" s="87"/>
      <c r="H1156" s="114">
        <f t="array" ref="H1156">_xlfn.XLOOKUP(A1156,'Video Database'!L:L,'Video Database'!A:A,"")</f>
        <v>46203</v>
      </c>
      <c r="I1156" s="103"/>
      <c r="J1156" s="104"/>
      <c r="K1156" s="105"/>
      <c r="L1156" s="105" t="str">
        <f t="shared" si="1"/>
        <v/>
      </c>
      <c r="O1156" s="106" t="str">
        <f t="shared" si="2"/>
        <v>#N/A</v>
      </c>
      <c r="P1156" s="106" t="str">
        <f t="shared" si="3"/>
        <v>#N/A</v>
      </c>
      <c r="Q1156" s="84" t="str">
        <f t="shared" si="4"/>
        <v>#N/A</v>
      </c>
      <c r="R1156" s="84" t="str">
        <f t="shared" si="5"/>
        <v>#N/A</v>
      </c>
      <c r="S1156" s="107">
        <f t="shared" si="6"/>
        <v>-0.7337</v>
      </c>
      <c r="T1156" s="108">
        <f t="shared" si="7"/>
        <v>-1</v>
      </c>
      <c r="U1156" s="106" t="str">
        <f t="shared" si="8"/>
        <v>#N/A</v>
      </c>
      <c r="V1156" s="84" t="str">
        <f t="shared" si="9"/>
        <v/>
      </c>
      <c r="W1156" s="109" t="str">
        <f t="shared" si="10"/>
        <v/>
      </c>
      <c r="X1156" s="109" t="str">
        <f t="shared" si="11"/>
        <v/>
      </c>
      <c r="Y1156" s="110" t="str">
        <f t="array" ref="Y1156">_xlfn.XLOOKUP(A1156,'Video Database'!L:L,'Video Database'!M:M,"")</f>
        <v>Bottom of Funnel</v>
      </c>
    </row>
    <row r="1157" ht="22.5" customHeight="1">
      <c r="A1157" s="113">
        <f t="shared" si="12"/>
        <v>1156</v>
      </c>
      <c r="B1157" s="98" t="str">
        <f t="array" ref="B1157">_xlfn.XLOOKUP(A1157,'Video Database'!L:L,'Video Database'!D:D,"")</f>
        <v>Charley</v>
      </c>
      <c r="C1157" s="98" t="str">
        <f t="array" ref="C1157">_xlfn.XLOOKUP(A1157,'Video Database'!L:L,'Video Database'!E:E,"")</f>
        <v>Account 1</v>
      </c>
      <c r="D1157" s="99" t="str">
        <f t="array" ref="D1157">_xlfn.XLOOKUP(A1157,'Video Database'!L:L,'Video Database'!G:G,"")</f>
        <v>COSRX US Lifting Hydrogel Mask</v>
      </c>
      <c r="E1157" s="100">
        <f t="array" ref="E1157">_xlfn.XLOOKUP(A1157,'Video Database'!L:L,'Video Database'!H:H,"")</f>
        <v>1.1</v>
      </c>
      <c r="F1157" s="101"/>
      <c r="G1157" s="87"/>
      <c r="H1157" s="114">
        <f t="array" ref="H1157">_xlfn.XLOOKUP(A1157,'Video Database'!L:L,'Video Database'!A:A,"")</f>
        <v>46203</v>
      </c>
      <c r="I1157" s="103"/>
      <c r="J1157" s="104"/>
      <c r="K1157" s="105"/>
      <c r="L1157" s="105" t="str">
        <f t="shared" si="1"/>
        <v/>
      </c>
      <c r="O1157" s="106" t="str">
        <f t="shared" si="2"/>
        <v>#N/A</v>
      </c>
      <c r="P1157" s="106" t="str">
        <f t="shared" si="3"/>
        <v>#N/A</v>
      </c>
      <c r="Q1157" s="84" t="str">
        <f t="shared" si="4"/>
        <v>#N/A</v>
      </c>
      <c r="R1157" s="84" t="str">
        <f t="shared" si="5"/>
        <v>#N/A</v>
      </c>
      <c r="S1157" s="107">
        <f t="shared" si="6"/>
        <v>-1.1</v>
      </c>
      <c r="T1157" s="108">
        <f t="shared" si="7"/>
        <v>-1</v>
      </c>
      <c r="U1157" s="106" t="str">
        <f t="shared" si="8"/>
        <v>#N/A</v>
      </c>
      <c r="V1157" s="84" t="str">
        <f t="shared" si="9"/>
        <v/>
      </c>
      <c r="W1157" s="109" t="str">
        <f t="shared" si="10"/>
        <v/>
      </c>
      <c r="X1157" s="109" t="str">
        <f t="shared" si="11"/>
        <v/>
      </c>
      <c r="Y1157" s="110" t="str">
        <f t="array" ref="Y1157">_xlfn.XLOOKUP(A1157,'Video Database'!L:L,'Video Database'!M:M,"")</f>
        <v>Middle of Funnel</v>
      </c>
    </row>
    <row r="1158" ht="22.5" customHeight="1">
      <c r="A1158" s="113">
        <f t="shared" si="12"/>
        <v>1157</v>
      </c>
      <c r="B1158" s="98" t="str">
        <f t="array" ref="B1158">_xlfn.XLOOKUP(A1158,'Video Database'!L:L,'Video Database'!D:D,"")</f>
        <v>Erin</v>
      </c>
      <c r="C1158" s="98" t="str">
        <f t="array" ref="C1158">_xlfn.XLOOKUP(A1158,'Video Database'!L:L,'Video Database'!E:E,"")</f>
        <v>Account 1</v>
      </c>
      <c r="D1158" s="99" t="str">
        <f t="array" ref="D1158">_xlfn.XLOOKUP(A1158,'Video Database'!L:L,'Video Database'!G:G,"")</f>
        <v>Carovo Hoop Earrings Set</v>
      </c>
      <c r="E1158" s="100">
        <f t="array" ref="E1158">_xlfn.XLOOKUP(A1158,'Video Database'!L:L,'Video Database'!H:H,"")</f>
        <v>0.7337</v>
      </c>
      <c r="F1158" s="101"/>
      <c r="G1158" s="87"/>
      <c r="H1158" s="114">
        <f t="array" ref="H1158">_xlfn.XLOOKUP(A1158,'Video Database'!L:L,'Video Database'!A:A,"")</f>
        <v>46203</v>
      </c>
      <c r="I1158" s="103"/>
      <c r="J1158" s="104"/>
      <c r="K1158" s="105"/>
      <c r="L1158" s="105" t="str">
        <f t="shared" si="1"/>
        <v/>
      </c>
      <c r="O1158" s="106" t="str">
        <f t="shared" si="2"/>
        <v>#N/A</v>
      </c>
      <c r="P1158" s="106" t="str">
        <f t="shared" si="3"/>
        <v>#N/A</v>
      </c>
      <c r="Q1158" s="84" t="str">
        <f t="shared" si="4"/>
        <v>#N/A</v>
      </c>
      <c r="R1158" s="84" t="str">
        <f t="shared" si="5"/>
        <v>#N/A</v>
      </c>
      <c r="S1158" s="107">
        <f t="shared" si="6"/>
        <v>-0.7337</v>
      </c>
      <c r="T1158" s="108">
        <f t="shared" si="7"/>
        <v>-1</v>
      </c>
      <c r="U1158" s="106" t="str">
        <f t="shared" si="8"/>
        <v>#N/A</v>
      </c>
      <c r="V1158" s="84" t="str">
        <f t="shared" si="9"/>
        <v/>
      </c>
      <c r="W1158" s="109" t="str">
        <f t="shared" si="10"/>
        <v/>
      </c>
      <c r="X1158" s="109" t="str">
        <f t="shared" si="11"/>
        <v/>
      </c>
      <c r="Y1158" s="110" t="str">
        <f t="array" ref="Y1158">_xlfn.XLOOKUP(A1158,'Video Database'!L:L,'Video Database'!M:M,"")</f>
        <v>Bottom of Funnel</v>
      </c>
    </row>
    <row r="1159" ht="22.5" customHeight="1">
      <c r="A1159" s="113">
        <f t="shared" si="12"/>
        <v>1158</v>
      </c>
      <c r="B1159" s="98" t="str">
        <f t="array" ref="B1159">_xlfn.XLOOKUP(A1159,'Video Database'!L:L,'Video Database'!D:D,"")</f>
        <v>Addison</v>
      </c>
      <c r="C1159" s="98" t="str">
        <f t="array" ref="C1159">_xlfn.XLOOKUP(A1159,'Video Database'!L:L,'Video Database'!E:E,"")</f>
        <v>Account 1</v>
      </c>
      <c r="D1159" s="99" t="str">
        <f t="array" ref="D1159">_xlfn.XLOOKUP(A1159,'Video Database'!L:L,'Video Database'!G:G,"")</f>
        <v>TIRTIR Hydro UV Shield Sunscreen</v>
      </c>
      <c r="E1159" s="100">
        <f t="array" ref="E1159">_xlfn.XLOOKUP(A1159,'Video Database'!L:L,'Video Database'!H:H,"")</f>
        <v>1.1</v>
      </c>
      <c r="F1159" s="101"/>
      <c r="G1159" s="87"/>
      <c r="H1159" s="114">
        <f t="array" ref="H1159">_xlfn.XLOOKUP(A1159,'Video Database'!L:L,'Video Database'!A:A,"")</f>
        <v>46203</v>
      </c>
      <c r="I1159" s="103"/>
      <c r="J1159" s="104"/>
      <c r="K1159" s="105"/>
      <c r="L1159" s="105" t="str">
        <f t="shared" si="1"/>
        <v/>
      </c>
      <c r="O1159" s="106" t="str">
        <f t="shared" si="2"/>
        <v>#N/A</v>
      </c>
      <c r="P1159" s="106" t="str">
        <f t="shared" si="3"/>
        <v>#N/A</v>
      </c>
      <c r="Q1159" s="84" t="str">
        <f t="shared" si="4"/>
        <v>#N/A</v>
      </c>
      <c r="R1159" s="84" t="str">
        <f t="shared" si="5"/>
        <v>#N/A</v>
      </c>
      <c r="S1159" s="107">
        <f t="shared" si="6"/>
        <v>-1.1</v>
      </c>
      <c r="T1159" s="108">
        <f t="shared" si="7"/>
        <v>-1</v>
      </c>
      <c r="U1159" s="106" t="str">
        <f t="shared" si="8"/>
        <v>#N/A</v>
      </c>
      <c r="V1159" s="84" t="str">
        <f t="shared" si="9"/>
        <v/>
      </c>
      <c r="W1159" s="109" t="str">
        <f t="shared" si="10"/>
        <v/>
      </c>
      <c r="X1159" s="109" t="str">
        <f t="shared" si="11"/>
        <v/>
      </c>
      <c r="Y1159" s="110" t="str">
        <f t="array" ref="Y1159">_xlfn.XLOOKUP(A1159,'Video Database'!L:L,'Video Database'!M:M,"")</f>
        <v>Middle of Funnel</v>
      </c>
    </row>
    <row r="1160" ht="22.5" customHeight="1">
      <c r="A1160" s="113">
        <f t="shared" si="12"/>
        <v>1159</v>
      </c>
      <c r="B1160" s="98" t="str">
        <f t="array" ref="B1160">_xlfn.XLOOKUP(A1160,'Video Database'!L:L,'Video Database'!D:D,"")</f>
        <v>Erin</v>
      </c>
      <c r="C1160" s="98" t="str">
        <f t="array" ref="C1160">_xlfn.XLOOKUP(A1160,'Video Database'!L:L,'Video Database'!E:E,"")</f>
        <v>Account 1</v>
      </c>
      <c r="D1160" s="99" t="str">
        <f t="array" ref="D1160">_xlfn.XLOOKUP(A1160,'Video Database'!L:L,'Video Database'!G:G,"")</f>
        <v>XL Microfiber Towel</v>
      </c>
      <c r="E1160" s="100">
        <f t="array" ref="E1160">_xlfn.XLOOKUP(A1160,'Video Database'!L:L,'Video Database'!H:H,"")</f>
        <v>0.7337</v>
      </c>
      <c r="F1160" s="101"/>
      <c r="G1160" s="87"/>
      <c r="H1160" s="114">
        <f t="array" ref="H1160">_xlfn.XLOOKUP(A1160,'Video Database'!L:L,'Video Database'!A:A,"")</f>
        <v>46203</v>
      </c>
      <c r="I1160" s="103"/>
      <c r="J1160" s="104"/>
      <c r="K1160" s="105"/>
      <c r="L1160" s="105" t="str">
        <f t="shared" si="1"/>
        <v/>
      </c>
      <c r="O1160" s="106" t="str">
        <f t="shared" si="2"/>
        <v>#N/A</v>
      </c>
      <c r="P1160" s="106" t="str">
        <f t="shared" si="3"/>
        <v>#N/A</v>
      </c>
      <c r="Q1160" s="84" t="str">
        <f t="shared" si="4"/>
        <v>#N/A</v>
      </c>
      <c r="R1160" s="84" t="str">
        <f t="shared" si="5"/>
        <v>#N/A</v>
      </c>
      <c r="S1160" s="107">
        <f t="shared" si="6"/>
        <v>-0.7337</v>
      </c>
      <c r="T1160" s="108">
        <f t="shared" si="7"/>
        <v>-1</v>
      </c>
      <c r="U1160" s="106" t="str">
        <f t="shared" si="8"/>
        <v>#N/A</v>
      </c>
      <c r="V1160" s="84" t="str">
        <f t="shared" si="9"/>
        <v/>
      </c>
      <c r="W1160" s="109" t="str">
        <f t="shared" si="10"/>
        <v/>
      </c>
      <c r="X1160" s="109" t="str">
        <f t="shared" si="11"/>
        <v/>
      </c>
      <c r="Y1160" s="110" t="str">
        <f t="array" ref="Y1160">_xlfn.XLOOKUP(A1160,'Video Database'!L:L,'Video Database'!M:M,"")</f>
        <v>Bottom of Funnel</v>
      </c>
    </row>
    <row r="1161" ht="22.5" customHeight="1">
      <c r="A1161" s="113">
        <f t="shared" si="12"/>
        <v>1160</v>
      </c>
      <c r="B1161" s="98" t="str">
        <f t="array" ref="B1161">_xlfn.XLOOKUP(A1161,'Video Database'!L:L,'Video Database'!D:D,"")</f>
        <v>Sierra</v>
      </c>
      <c r="C1161" s="98" t="str">
        <f t="array" ref="C1161">_xlfn.XLOOKUP(A1161,'Video Database'!L:L,'Video Database'!E:E,"")</f>
        <v>Account 1</v>
      </c>
      <c r="D1161" s="99" t="str">
        <f t="array" ref="D1161">_xlfn.XLOOKUP(A1161,'Video Database'!L:L,'Video Database'!G:G,"")</f>
        <v>SKIN1004 Hyla-Cica Water Fit Sunscreen</v>
      </c>
      <c r="E1161" s="100">
        <f t="array" ref="E1161">_xlfn.XLOOKUP(A1161,'Video Database'!L:L,'Video Database'!H:H,"")</f>
        <v>1.1</v>
      </c>
      <c r="F1161" s="101"/>
      <c r="G1161" s="87"/>
      <c r="H1161" s="114">
        <f t="array" ref="H1161">_xlfn.XLOOKUP(A1161,'Video Database'!L:L,'Video Database'!A:A,"")</f>
        <v>46203</v>
      </c>
      <c r="I1161" s="103"/>
      <c r="J1161" s="104"/>
      <c r="K1161" s="105"/>
      <c r="L1161" s="105" t="str">
        <f t="shared" si="1"/>
        <v/>
      </c>
      <c r="O1161" s="106" t="str">
        <f t="shared" si="2"/>
        <v>#N/A</v>
      </c>
      <c r="P1161" s="106" t="str">
        <f t="shared" si="3"/>
        <v>#N/A</v>
      </c>
      <c r="Q1161" s="84" t="str">
        <f t="shared" si="4"/>
        <v>#N/A</v>
      </c>
      <c r="R1161" s="84" t="str">
        <f t="shared" si="5"/>
        <v>#N/A</v>
      </c>
      <c r="S1161" s="107">
        <f t="shared" si="6"/>
        <v>-1.1</v>
      </c>
      <c r="T1161" s="108">
        <f t="shared" si="7"/>
        <v>-1</v>
      </c>
      <c r="U1161" s="106" t="str">
        <f t="shared" si="8"/>
        <v>#N/A</v>
      </c>
      <c r="V1161" s="84" t="str">
        <f t="shared" si="9"/>
        <v/>
      </c>
      <c r="W1161" s="109" t="str">
        <f t="shared" si="10"/>
        <v/>
      </c>
      <c r="X1161" s="109" t="str">
        <f t="shared" si="11"/>
        <v/>
      </c>
      <c r="Y1161" s="110" t="str">
        <f t="array" ref="Y1161">_xlfn.XLOOKUP(A1161,'Video Database'!L:L,'Video Database'!M:M,"")</f>
        <v>Middle of Funnel</v>
      </c>
    </row>
    <row r="1162" ht="22.5" customHeight="1">
      <c r="A1162" s="113">
        <f t="shared" si="12"/>
        <v>1161</v>
      </c>
      <c r="B1162" s="98" t="str">
        <f t="array" ref="B1162">_xlfn.XLOOKUP(A1162,'Video Database'!L:L,'Video Database'!D:D,"")</f>
        <v>Erin</v>
      </c>
      <c r="C1162" s="98" t="str">
        <f t="array" ref="C1162">_xlfn.XLOOKUP(A1162,'Video Database'!L:L,'Video Database'!E:E,"")</f>
        <v>Account 1</v>
      </c>
      <c r="D1162" s="99" t="str">
        <f t="array" ref="D1162">_xlfn.XLOOKUP(A1162,'Video Database'!L:L,'Video Database'!G:G,"")</f>
        <v>Medicube Kojic Accid Tumeric Pads</v>
      </c>
      <c r="E1162" s="100">
        <f t="array" ref="E1162">_xlfn.XLOOKUP(A1162,'Video Database'!L:L,'Video Database'!H:H,"")</f>
        <v>0.7337</v>
      </c>
      <c r="F1162" s="101"/>
      <c r="G1162" s="87"/>
      <c r="H1162" s="114">
        <f t="array" ref="H1162">_xlfn.XLOOKUP(A1162,'Video Database'!L:L,'Video Database'!A:A,"")</f>
        <v>46203</v>
      </c>
      <c r="I1162" s="103"/>
      <c r="J1162" s="104"/>
      <c r="K1162" s="105"/>
      <c r="L1162" s="105" t="str">
        <f t="shared" si="1"/>
        <v/>
      </c>
      <c r="O1162" s="106" t="str">
        <f t="shared" si="2"/>
        <v>#N/A</v>
      </c>
      <c r="P1162" s="106" t="str">
        <f t="shared" si="3"/>
        <v>#N/A</v>
      </c>
      <c r="Q1162" s="84" t="str">
        <f t="shared" si="4"/>
        <v>#N/A</v>
      </c>
      <c r="R1162" s="84" t="str">
        <f t="shared" si="5"/>
        <v>#N/A</v>
      </c>
      <c r="S1162" s="107">
        <f t="shared" si="6"/>
        <v>-0.7337</v>
      </c>
      <c r="T1162" s="108">
        <f t="shared" si="7"/>
        <v>-1</v>
      </c>
      <c r="U1162" s="106" t="str">
        <f t="shared" si="8"/>
        <v>#N/A</v>
      </c>
      <c r="V1162" s="84" t="str">
        <f t="shared" si="9"/>
        <v/>
      </c>
      <c r="W1162" s="109" t="str">
        <f t="shared" si="10"/>
        <v/>
      </c>
      <c r="X1162" s="109" t="str">
        <f t="shared" si="11"/>
        <v/>
      </c>
      <c r="Y1162" s="110" t="str">
        <f t="array" ref="Y1162">_xlfn.XLOOKUP(A1162,'Video Database'!L:L,'Video Database'!M:M,"")</f>
        <v>Bottom of Funnel</v>
      </c>
    </row>
    <row r="1163" ht="22.5" customHeight="1">
      <c r="A1163" s="113">
        <f t="shared" si="12"/>
        <v>1162</v>
      </c>
      <c r="B1163" s="98" t="str">
        <f t="array" ref="B1163">_xlfn.XLOOKUP(A1163,'Video Database'!L:L,'Video Database'!D:D,"")</f>
        <v>Erin</v>
      </c>
      <c r="C1163" s="98" t="str">
        <f t="array" ref="C1163">_xlfn.XLOOKUP(A1163,'Video Database'!L:L,'Video Database'!E:E,"")</f>
        <v>Account 1</v>
      </c>
      <c r="D1163" s="99" t="str">
        <f t="array" ref="D1163">_xlfn.XLOOKUP(A1163,'Video Database'!L:L,'Video Database'!G:G,"")</f>
        <v>Kaja Beauty 3-in-1 Eyeshadow Stack</v>
      </c>
      <c r="E1163" s="100">
        <f t="array" ref="E1163">_xlfn.XLOOKUP(A1163,'Video Database'!L:L,'Video Database'!H:H,"")</f>
        <v>0.7337</v>
      </c>
      <c r="F1163" s="101"/>
      <c r="G1163" s="87"/>
      <c r="H1163" s="114">
        <f t="array" ref="H1163">_xlfn.XLOOKUP(A1163,'Video Database'!L:L,'Video Database'!A:A,"")</f>
        <v>46203</v>
      </c>
      <c r="I1163" s="103"/>
      <c r="J1163" s="104"/>
      <c r="K1163" s="105"/>
      <c r="L1163" s="105" t="str">
        <f t="shared" si="1"/>
        <v/>
      </c>
      <c r="O1163" s="106" t="str">
        <f t="shared" si="2"/>
        <v>#N/A</v>
      </c>
      <c r="P1163" s="106" t="str">
        <f t="shared" si="3"/>
        <v>#N/A</v>
      </c>
      <c r="Q1163" s="84" t="str">
        <f t="shared" si="4"/>
        <v>#N/A</v>
      </c>
      <c r="R1163" s="84" t="str">
        <f t="shared" si="5"/>
        <v>#N/A</v>
      </c>
      <c r="S1163" s="107">
        <f t="shared" si="6"/>
        <v>-0.7337</v>
      </c>
      <c r="T1163" s="108">
        <f t="shared" si="7"/>
        <v>-1</v>
      </c>
      <c r="U1163" s="106" t="str">
        <f t="shared" si="8"/>
        <v>#N/A</v>
      </c>
      <c r="V1163" s="84" t="str">
        <f t="shared" si="9"/>
        <v/>
      </c>
      <c r="W1163" s="109" t="str">
        <f t="shared" si="10"/>
        <v/>
      </c>
      <c r="X1163" s="109" t="str">
        <f t="shared" si="11"/>
        <v/>
      </c>
      <c r="Y1163" s="110" t="str">
        <f t="array" ref="Y1163">_xlfn.XLOOKUP(A1163,'Video Database'!L:L,'Video Database'!M:M,"")</f>
        <v>Bottom of Funnel</v>
      </c>
    </row>
    <row r="1164" ht="22.5" customHeight="1">
      <c r="A1164" s="113">
        <f t="shared" si="12"/>
        <v>1163</v>
      </c>
      <c r="B1164" s="98" t="str">
        <f t="array" ref="B1164">_xlfn.XLOOKUP(A1164,'Video Database'!L:L,'Video Database'!D:D,"")</f>
        <v>Sierra</v>
      </c>
      <c r="C1164" s="98" t="str">
        <f t="array" ref="C1164">_xlfn.XLOOKUP(A1164,'Video Database'!L:L,'Video Database'!E:E,"")</f>
        <v>Account 2</v>
      </c>
      <c r="D1164" s="99" t="str">
        <f t="array" ref="D1164">_xlfn.XLOOKUP(A1164,'Video Database'!L:L,'Video Database'!G:G,"")</f>
        <v>Taste Salud Skin + Beauty Drink Mix</v>
      </c>
      <c r="E1164" s="100">
        <f t="array" ref="E1164">_xlfn.XLOOKUP(A1164,'Video Database'!L:L,'Video Database'!H:H,"")</f>
        <v>1.1</v>
      </c>
      <c r="F1164" s="101"/>
      <c r="G1164" s="87"/>
      <c r="H1164" s="114">
        <f t="array" ref="H1164">_xlfn.XLOOKUP(A1164,'Video Database'!L:L,'Video Database'!A:A,"")</f>
        <v>46203</v>
      </c>
      <c r="I1164" s="103"/>
      <c r="J1164" s="104"/>
      <c r="K1164" s="105"/>
      <c r="L1164" s="105" t="str">
        <f t="shared" si="1"/>
        <v/>
      </c>
      <c r="O1164" s="106" t="str">
        <f t="shared" si="2"/>
        <v>#N/A</v>
      </c>
      <c r="P1164" s="106" t="str">
        <f t="shared" si="3"/>
        <v>#N/A</v>
      </c>
      <c r="Q1164" s="84" t="str">
        <f t="shared" si="4"/>
        <v>#N/A</v>
      </c>
      <c r="R1164" s="84" t="str">
        <f t="shared" si="5"/>
        <v>#N/A</v>
      </c>
      <c r="S1164" s="107">
        <f t="shared" si="6"/>
        <v>-1.1</v>
      </c>
      <c r="T1164" s="108">
        <f t="shared" si="7"/>
        <v>-1</v>
      </c>
      <c r="U1164" s="106" t="str">
        <f t="shared" si="8"/>
        <v>#N/A</v>
      </c>
      <c r="V1164" s="84" t="str">
        <f t="shared" si="9"/>
        <v/>
      </c>
      <c r="W1164" s="109" t="str">
        <f t="shared" si="10"/>
        <v/>
      </c>
      <c r="X1164" s="109" t="str">
        <f t="shared" si="11"/>
        <v/>
      </c>
      <c r="Y1164" s="110" t="str">
        <f t="array" ref="Y1164">_xlfn.XLOOKUP(A1164,'Video Database'!L:L,'Video Database'!M:M,"")</f>
        <v>Middle of Funnel</v>
      </c>
    </row>
    <row r="1165" ht="22.5" customHeight="1">
      <c r="A1165" s="113">
        <f t="shared" si="12"/>
        <v>1164</v>
      </c>
      <c r="B1165" s="98" t="str">
        <f t="array" ref="B1165">_xlfn.XLOOKUP(A1165,'Video Database'!L:L,'Video Database'!D:D,"")</f>
        <v>Charley</v>
      </c>
      <c r="C1165" s="98" t="str">
        <f t="array" ref="C1165">_xlfn.XLOOKUP(A1165,'Video Database'!L:L,'Video Database'!E:E,"")</f>
        <v>Account 2</v>
      </c>
      <c r="D1165" s="99" t="str">
        <f t="array" ref="D1165">_xlfn.XLOOKUP(A1165,'Video Database'!L:L,'Video Database'!G:G,"")</f>
        <v>COSRX US Lifting Hydrogel Mask</v>
      </c>
      <c r="E1165" s="100">
        <f t="array" ref="E1165">_xlfn.XLOOKUP(A1165,'Video Database'!L:L,'Video Database'!H:H,"")</f>
        <v>1.1</v>
      </c>
      <c r="F1165" s="101"/>
      <c r="G1165" s="87"/>
      <c r="H1165" s="114">
        <f t="array" ref="H1165">_xlfn.XLOOKUP(A1165,'Video Database'!L:L,'Video Database'!A:A,"")</f>
        <v>46203</v>
      </c>
      <c r="I1165" s="103"/>
      <c r="J1165" s="104"/>
      <c r="K1165" s="105"/>
      <c r="L1165" s="105" t="str">
        <f t="shared" si="1"/>
        <v/>
      </c>
      <c r="O1165" s="106" t="str">
        <f t="shared" si="2"/>
        <v>#N/A</v>
      </c>
      <c r="P1165" s="106" t="str">
        <f t="shared" si="3"/>
        <v>#N/A</v>
      </c>
      <c r="Q1165" s="84" t="str">
        <f t="shared" si="4"/>
        <v>#N/A</v>
      </c>
      <c r="R1165" s="84" t="str">
        <f t="shared" si="5"/>
        <v>#N/A</v>
      </c>
      <c r="S1165" s="107">
        <f t="shared" si="6"/>
        <v>-1.1</v>
      </c>
      <c r="T1165" s="108">
        <f t="shared" si="7"/>
        <v>-1</v>
      </c>
      <c r="U1165" s="106" t="str">
        <f t="shared" si="8"/>
        <v>#N/A</v>
      </c>
      <c r="V1165" s="84" t="str">
        <f t="shared" si="9"/>
        <v/>
      </c>
      <c r="W1165" s="109" t="str">
        <f t="shared" si="10"/>
        <v/>
      </c>
      <c r="X1165" s="109" t="str">
        <f t="shared" si="11"/>
        <v/>
      </c>
      <c r="Y1165" s="110" t="str">
        <f t="array" ref="Y1165">_xlfn.XLOOKUP(A1165,'Video Database'!L:L,'Video Database'!M:M,"")</f>
        <v>Middle of Funnel</v>
      </c>
    </row>
    <row r="1166" ht="22.5" customHeight="1">
      <c r="A1166" s="113">
        <f t="shared" si="12"/>
        <v>1165</v>
      </c>
      <c r="B1166" s="98" t="str">
        <f t="array" ref="B1166">_xlfn.XLOOKUP(A1166,'Video Database'!L:L,'Video Database'!D:D,"")</f>
        <v>Erin</v>
      </c>
      <c r="C1166" s="98" t="str">
        <f t="array" ref="C1166">_xlfn.XLOOKUP(A1166,'Video Database'!L:L,'Video Database'!E:E,"")</f>
        <v>Account 2</v>
      </c>
      <c r="D1166" s="99" t="str">
        <f t="array" ref="D1166">_xlfn.XLOOKUP(A1166,'Video Database'!L:L,'Video Database'!G:G,"")</f>
        <v>Medicube Kojic Accid Tumeric Pads</v>
      </c>
      <c r="E1166" s="100">
        <f t="array" ref="E1166">_xlfn.XLOOKUP(A1166,'Video Database'!L:L,'Video Database'!H:H,"")</f>
        <v>0.7337</v>
      </c>
      <c r="F1166" s="101"/>
      <c r="G1166" s="87"/>
      <c r="H1166" s="114">
        <f t="array" ref="H1166">_xlfn.XLOOKUP(A1166,'Video Database'!L:L,'Video Database'!A:A,"")</f>
        <v>46203</v>
      </c>
      <c r="I1166" s="103"/>
      <c r="J1166" s="104"/>
      <c r="K1166" s="105"/>
      <c r="L1166" s="105" t="str">
        <f t="shared" si="1"/>
        <v/>
      </c>
      <c r="O1166" s="106" t="str">
        <f t="shared" si="2"/>
        <v>#N/A</v>
      </c>
      <c r="P1166" s="106" t="str">
        <f t="shared" si="3"/>
        <v>#N/A</v>
      </c>
      <c r="Q1166" s="84" t="str">
        <f t="shared" si="4"/>
        <v>#N/A</v>
      </c>
      <c r="R1166" s="84" t="str">
        <f t="shared" si="5"/>
        <v>#N/A</v>
      </c>
      <c r="S1166" s="107">
        <f t="shared" si="6"/>
        <v>-0.7337</v>
      </c>
      <c r="T1166" s="108">
        <f t="shared" si="7"/>
        <v>-1</v>
      </c>
      <c r="U1166" s="106" t="str">
        <f t="shared" si="8"/>
        <v>#N/A</v>
      </c>
      <c r="V1166" s="84" t="str">
        <f t="shared" si="9"/>
        <v/>
      </c>
      <c r="W1166" s="109" t="str">
        <f t="shared" si="10"/>
        <v/>
      </c>
      <c r="X1166" s="109" t="str">
        <f t="shared" si="11"/>
        <v/>
      </c>
      <c r="Y1166" s="110" t="str">
        <f t="array" ref="Y1166">_xlfn.XLOOKUP(A1166,'Video Database'!L:L,'Video Database'!M:M,"")</f>
        <v>Bottom of Funnel</v>
      </c>
    </row>
    <row r="1167" ht="22.5" customHeight="1">
      <c r="A1167" s="113">
        <f t="shared" si="12"/>
        <v>1166</v>
      </c>
      <c r="B1167" s="98" t="str">
        <f t="array" ref="B1167">_xlfn.XLOOKUP(A1167,'Video Database'!L:L,'Video Database'!D:D,"")</f>
        <v>Erin</v>
      </c>
      <c r="C1167" s="98" t="str">
        <f t="array" ref="C1167">_xlfn.XLOOKUP(A1167,'Video Database'!L:L,'Video Database'!E:E,"")</f>
        <v>Account 2</v>
      </c>
      <c r="D1167" s="99" t="str">
        <f t="array" ref="D1167">_xlfn.XLOOKUP(A1167,'Video Database'!L:L,'Video Database'!G:G,"")</f>
        <v>Elegant Faux Pearl Set</v>
      </c>
      <c r="E1167" s="100">
        <f t="array" ref="E1167">_xlfn.XLOOKUP(A1167,'Video Database'!L:L,'Video Database'!H:H,"")</f>
        <v>0.7337</v>
      </c>
      <c r="F1167" s="101"/>
      <c r="G1167" s="87"/>
      <c r="H1167" s="114">
        <f t="array" ref="H1167">_xlfn.XLOOKUP(A1167,'Video Database'!L:L,'Video Database'!A:A,"")</f>
        <v>46203</v>
      </c>
      <c r="I1167" s="103"/>
      <c r="J1167" s="104"/>
      <c r="K1167" s="105"/>
      <c r="L1167" s="105" t="str">
        <f t="shared" si="1"/>
        <v/>
      </c>
      <c r="O1167" s="106" t="str">
        <f t="shared" si="2"/>
        <v>#N/A</v>
      </c>
      <c r="P1167" s="106" t="str">
        <f t="shared" si="3"/>
        <v>#N/A</v>
      </c>
      <c r="Q1167" s="84" t="str">
        <f t="shared" si="4"/>
        <v>#N/A</v>
      </c>
      <c r="R1167" s="84" t="str">
        <f t="shared" si="5"/>
        <v>#N/A</v>
      </c>
      <c r="S1167" s="107">
        <f t="shared" si="6"/>
        <v>-0.7337</v>
      </c>
      <c r="T1167" s="108">
        <f t="shared" si="7"/>
        <v>-1</v>
      </c>
      <c r="U1167" s="106" t="str">
        <f t="shared" si="8"/>
        <v>#N/A</v>
      </c>
      <c r="V1167" s="84" t="str">
        <f t="shared" si="9"/>
        <v/>
      </c>
      <c r="W1167" s="109" t="str">
        <f t="shared" si="10"/>
        <v/>
      </c>
      <c r="X1167" s="109" t="str">
        <f t="shared" si="11"/>
        <v/>
      </c>
      <c r="Y1167" s="110" t="str">
        <f t="array" ref="Y1167">_xlfn.XLOOKUP(A1167,'Video Database'!L:L,'Video Database'!M:M,"")</f>
        <v>Bottom of Funnel</v>
      </c>
    </row>
    <row r="1168" ht="22.5" customHeight="1">
      <c r="A1168" s="113">
        <f t="shared" si="12"/>
        <v>1167</v>
      </c>
      <c r="B1168" s="98" t="str">
        <f t="array" ref="B1168">_xlfn.XLOOKUP(A1168,'Video Database'!L:L,'Video Database'!D:D,"")</f>
        <v>Charley</v>
      </c>
      <c r="C1168" s="98" t="str">
        <f t="array" ref="C1168">_xlfn.XLOOKUP(A1168,'Video Database'!L:L,'Video Database'!E:E,"")</f>
        <v>Account 2</v>
      </c>
      <c r="D1168" s="99" t="str">
        <f t="array" ref="D1168">_xlfn.XLOOKUP(A1168,'Video Database'!L:L,'Video Database'!G:G,"")</f>
        <v>COSRX US Vitamin E Sunscreen</v>
      </c>
      <c r="E1168" s="100">
        <f t="array" ref="E1168">_xlfn.XLOOKUP(A1168,'Video Database'!L:L,'Video Database'!H:H,"")</f>
        <v>1.1</v>
      </c>
      <c r="F1168" s="101"/>
      <c r="G1168" s="87"/>
      <c r="H1168" s="114">
        <f t="array" ref="H1168">_xlfn.XLOOKUP(A1168,'Video Database'!L:L,'Video Database'!A:A,"")</f>
        <v>46203</v>
      </c>
      <c r="I1168" s="103"/>
      <c r="J1168" s="104"/>
      <c r="K1168" s="105"/>
      <c r="L1168" s="105" t="str">
        <f t="shared" si="1"/>
        <v/>
      </c>
      <c r="O1168" s="106" t="str">
        <f t="shared" si="2"/>
        <v>#N/A</v>
      </c>
      <c r="P1168" s="106" t="str">
        <f t="shared" si="3"/>
        <v>#N/A</v>
      </c>
      <c r="Q1168" s="84" t="str">
        <f t="shared" si="4"/>
        <v>#N/A</v>
      </c>
      <c r="R1168" s="84" t="str">
        <f t="shared" si="5"/>
        <v>#N/A</v>
      </c>
      <c r="S1168" s="107">
        <f t="shared" si="6"/>
        <v>-1.1</v>
      </c>
      <c r="T1168" s="108">
        <f t="shared" si="7"/>
        <v>-1</v>
      </c>
      <c r="U1168" s="106" t="str">
        <f t="shared" si="8"/>
        <v>#N/A</v>
      </c>
      <c r="V1168" s="84" t="str">
        <f t="shared" si="9"/>
        <v/>
      </c>
      <c r="W1168" s="109" t="str">
        <f t="shared" si="10"/>
        <v/>
      </c>
      <c r="X1168" s="109" t="str">
        <f t="shared" si="11"/>
        <v/>
      </c>
      <c r="Y1168" s="110" t="str">
        <f t="array" ref="Y1168">_xlfn.XLOOKUP(A1168,'Video Database'!L:L,'Video Database'!M:M,"")</f>
        <v>Middle of Funnel</v>
      </c>
    </row>
    <row r="1169" ht="22.5" customHeight="1">
      <c r="A1169" s="113">
        <f t="shared" si="12"/>
        <v>1168</v>
      </c>
      <c r="B1169" s="98" t="str">
        <f t="array" ref="B1169">_xlfn.XLOOKUP(A1169,'Video Database'!L:L,'Video Database'!D:D,"")</f>
        <v>Erin</v>
      </c>
      <c r="C1169" s="98" t="str">
        <f t="array" ref="C1169">_xlfn.XLOOKUP(A1169,'Video Database'!L:L,'Video Database'!E:E,"")</f>
        <v>Account 2</v>
      </c>
      <c r="D1169" s="99" t="str">
        <f t="array" ref="D1169">_xlfn.XLOOKUP(A1169,'Video Database'!L:L,'Video Database'!G:G,"")</f>
        <v>Kaja Beauty 3-in-1 Eyeshadow Stack</v>
      </c>
      <c r="E1169" s="100">
        <f t="array" ref="E1169">_xlfn.XLOOKUP(A1169,'Video Database'!L:L,'Video Database'!H:H,"")</f>
        <v>0.7337</v>
      </c>
      <c r="F1169" s="101"/>
      <c r="G1169" s="87"/>
      <c r="H1169" s="114">
        <f t="array" ref="H1169">_xlfn.XLOOKUP(A1169,'Video Database'!L:L,'Video Database'!A:A,"")</f>
        <v>46203</v>
      </c>
      <c r="I1169" s="103"/>
      <c r="J1169" s="104"/>
      <c r="K1169" s="105"/>
      <c r="L1169" s="105" t="str">
        <f t="shared" si="1"/>
        <v/>
      </c>
      <c r="O1169" s="106" t="str">
        <f t="shared" si="2"/>
        <v>#N/A</v>
      </c>
      <c r="P1169" s="106" t="str">
        <f t="shared" si="3"/>
        <v>#N/A</v>
      </c>
      <c r="Q1169" s="84" t="str">
        <f t="shared" si="4"/>
        <v>#N/A</v>
      </c>
      <c r="R1169" s="84" t="str">
        <f t="shared" si="5"/>
        <v>#N/A</v>
      </c>
      <c r="S1169" s="107">
        <f t="shared" si="6"/>
        <v>-0.7337</v>
      </c>
      <c r="T1169" s="108">
        <f t="shared" si="7"/>
        <v>-1</v>
      </c>
      <c r="U1169" s="106" t="str">
        <f t="shared" si="8"/>
        <v>#N/A</v>
      </c>
      <c r="V1169" s="84" t="str">
        <f t="shared" si="9"/>
        <v/>
      </c>
      <c r="W1169" s="109" t="str">
        <f t="shared" si="10"/>
        <v/>
      </c>
      <c r="X1169" s="109" t="str">
        <f t="shared" si="11"/>
        <v/>
      </c>
      <c r="Y1169" s="110" t="str">
        <f t="array" ref="Y1169">_xlfn.XLOOKUP(A1169,'Video Database'!L:L,'Video Database'!M:M,"")</f>
        <v>Bottom of Funnel</v>
      </c>
    </row>
    <row r="1170" ht="22.5" customHeight="1">
      <c r="A1170" s="113">
        <f t="shared" si="12"/>
        <v>1169</v>
      </c>
      <c r="B1170" s="98" t="str">
        <f t="array" ref="B1170">_xlfn.XLOOKUP(A1170,'Video Database'!L:L,'Video Database'!D:D,"")</f>
        <v>Erin</v>
      </c>
      <c r="C1170" s="98" t="str">
        <f t="array" ref="C1170">_xlfn.XLOOKUP(A1170,'Video Database'!L:L,'Video Database'!E:E,"")</f>
        <v>Account 2</v>
      </c>
      <c r="D1170" s="99" t="str">
        <f t="array" ref="D1170">_xlfn.XLOOKUP(A1170,'Video Database'!L:L,'Video Database'!G:G,"")</f>
        <v>Carovo Hoop Earrings Set</v>
      </c>
      <c r="E1170" s="100">
        <f t="array" ref="E1170">_xlfn.XLOOKUP(A1170,'Video Database'!L:L,'Video Database'!H:H,"")</f>
        <v>0.7337</v>
      </c>
      <c r="F1170" s="101"/>
      <c r="G1170" s="87"/>
      <c r="H1170" s="114">
        <f t="array" ref="H1170">_xlfn.XLOOKUP(A1170,'Video Database'!L:L,'Video Database'!A:A,"")</f>
        <v>46203</v>
      </c>
      <c r="I1170" s="103"/>
      <c r="J1170" s="104"/>
      <c r="K1170" s="105"/>
      <c r="L1170" s="105" t="str">
        <f t="shared" si="1"/>
        <v/>
      </c>
      <c r="O1170" s="106" t="str">
        <f t="shared" si="2"/>
        <v>#N/A</v>
      </c>
      <c r="P1170" s="106" t="str">
        <f t="shared" si="3"/>
        <v>#N/A</v>
      </c>
      <c r="Q1170" s="84" t="str">
        <f t="shared" si="4"/>
        <v>#N/A</v>
      </c>
      <c r="R1170" s="84" t="str">
        <f t="shared" si="5"/>
        <v>#N/A</v>
      </c>
      <c r="S1170" s="107">
        <f t="shared" si="6"/>
        <v>-0.7337</v>
      </c>
      <c r="T1170" s="108">
        <f t="shared" si="7"/>
        <v>-1</v>
      </c>
      <c r="U1170" s="106" t="str">
        <f t="shared" si="8"/>
        <v>#N/A</v>
      </c>
      <c r="V1170" s="84" t="str">
        <f t="shared" si="9"/>
        <v/>
      </c>
      <c r="W1170" s="109" t="str">
        <f t="shared" si="10"/>
        <v/>
      </c>
      <c r="X1170" s="109" t="str">
        <f t="shared" si="11"/>
        <v/>
      </c>
      <c r="Y1170" s="110" t="str">
        <f t="array" ref="Y1170">_xlfn.XLOOKUP(A1170,'Video Database'!L:L,'Video Database'!M:M,"")</f>
        <v>Bottom of Funnel</v>
      </c>
    </row>
    <row r="1171" ht="22.5" customHeight="1">
      <c r="A1171" s="113">
        <f t="shared" si="12"/>
        <v>1170</v>
      </c>
      <c r="B1171" s="98" t="str">
        <f t="array" ref="B1171">_xlfn.XLOOKUP(A1171,'Video Database'!L:L,'Video Database'!D:D,"")</f>
        <v>Erin</v>
      </c>
      <c r="C1171" s="98" t="str">
        <f t="array" ref="C1171">_xlfn.XLOOKUP(A1171,'Video Database'!L:L,'Video Database'!E:E,"")</f>
        <v>Account 2</v>
      </c>
      <c r="D1171" s="99" t="str">
        <f t="array" ref="D1171">_xlfn.XLOOKUP(A1171,'Video Database'!L:L,'Video Database'!G:G,"")</f>
        <v>XL Microfiber Towel</v>
      </c>
      <c r="E1171" s="100">
        <f t="array" ref="E1171">_xlfn.XLOOKUP(A1171,'Video Database'!L:L,'Video Database'!H:H,"")</f>
        <v>0.7337</v>
      </c>
      <c r="F1171" s="101"/>
      <c r="G1171" s="87"/>
      <c r="H1171" s="114">
        <f t="array" ref="H1171">_xlfn.XLOOKUP(A1171,'Video Database'!L:L,'Video Database'!A:A,"")</f>
        <v>46203</v>
      </c>
      <c r="I1171" s="103"/>
      <c r="J1171" s="104"/>
      <c r="K1171" s="105"/>
      <c r="L1171" s="105" t="str">
        <f t="shared" si="1"/>
        <v/>
      </c>
      <c r="O1171" s="106" t="str">
        <f t="shared" si="2"/>
        <v>#N/A</v>
      </c>
      <c r="P1171" s="106" t="str">
        <f t="shared" si="3"/>
        <v>#N/A</v>
      </c>
      <c r="Q1171" s="84" t="str">
        <f t="shared" si="4"/>
        <v>#N/A</v>
      </c>
      <c r="R1171" s="84" t="str">
        <f t="shared" si="5"/>
        <v>#N/A</v>
      </c>
      <c r="S1171" s="107">
        <f t="shared" si="6"/>
        <v>-0.7337</v>
      </c>
      <c r="T1171" s="108">
        <f t="shared" si="7"/>
        <v>-1</v>
      </c>
      <c r="U1171" s="106" t="str">
        <f t="shared" si="8"/>
        <v>#N/A</v>
      </c>
      <c r="V1171" s="84" t="str">
        <f t="shared" si="9"/>
        <v/>
      </c>
      <c r="W1171" s="109" t="str">
        <f t="shared" si="10"/>
        <v/>
      </c>
      <c r="X1171" s="109" t="str">
        <f t="shared" si="11"/>
        <v/>
      </c>
      <c r="Y1171" s="110" t="str">
        <f t="array" ref="Y1171">_xlfn.XLOOKUP(A1171,'Video Database'!L:L,'Video Database'!M:M,"")</f>
        <v>Bottom of Funnel</v>
      </c>
    </row>
    <row r="1172" ht="22.5" customHeight="1">
      <c r="A1172" s="113">
        <f t="shared" si="12"/>
        <v>1171</v>
      </c>
      <c r="B1172" s="98" t="str">
        <f t="array" ref="B1172">_xlfn.XLOOKUP(A1172,'Video Database'!L:L,'Video Database'!D:D,"")</f>
        <v>Brittney</v>
      </c>
      <c r="C1172" s="98" t="str">
        <f t="array" ref="C1172">_xlfn.XLOOKUP(A1172,'Video Database'!L:L,'Video Database'!E:E,"")</f>
        <v>Account 2</v>
      </c>
      <c r="D1172" s="99" t="str">
        <f t="array" ref="D1172">_xlfn.XLOOKUP(A1172,'Video Database'!L:L,'Video Database'!G:G,"")</f>
        <v>Gruns Greens Popsicle Firecracker Gummies</v>
      </c>
      <c r="E1172" s="100">
        <f t="array" ref="E1172">_xlfn.XLOOKUP(A1172,'Video Database'!L:L,'Video Database'!H:H,"")</f>
        <v>0.11</v>
      </c>
      <c r="F1172" s="101"/>
      <c r="G1172" s="87"/>
      <c r="H1172" s="114">
        <f t="array" ref="H1172">_xlfn.XLOOKUP(A1172,'Video Database'!L:L,'Video Database'!A:A,"")</f>
        <v>46203</v>
      </c>
      <c r="I1172" s="103"/>
      <c r="J1172" s="104"/>
      <c r="K1172" s="105"/>
      <c r="L1172" s="105" t="str">
        <f t="shared" si="1"/>
        <v/>
      </c>
      <c r="O1172" s="106" t="str">
        <f t="shared" si="2"/>
        <v>#N/A</v>
      </c>
      <c r="P1172" s="106" t="str">
        <f t="shared" si="3"/>
        <v>#N/A</v>
      </c>
      <c r="Q1172" s="84" t="str">
        <f t="shared" si="4"/>
        <v>#N/A</v>
      </c>
      <c r="R1172" s="84" t="str">
        <f t="shared" si="5"/>
        <v>#N/A</v>
      </c>
      <c r="S1172" s="107">
        <f t="shared" si="6"/>
        <v>-0.11</v>
      </c>
      <c r="T1172" s="108">
        <f t="shared" si="7"/>
        <v>-1</v>
      </c>
      <c r="U1172" s="106" t="str">
        <f t="shared" si="8"/>
        <v>#N/A</v>
      </c>
      <c r="V1172" s="84" t="str">
        <f t="shared" si="9"/>
        <v/>
      </c>
      <c r="W1172" s="109" t="str">
        <f t="shared" si="10"/>
        <v/>
      </c>
      <c r="X1172" s="109" t="str">
        <f t="shared" si="11"/>
        <v/>
      </c>
      <c r="Y1172" s="110" t="str">
        <f t="array" ref="Y1172">_xlfn.XLOOKUP(A1172,'Video Database'!L:L,'Video Database'!M:M,"")</f>
        <v>Bottom of Funnel</v>
      </c>
    </row>
    <row r="1173" ht="22.5" customHeight="1">
      <c r="A1173" s="113">
        <f t="shared" si="12"/>
        <v>1172</v>
      </c>
      <c r="B1173" s="98" t="str">
        <f t="array" ref="B1173">_xlfn.XLOOKUP(A1173,'Video Database'!L:L,'Video Database'!D:D,"")</f>
        <v>Addison</v>
      </c>
      <c r="C1173" s="98" t="str">
        <f t="array" ref="C1173">_xlfn.XLOOKUP(A1173,'Video Database'!L:L,'Video Database'!E:E,"")</f>
        <v>Account 2</v>
      </c>
      <c r="D1173" s="99" t="str">
        <f t="array" ref="D1173">_xlfn.XLOOKUP(A1173,'Video Database'!L:L,'Video Database'!G:G,"")</f>
        <v>TIRTIR Hydro UV Shield Sunscreen</v>
      </c>
      <c r="E1173" s="100">
        <f t="array" ref="E1173">_xlfn.XLOOKUP(A1173,'Video Database'!L:L,'Video Database'!H:H,"")</f>
        <v>1.1</v>
      </c>
      <c r="F1173" s="101"/>
      <c r="G1173" s="87"/>
      <c r="H1173" s="114">
        <f t="array" ref="H1173">_xlfn.XLOOKUP(A1173,'Video Database'!L:L,'Video Database'!A:A,"")</f>
        <v>46203</v>
      </c>
      <c r="I1173" s="103"/>
      <c r="J1173" s="104"/>
      <c r="K1173" s="105"/>
      <c r="L1173" s="105" t="str">
        <f t="shared" si="1"/>
        <v/>
      </c>
      <c r="O1173" s="106" t="str">
        <f t="shared" si="2"/>
        <v>#N/A</v>
      </c>
      <c r="P1173" s="106" t="str">
        <f t="shared" si="3"/>
        <v>#N/A</v>
      </c>
      <c r="Q1173" s="84" t="str">
        <f t="shared" si="4"/>
        <v>#N/A</v>
      </c>
      <c r="R1173" s="84" t="str">
        <f t="shared" si="5"/>
        <v>#N/A</v>
      </c>
      <c r="S1173" s="107">
        <f t="shared" si="6"/>
        <v>-1.1</v>
      </c>
      <c r="T1173" s="108">
        <f t="shared" si="7"/>
        <v>-1</v>
      </c>
      <c r="U1173" s="106" t="str">
        <f t="shared" si="8"/>
        <v>#N/A</v>
      </c>
      <c r="V1173" s="84" t="str">
        <f t="shared" si="9"/>
        <v/>
      </c>
      <c r="W1173" s="109" t="str">
        <f t="shared" si="10"/>
        <v/>
      </c>
      <c r="X1173" s="109" t="str">
        <f t="shared" si="11"/>
        <v/>
      </c>
      <c r="Y1173" s="110" t="str">
        <f t="array" ref="Y1173">_xlfn.XLOOKUP(A1173,'Video Database'!L:L,'Video Database'!M:M,"")</f>
        <v>Middle of Funnel</v>
      </c>
    </row>
    <row r="1174" ht="22.5" customHeight="1">
      <c r="A1174" s="113">
        <f t="shared" si="12"/>
        <v>1173</v>
      </c>
      <c r="B1174" s="98" t="str">
        <f t="array" ref="B1174">_xlfn.XLOOKUP(A1174,'Video Database'!L:L,'Video Database'!D:D,"")</f>
        <v>Charley</v>
      </c>
      <c r="C1174" s="98" t="str">
        <f t="array" ref="C1174">_xlfn.XLOOKUP(A1174,'Video Database'!L:L,'Video Database'!E:E,"")</f>
        <v>Account 3</v>
      </c>
      <c r="D1174" s="99" t="str">
        <f t="array" ref="D1174">_xlfn.XLOOKUP(A1174,'Video Database'!L:L,'Video Database'!G:G,"")</f>
        <v>COSRX US Vitamin E Sunscreen</v>
      </c>
      <c r="E1174" s="100">
        <f t="array" ref="E1174">_xlfn.XLOOKUP(A1174,'Video Database'!L:L,'Video Database'!H:H,"")</f>
        <v>1.1</v>
      </c>
      <c r="F1174" s="101"/>
      <c r="G1174" s="87"/>
      <c r="H1174" s="114">
        <f t="array" ref="H1174">_xlfn.XLOOKUP(A1174,'Video Database'!L:L,'Video Database'!A:A,"")</f>
        <v>46203</v>
      </c>
      <c r="I1174" s="103"/>
      <c r="J1174" s="104"/>
      <c r="K1174" s="105"/>
      <c r="L1174" s="105" t="str">
        <f t="shared" si="1"/>
        <v/>
      </c>
      <c r="O1174" s="106" t="str">
        <f t="shared" si="2"/>
        <v>#N/A</v>
      </c>
      <c r="P1174" s="106" t="str">
        <f t="shared" si="3"/>
        <v>#N/A</v>
      </c>
      <c r="Q1174" s="84" t="str">
        <f t="shared" si="4"/>
        <v>#N/A</v>
      </c>
      <c r="R1174" s="84" t="str">
        <f t="shared" si="5"/>
        <v>#N/A</v>
      </c>
      <c r="S1174" s="107">
        <f t="shared" si="6"/>
        <v>-1.1</v>
      </c>
      <c r="T1174" s="108">
        <f t="shared" si="7"/>
        <v>-1</v>
      </c>
      <c r="U1174" s="106" t="str">
        <f t="shared" si="8"/>
        <v>#N/A</v>
      </c>
      <c r="V1174" s="84" t="str">
        <f t="shared" si="9"/>
        <v/>
      </c>
      <c r="W1174" s="109" t="str">
        <f t="shared" si="10"/>
        <v/>
      </c>
      <c r="X1174" s="109" t="str">
        <f t="shared" si="11"/>
        <v/>
      </c>
      <c r="Y1174" s="110" t="str">
        <f t="array" ref="Y1174">_xlfn.XLOOKUP(A1174,'Video Database'!L:L,'Video Database'!M:M,"")</f>
        <v>Middle of Funnel</v>
      </c>
    </row>
    <row r="1175" ht="22.5" customHeight="1">
      <c r="A1175" s="113">
        <f t="shared" si="12"/>
        <v>1174</v>
      </c>
      <c r="B1175" s="98" t="str">
        <f t="array" ref="B1175">_xlfn.XLOOKUP(A1175,'Video Database'!L:L,'Video Database'!D:D,"")</f>
        <v>Brittney</v>
      </c>
      <c r="C1175" s="98" t="str">
        <f t="array" ref="C1175">_xlfn.XLOOKUP(A1175,'Video Database'!L:L,'Video Database'!E:E,"")</f>
        <v>Account 3</v>
      </c>
      <c r="D1175" s="99" t="str">
        <f t="array" ref="D1175">_xlfn.XLOOKUP(A1175,'Video Database'!L:L,'Video Database'!G:G,"")</f>
        <v>Gruns Greens Popsicle Firecracker Gummies</v>
      </c>
      <c r="E1175" s="100">
        <f t="array" ref="E1175">_xlfn.XLOOKUP(A1175,'Video Database'!L:L,'Video Database'!H:H,"")</f>
        <v>0.11</v>
      </c>
      <c r="F1175" s="101"/>
      <c r="G1175" s="87"/>
      <c r="H1175" s="114">
        <f t="array" ref="H1175">_xlfn.XLOOKUP(A1175,'Video Database'!L:L,'Video Database'!A:A,"")</f>
        <v>46203</v>
      </c>
      <c r="I1175" s="103"/>
      <c r="J1175" s="104"/>
      <c r="K1175" s="105"/>
      <c r="L1175" s="105" t="str">
        <f t="shared" si="1"/>
        <v/>
      </c>
      <c r="O1175" s="106" t="str">
        <f t="shared" si="2"/>
        <v>#N/A</v>
      </c>
      <c r="P1175" s="106" t="str">
        <f t="shared" si="3"/>
        <v>#N/A</v>
      </c>
      <c r="Q1175" s="84" t="str">
        <f t="shared" si="4"/>
        <v>#N/A</v>
      </c>
      <c r="R1175" s="84" t="str">
        <f t="shared" si="5"/>
        <v>#N/A</v>
      </c>
      <c r="S1175" s="107">
        <f t="shared" si="6"/>
        <v>-0.11</v>
      </c>
      <c r="T1175" s="108">
        <f t="shared" si="7"/>
        <v>-1</v>
      </c>
      <c r="U1175" s="106" t="str">
        <f t="shared" si="8"/>
        <v>#N/A</v>
      </c>
      <c r="V1175" s="84" t="str">
        <f t="shared" si="9"/>
        <v/>
      </c>
      <c r="W1175" s="109" t="str">
        <f t="shared" si="10"/>
        <v/>
      </c>
      <c r="X1175" s="109" t="str">
        <f t="shared" si="11"/>
        <v/>
      </c>
      <c r="Y1175" s="110" t="str">
        <f t="array" ref="Y1175">_xlfn.XLOOKUP(A1175,'Video Database'!L:L,'Video Database'!M:M,"")</f>
        <v>Bottom of Funnel</v>
      </c>
    </row>
    <row r="1176" ht="22.5" customHeight="1">
      <c r="A1176" s="113">
        <f t="shared" si="12"/>
        <v>1175</v>
      </c>
      <c r="B1176" s="98" t="str">
        <f t="array" ref="B1176">_xlfn.XLOOKUP(A1176,'Video Database'!L:L,'Video Database'!D:D,"")</f>
        <v>Sierra</v>
      </c>
      <c r="C1176" s="98" t="str">
        <f t="array" ref="C1176">_xlfn.XLOOKUP(A1176,'Video Database'!L:L,'Video Database'!E:E,"")</f>
        <v>Account 3</v>
      </c>
      <c r="D1176" s="99" t="str">
        <f t="array" ref="D1176">_xlfn.XLOOKUP(A1176,'Video Database'!L:L,'Video Database'!G:G,"")</f>
        <v>SKIN1004 Hyla-Cica Water Fit Sunscreen</v>
      </c>
      <c r="E1176" s="100">
        <f t="array" ref="E1176">_xlfn.XLOOKUP(A1176,'Video Database'!L:L,'Video Database'!H:H,"")</f>
        <v>1.1</v>
      </c>
      <c r="F1176" s="101"/>
      <c r="G1176" s="87"/>
      <c r="H1176" s="114">
        <f t="array" ref="H1176">_xlfn.XLOOKUP(A1176,'Video Database'!L:L,'Video Database'!A:A,"")</f>
        <v>46203</v>
      </c>
      <c r="I1176" s="103"/>
      <c r="J1176" s="104"/>
      <c r="K1176" s="105"/>
      <c r="L1176" s="105" t="str">
        <f t="shared" si="1"/>
        <v/>
      </c>
      <c r="O1176" s="106" t="str">
        <f t="shared" si="2"/>
        <v>#N/A</v>
      </c>
      <c r="P1176" s="106" t="str">
        <f t="shared" si="3"/>
        <v>#N/A</v>
      </c>
      <c r="Q1176" s="84" t="str">
        <f t="shared" si="4"/>
        <v>#N/A</v>
      </c>
      <c r="R1176" s="84" t="str">
        <f t="shared" si="5"/>
        <v>#N/A</v>
      </c>
      <c r="S1176" s="107">
        <f t="shared" si="6"/>
        <v>-1.1</v>
      </c>
      <c r="T1176" s="108">
        <f t="shared" si="7"/>
        <v>-1</v>
      </c>
      <c r="U1176" s="106" t="str">
        <f t="shared" si="8"/>
        <v>#N/A</v>
      </c>
      <c r="V1176" s="84" t="str">
        <f t="shared" si="9"/>
        <v/>
      </c>
      <c r="W1176" s="109" t="str">
        <f t="shared" si="10"/>
        <v/>
      </c>
      <c r="X1176" s="109" t="str">
        <f t="shared" si="11"/>
        <v/>
      </c>
      <c r="Y1176" s="110" t="str">
        <f t="array" ref="Y1176">_xlfn.XLOOKUP(A1176,'Video Database'!L:L,'Video Database'!M:M,"")</f>
        <v>Middle of Funnel</v>
      </c>
    </row>
    <row r="1177" ht="22.5" customHeight="1">
      <c r="A1177" s="113">
        <f t="shared" si="12"/>
        <v>1176</v>
      </c>
      <c r="B1177" s="98" t="str">
        <f t="array" ref="B1177">_xlfn.XLOOKUP(A1177,'Video Database'!L:L,'Video Database'!D:D,"")</f>
        <v>Erin</v>
      </c>
      <c r="C1177" s="98" t="str">
        <f t="array" ref="C1177">_xlfn.XLOOKUP(A1177,'Video Database'!L:L,'Video Database'!E:E,"")</f>
        <v>Account 3</v>
      </c>
      <c r="D1177" s="99" t="str">
        <f t="array" ref="D1177">_xlfn.XLOOKUP(A1177,'Video Database'!L:L,'Video Database'!G:G,"")</f>
        <v>Kaja Beauty 3-in-1 Eyeshadow Stack</v>
      </c>
      <c r="E1177" s="100">
        <f t="array" ref="E1177">_xlfn.XLOOKUP(A1177,'Video Database'!L:L,'Video Database'!H:H,"")</f>
        <v>0.7337</v>
      </c>
      <c r="F1177" s="101"/>
      <c r="G1177" s="87"/>
      <c r="H1177" s="114">
        <f t="array" ref="H1177">_xlfn.XLOOKUP(A1177,'Video Database'!L:L,'Video Database'!A:A,"")</f>
        <v>46203</v>
      </c>
      <c r="I1177" s="103"/>
      <c r="J1177" s="104"/>
      <c r="K1177" s="105"/>
      <c r="L1177" s="105" t="str">
        <f t="shared" si="1"/>
        <v/>
      </c>
      <c r="O1177" s="106" t="str">
        <f t="shared" si="2"/>
        <v>#N/A</v>
      </c>
      <c r="P1177" s="106" t="str">
        <f t="shared" si="3"/>
        <v>#N/A</v>
      </c>
      <c r="Q1177" s="84" t="str">
        <f t="shared" si="4"/>
        <v>#N/A</v>
      </c>
      <c r="R1177" s="84" t="str">
        <f t="shared" si="5"/>
        <v>#N/A</v>
      </c>
      <c r="S1177" s="107">
        <f t="shared" si="6"/>
        <v>-0.7337</v>
      </c>
      <c r="T1177" s="108">
        <f t="shared" si="7"/>
        <v>-1</v>
      </c>
      <c r="U1177" s="106" t="str">
        <f t="shared" si="8"/>
        <v>#N/A</v>
      </c>
      <c r="V1177" s="84" t="str">
        <f t="shared" si="9"/>
        <v/>
      </c>
      <c r="W1177" s="109" t="str">
        <f t="shared" si="10"/>
        <v/>
      </c>
      <c r="X1177" s="109" t="str">
        <f t="shared" si="11"/>
        <v/>
      </c>
      <c r="Y1177" s="110" t="str">
        <f t="array" ref="Y1177">_xlfn.XLOOKUP(A1177,'Video Database'!L:L,'Video Database'!M:M,"")</f>
        <v>Bottom of Funnel</v>
      </c>
    </row>
    <row r="1178" ht="22.5" customHeight="1">
      <c r="A1178" s="113">
        <f t="shared" si="12"/>
        <v>1177</v>
      </c>
      <c r="B1178" s="98" t="str">
        <f t="array" ref="B1178">_xlfn.XLOOKUP(A1178,'Video Database'!L:L,'Video Database'!D:D,"")</f>
        <v>Charley</v>
      </c>
      <c r="C1178" s="98" t="str">
        <f t="array" ref="C1178">_xlfn.XLOOKUP(A1178,'Video Database'!L:L,'Video Database'!E:E,"")</f>
        <v>Account 3</v>
      </c>
      <c r="D1178" s="99" t="str">
        <f t="array" ref="D1178">_xlfn.XLOOKUP(A1178,'Video Database'!L:L,'Video Database'!G:G,"")</f>
        <v>COSRX US Lifting Hydrogel Mask</v>
      </c>
      <c r="E1178" s="100">
        <f t="array" ref="E1178">_xlfn.XLOOKUP(A1178,'Video Database'!L:L,'Video Database'!H:H,"")</f>
        <v>1.1</v>
      </c>
      <c r="F1178" s="101"/>
      <c r="G1178" s="87"/>
      <c r="H1178" s="114">
        <f t="array" ref="H1178">_xlfn.XLOOKUP(A1178,'Video Database'!L:L,'Video Database'!A:A,"")</f>
        <v>46203</v>
      </c>
      <c r="I1178" s="103"/>
      <c r="J1178" s="104"/>
      <c r="K1178" s="105"/>
      <c r="L1178" s="105" t="str">
        <f t="shared" si="1"/>
        <v/>
      </c>
      <c r="O1178" s="106" t="str">
        <f t="shared" si="2"/>
        <v>#N/A</v>
      </c>
      <c r="P1178" s="106" t="str">
        <f t="shared" si="3"/>
        <v>#N/A</v>
      </c>
      <c r="Q1178" s="84" t="str">
        <f t="shared" si="4"/>
        <v>#N/A</v>
      </c>
      <c r="R1178" s="84" t="str">
        <f t="shared" si="5"/>
        <v>#N/A</v>
      </c>
      <c r="S1178" s="107">
        <f t="shared" si="6"/>
        <v>-1.1</v>
      </c>
      <c r="T1178" s="108">
        <f t="shared" si="7"/>
        <v>-1</v>
      </c>
      <c r="U1178" s="106" t="str">
        <f t="shared" si="8"/>
        <v>#N/A</v>
      </c>
      <c r="V1178" s="84" t="str">
        <f t="shared" si="9"/>
        <v/>
      </c>
      <c r="W1178" s="109" t="str">
        <f t="shared" si="10"/>
        <v/>
      </c>
      <c r="X1178" s="109" t="str">
        <f t="shared" si="11"/>
        <v/>
      </c>
      <c r="Y1178" s="110" t="str">
        <f t="array" ref="Y1178">_xlfn.XLOOKUP(A1178,'Video Database'!L:L,'Video Database'!M:M,"")</f>
        <v>Middle of Funnel</v>
      </c>
    </row>
    <row r="1179" ht="22.5" customHeight="1">
      <c r="A1179" s="113">
        <f t="shared" si="12"/>
        <v>1178</v>
      </c>
      <c r="B1179" s="98" t="str">
        <f t="array" ref="B1179">_xlfn.XLOOKUP(A1179,'Video Database'!L:L,'Video Database'!D:D,"")</f>
        <v>Erin</v>
      </c>
      <c r="C1179" s="98" t="str">
        <f t="array" ref="C1179">_xlfn.XLOOKUP(A1179,'Video Database'!L:L,'Video Database'!E:E,"")</f>
        <v>Account 3</v>
      </c>
      <c r="D1179" s="99" t="str">
        <f t="array" ref="D1179">_xlfn.XLOOKUP(A1179,'Video Database'!L:L,'Video Database'!G:G,"")</f>
        <v>XL Microfiber Towel</v>
      </c>
      <c r="E1179" s="100">
        <f t="array" ref="E1179">_xlfn.XLOOKUP(A1179,'Video Database'!L:L,'Video Database'!H:H,"")</f>
        <v>0.7337</v>
      </c>
      <c r="F1179" s="101"/>
      <c r="G1179" s="87"/>
      <c r="H1179" s="114">
        <f t="array" ref="H1179">_xlfn.XLOOKUP(A1179,'Video Database'!L:L,'Video Database'!A:A,"")</f>
        <v>46203</v>
      </c>
      <c r="I1179" s="103"/>
      <c r="J1179" s="104"/>
      <c r="K1179" s="105"/>
      <c r="L1179" s="105" t="str">
        <f t="shared" si="1"/>
        <v/>
      </c>
      <c r="O1179" s="106" t="str">
        <f t="shared" si="2"/>
        <v>#N/A</v>
      </c>
      <c r="P1179" s="106" t="str">
        <f t="shared" si="3"/>
        <v>#N/A</v>
      </c>
      <c r="Q1179" s="84" t="str">
        <f t="shared" si="4"/>
        <v>#N/A</v>
      </c>
      <c r="R1179" s="84" t="str">
        <f t="shared" si="5"/>
        <v>#N/A</v>
      </c>
      <c r="S1179" s="107">
        <f t="shared" si="6"/>
        <v>-0.7337</v>
      </c>
      <c r="T1179" s="108">
        <f t="shared" si="7"/>
        <v>-1</v>
      </c>
      <c r="U1179" s="106" t="str">
        <f t="shared" si="8"/>
        <v>#N/A</v>
      </c>
      <c r="V1179" s="84" t="str">
        <f t="shared" si="9"/>
        <v/>
      </c>
      <c r="W1179" s="109" t="str">
        <f t="shared" si="10"/>
        <v/>
      </c>
      <c r="X1179" s="109" t="str">
        <f t="shared" si="11"/>
        <v/>
      </c>
      <c r="Y1179" s="110" t="str">
        <f t="array" ref="Y1179">_xlfn.XLOOKUP(A1179,'Video Database'!L:L,'Video Database'!M:M,"")</f>
        <v>Bottom of Funnel</v>
      </c>
    </row>
    <row r="1180" ht="22.5" customHeight="1">
      <c r="A1180" s="113">
        <f t="shared" si="12"/>
        <v>1179</v>
      </c>
      <c r="B1180" s="98" t="str">
        <f t="array" ref="B1180">_xlfn.XLOOKUP(A1180,'Video Database'!L:L,'Video Database'!D:D,"")</f>
        <v>Erin</v>
      </c>
      <c r="C1180" s="98" t="str">
        <f t="array" ref="C1180">_xlfn.XLOOKUP(A1180,'Video Database'!L:L,'Video Database'!E:E,"")</f>
        <v>Account 3</v>
      </c>
      <c r="D1180" s="99" t="str">
        <f t="array" ref="D1180">_xlfn.XLOOKUP(A1180,'Video Database'!L:L,'Video Database'!G:G,"")</f>
        <v>Medicube Kojic Accid Tumeric Pads</v>
      </c>
      <c r="E1180" s="100">
        <f t="array" ref="E1180">_xlfn.XLOOKUP(A1180,'Video Database'!L:L,'Video Database'!H:H,"")</f>
        <v>0.7337</v>
      </c>
      <c r="F1180" s="101"/>
      <c r="G1180" s="87"/>
      <c r="H1180" s="114">
        <f t="array" ref="H1180">_xlfn.XLOOKUP(A1180,'Video Database'!L:L,'Video Database'!A:A,"")</f>
        <v>46203</v>
      </c>
      <c r="I1180" s="103"/>
      <c r="J1180" s="104"/>
      <c r="K1180" s="105"/>
      <c r="L1180" s="105" t="str">
        <f t="shared" si="1"/>
        <v/>
      </c>
      <c r="O1180" s="106" t="str">
        <f t="shared" si="2"/>
        <v>#N/A</v>
      </c>
      <c r="P1180" s="106" t="str">
        <f t="shared" si="3"/>
        <v>#N/A</v>
      </c>
      <c r="Q1180" s="84" t="str">
        <f t="shared" si="4"/>
        <v>#N/A</v>
      </c>
      <c r="R1180" s="84" t="str">
        <f t="shared" si="5"/>
        <v>#N/A</v>
      </c>
      <c r="S1180" s="107">
        <f t="shared" si="6"/>
        <v>-0.7337</v>
      </c>
      <c r="T1180" s="108">
        <f t="shared" si="7"/>
        <v>-1</v>
      </c>
      <c r="U1180" s="106" t="str">
        <f t="shared" si="8"/>
        <v>#N/A</v>
      </c>
      <c r="V1180" s="84" t="str">
        <f t="shared" si="9"/>
        <v/>
      </c>
      <c r="W1180" s="109" t="str">
        <f t="shared" si="10"/>
        <v/>
      </c>
      <c r="X1180" s="109" t="str">
        <f t="shared" si="11"/>
        <v/>
      </c>
      <c r="Y1180" s="110" t="str">
        <f t="array" ref="Y1180">_xlfn.XLOOKUP(A1180,'Video Database'!L:L,'Video Database'!M:M,"")</f>
        <v>Bottom of Funnel</v>
      </c>
    </row>
    <row r="1181" ht="22.5" customHeight="1">
      <c r="A1181" s="113">
        <f t="shared" si="12"/>
        <v>1180</v>
      </c>
      <c r="B1181" s="98" t="str">
        <f t="array" ref="B1181">_xlfn.XLOOKUP(A1181,'Video Database'!L:L,'Video Database'!D:D,"")</f>
        <v>Erin</v>
      </c>
      <c r="C1181" s="98" t="str">
        <f t="array" ref="C1181">_xlfn.XLOOKUP(A1181,'Video Database'!L:L,'Video Database'!E:E,"")</f>
        <v>Account 3</v>
      </c>
      <c r="D1181" s="99" t="str">
        <f t="array" ref="D1181">_xlfn.XLOOKUP(A1181,'Video Database'!L:L,'Video Database'!G:G,"")</f>
        <v>Carovo Hoop Earrings Set</v>
      </c>
      <c r="E1181" s="100">
        <f t="array" ref="E1181">_xlfn.XLOOKUP(A1181,'Video Database'!L:L,'Video Database'!H:H,"")</f>
        <v>0.7337</v>
      </c>
      <c r="F1181" s="101"/>
      <c r="G1181" s="87"/>
      <c r="H1181" s="114">
        <f t="array" ref="H1181">_xlfn.XLOOKUP(A1181,'Video Database'!L:L,'Video Database'!A:A,"")</f>
        <v>46203</v>
      </c>
      <c r="I1181" s="103"/>
      <c r="J1181" s="104"/>
      <c r="K1181" s="105"/>
      <c r="L1181" s="105" t="str">
        <f t="shared" si="1"/>
        <v/>
      </c>
      <c r="O1181" s="106" t="str">
        <f t="shared" si="2"/>
        <v>#N/A</v>
      </c>
      <c r="P1181" s="106" t="str">
        <f t="shared" si="3"/>
        <v>#N/A</v>
      </c>
      <c r="Q1181" s="84" t="str">
        <f t="shared" si="4"/>
        <v>#N/A</v>
      </c>
      <c r="R1181" s="84" t="str">
        <f t="shared" si="5"/>
        <v>#N/A</v>
      </c>
      <c r="S1181" s="107">
        <f t="shared" si="6"/>
        <v>-0.7337</v>
      </c>
      <c r="T1181" s="108">
        <f t="shared" si="7"/>
        <v>-1</v>
      </c>
      <c r="U1181" s="106" t="str">
        <f t="shared" si="8"/>
        <v>#N/A</v>
      </c>
      <c r="V1181" s="84" t="str">
        <f t="shared" si="9"/>
        <v/>
      </c>
      <c r="W1181" s="109" t="str">
        <f t="shared" si="10"/>
        <v/>
      </c>
      <c r="X1181" s="109" t="str">
        <f t="shared" si="11"/>
        <v/>
      </c>
      <c r="Y1181" s="110" t="str">
        <f t="array" ref="Y1181">_xlfn.XLOOKUP(A1181,'Video Database'!L:L,'Video Database'!M:M,"")</f>
        <v>Bottom of Funnel</v>
      </c>
    </row>
    <row r="1182" ht="22.5" customHeight="1">
      <c r="A1182" s="113">
        <f t="shared" si="12"/>
        <v>1181</v>
      </c>
      <c r="B1182" s="98" t="str">
        <f t="array" ref="B1182">_xlfn.XLOOKUP(A1182,'Video Database'!L:L,'Video Database'!D:D,"")</f>
        <v>Erin</v>
      </c>
      <c r="C1182" s="98" t="str">
        <f t="array" ref="C1182">_xlfn.XLOOKUP(A1182,'Video Database'!L:L,'Video Database'!E:E,"")</f>
        <v>Account 3</v>
      </c>
      <c r="D1182" s="99" t="str">
        <f t="array" ref="D1182">_xlfn.XLOOKUP(A1182,'Video Database'!L:L,'Video Database'!G:G,"")</f>
        <v>Elegant Faux Pearl Set</v>
      </c>
      <c r="E1182" s="100">
        <f t="array" ref="E1182">_xlfn.XLOOKUP(A1182,'Video Database'!L:L,'Video Database'!H:H,"")</f>
        <v>0.7337</v>
      </c>
      <c r="F1182" s="101"/>
      <c r="G1182" s="87"/>
      <c r="H1182" s="114">
        <f t="array" ref="H1182">_xlfn.XLOOKUP(A1182,'Video Database'!L:L,'Video Database'!A:A,"")</f>
        <v>46203</v>
      </c>
      <c r="I1182" s="103"/>
      <c r="J1182" s="104"/>
      <c r="K1182" s="105"/>
      <c r="L1182" s="105" t="str">
        <f t="shared" si="1"/>
        <v/>
      </c>
      <c r="O1182" s="106" t="str">
        <f t="shared" si="2"/>
        <v>#N/A</v>
      </c>
      <c r="P1182" s="106" t="str">
        <f t="shared" si="3"/>
        <v>#N/A</v>
      </c>
      <c r="Q1182" s="84" t="str">
        <f t="shared" si="4"/>
        <v>#N/A</v>
      </c>
      <c r="R1182" s="84" t="str">
        <f t="shared" si="5"/>
        <v>#N/A</v>
      </c>
      <c r="S1182" s="107">
        <f t="shared" si="6"/>
        <v>-0.7337</v>
      </c>
      <c r="T1182" s="108">
        <f t="shared" si="7"/>
        <v>-1</v>
      </c>
      <c r="U1182" s="106" t="str">
        <f t="shared" si="8"/>
        <v>#N/A</v>
      </c>
      <c r="V1182" s="84" t="str">
        <f t="shared" si="9"/>
        <v/>
      </c>
      <c r="W1182" s="109" t="str">
        <f t="shared" si="10"/>
        <v/>
      </c>
      <c r="X1182" s="109" t="str">
        <f t="shared" si="11"/>
        <v/>
      </c>
      <c r="Y1182" s="110" t="str">
        <f t="array" ref="Y1182">_xlfn.XLOOKUP(A1182,'Video Database'!L:L,'Video Database'!M:M,"")</f>
        <v>Bottom of Funnel</v>
      </c>
    </row>
    <row r="1183" ht="22.5" customHeight="1">
      <c r="A1183" s="113">
        <f t="shared" si="12"/>
        <v>1182</v>
      </c>
      <c r="B1183" s="98" t="str">
        <f t="array" ref="B1183">_xlfn.XLOOKUP(A1183,'Video Database'!L:L,'Video Database'!D:D,"")</f>
        <v>Addison</v>
      </c>
      <c r="C1183" s="98" t="str">
        <f t="array" ref="C1183">_xlfn.XLOOKUP(A1183,'Video Database'!L:L,'Video Database'!E:E,"")</f>
        <v>Account 3</v>
      </c>
      <c r="D1183" s="99" t="str">
        <f t="array" ref="D1183">_xlfn.XLOOKUP(A1183,'Video Database'!L:L,'Video Database'!G:G,"")</f>
        <v>TIRTIR Hydro UV Shield Sunscreen</v>
      </c>
      <c r="E1183" s="100">
        <f t="array" ref="E1183">_xlfn.XLOOKUP(A1183,'Video Database'!L:L,'Video Database'!H:H,"")</f>
        <v>1.1</v>
      </c>
      <c r="F1183" s="101"/>
      <c r="G1183" s="87"/>
      <c r="H1183" s="114">
        <f t="array" ref="H1183">_xlfn.XLOOKUP(A1183,'Video Database'!L:L,'Video Database'!A:A,"")</f>
        <v>46203</v>
      </c>
      <c r="I1183" s="103"/>
      <c r="J1183" s="104"/>
      <c r="K1183" s="105"/>
      <c r="L1183" s="105" t="str">
        <f t="shared" si="1"/>
        <v/>
      </c>
      <c r="O1183" s="106" t="str">
        <f t="shared" si="2"/>
        <v>#N/A</v>
      </c>
      <c r="P1183" s="106" t="str">
        <f t="shared" si="3"/>
        <v>#N/A</v>
      </c>
      <c r="Q1183" s="84" t="str">
        <f t="shared" si="4"/>
        <v>#N/A</v>
      </c>
      <c r="R1183" s="84" t="str">
        <f t="shared" si="5"/>
        <v>#N/A</v>
      </c>
      <c r="S1183" s="107">
        <f t="shared" si="6"/>
        <v>-1.1</v>
      </c>
      <c r="T1183" s="108">
        <f t="shared" si="7"/>
        <v>-1</v>
      </c>
      <c r="U1183" s="106" t="str">
        <f t="shared" si="8"/>
        <v>#N/A</v>
      </c>
      <c r="V1183" s="84" t="str">
        <f t="shared" si="9"/>
        <v/>
      </c>
      <c r="W1183" s="109" t="str">
        <f t="shared" si="10"/>
        <v/>
      </c>
      <c r="X1183" s="109" t="str">
        <f t="shared" si="11"/>
        <v/>
      </c>
      <c r="Y1183" s="110" t="str">
        <f t="array" ref="Y1183">_xlfn.XLOOKUP(A1183,'Video Database'!L:L,'Video Database'!M:M,"")</f>
        <v>Middle of Funnel</v>
      </c>
    </row>
    <row r="1184" ht="22.5" customHeight="1">
      <c r="A1184" s="113">
        <f t="shared" si="12"/>
        <v>1183</v>
      </c>
      <c r="B1184" s="98" t="str">
        <f t="array" ref="B1184">_xlfn.XLOOKUP(A1184,'Video Database'!L:L,'Video Database'!D:D,"")</f>
        <v>Erin</v>
      </c>
      <c r="C1184" s="98" t="str">
        <f t="array" ref="C1184">_xlfn.XLOOKUP(A1184,'Video Database'!L:L,'Video Database'!E:E,"")</f>
        <v>Account 4</v>
      </c>
      <c r="D1184" s="99" t="str">
        <f t="array" ref="D1184">_xlfn.XLOOKUP(A1184,'Video Database'!L:L,'Video Database'!G:G,"")</f>
        <v>Carovo Hoop Earrings Set</v>
      </c>
      <c r="E1184" s="100">
        <f t="array" ref="E1184">_xlfn.XLOOKUP(A1184,'Video Database'!L:L,'Video Database'!H:H,"")</f>
        <v>0.7337</v>
      </c>
      <c r="F1184" s="101"/>
      <c r="G1184" s="87"/>
      <c r="H1184" s="114">
        <f t="array" ref="H1184">_xlfn.XLOOKUP(A1184,'Video Database'!L:L,'Video Database'!A:A,"")</f>
        <v>46203</v>
      </c>
      <c r="I1184" s="103"/>
      <c r="J1184" s="104"/>
      <c r="K1184" s="105"/>
      <c r="L1184" s="105" t="str">
        <f t="shared" si="1"/>
        <v/>
      </c>
      <c r="O1184" s="106" t="str">
        <f t="shared" si="2"/>
        <v>#N/A</v>
      </c>
      <c r="P1184" s="106" t="str">
        <f t="shared" si="3"/>
        <v>#N/A</v>
      </c>
      <c r="Q1184" s="84" t="str">
        <f t="shared" si="4"/>
        <v>#N/A</v>
      </c>
      <c r="R1184" s="84" t="str">
        <f t="shared" si="5"/>
        <v>#N/A</v>
      </c>
      <c r="S1184" s="107">
        <f t="shared" si="6"/>
        <v>-0.7337</v>
      </c>
      <c r="T1184" s="108">
        <f t="shared" si="7"/>
        <v>-1</v>
      </c>
      <c r="U1184" s="106" t="str">
        <f t="shared" si="8"/>
        <v>#N/A</v>
      </c>
      <c r="V1184" s="84" t="str">
        <f t="shared" si="9"/>
        <v/>
      </c>
      <c r="W1184" s="109" t="str">
        <f t="shared" si="10"/>
        <v/>
      </c>
      <c r="X1184" s="109" t="str">
        <f t="shared" si="11"/>
        <v/>
      </c>
      <c r="Y1184" s="110" t="str">
        <f t="array" ref="Y1184">_xlfn.XLOOKUP(A1184,'Video Database'!L:L,'Video Database'!M:M,"")</f>
        <v>Bottom of Funnel</v>
      </c>
    </row>
    <row r="1185" ht="22.5" customHeight="1">
      <c r="A1185" s="113">
        <f t="shared" si="12"/>
        <v>1184</v>
      </c>
      <c r="B1185" s="98" t="str">
        <f t="array" ref="B1185">_xlfn.XLOOKUP(A1185,'Video Database'!L:L,'Video Database'!D:D,"")</f>
        <v>Charley</v>
      </c>
      <c r="C1185" s="98" t="str">
        <f t="array" ref="C1185">_xlfn.XLOOKUP(A1185,'Video Database'!L:L,'Video Database'!E:E,"")</f>
        <v>Account 4</v>
      </c>
      <c r="D1185" s="99" t="str">
        <f t="array" ref="D1185">_xlfn.XLOOKUP(A1185,'Video Database'!L:L,'Video Database'!G:G,"")</f>
        <v>COSRX US Lifting Hydrogel Mask</v>
      </c>
      <c r="E1185" s="100">
        <f t="array" ref="E1185">_xlfn.XLOOKUP(A1185,'Video Database'!L:L,'Video Database'!H:H,"")</f>
        <v>1.1</v>
      </c>
      <c r="F1185" s="101"/>
      <c r="G1185" s="87"/>
      <c r="H1185" s="114">
        <f t="array" ref="H1185">_xlfn.XLOOKUP(A1185,'Video Database'!L:L,'Video Database'!A:A,"")</f>
        <v>46203</v>
      </c>
      <c r="I1185" s="103"/>
      <c r="J1185" s="104"/>
      <c r="K1185" s="105"/>
      <c r="L1185" s="105" t="str">
        <f t="shared" si="1"/>
        <v/>
      </c>
      <c r="O1185" s="106" t="str">
        <f t="shared" si="2"/>
        <v>#N/A</v>
      </c>
      <c r="P1185" s="106" t="str">
        <f t="shared" si="3"/>
        <v>#N/A</v>
      </c>
      <c r="Q1185" s="84" t="str">
        <f t="shared" si="4"/>
        <v>#N/A</v>
      </c>
      <c r="R1185" s="84" t="str">
        <f t="shared" si="5"/>
        <v>#N/A</v>
      </c>
      <c r="S1185" s="107">
        <f t="shared" si="6"/>
        <v>-1.1</v>
      </c>
      <c r="T1185" s="108">
        <f t="shared" si="7"/>
        <v>-1</v>
      </c>
      <c r="U1185" s="106" t="str">
        <f t="shared" si="8"/>
        <v>#N/A</v>
      </c>
      <c r="V1185" s="84" t="str">
        <f t="shared" si="9"/>
        <v/>
      </c>
      <c r="W1185" s="109" t="str">
        <f t="shared" si="10"/>
        <v/>
      </c>
      <c r="X1185" s="109" t="str">
        <f t="shared" si="11"/>
        <v/>
      </c>
      <c r="Y1185" s="110" t="str">
        <f t="array" ref="Y1185">_xlfn.XLOOKUP(A1185,'Video Database'!L:L,'Video Database'!M:M,"")</f>
        <v>Middle of Funnel</v>
      </c>
    </row>
    <row r="1186" ht="22.5" customHeight="1">
      <c r="A1186" s="113">
        <f t="shared" si="12"/>
        <v>1185</v>
      </c>
      <c r="B1186" s="98" t="str">
        <f t="array" ref="B1186">_xlfn.XLOOKUP(A1186,'Video Database'!L:L,'Video Database'!D:D,"")</f>
        <v>Erin</v>
      </c>
      <c r="C1186" s="98" t="str">
        <f t="array" ref="C1186">_xlfn.XLOOKUP(A1186,'Video Database'!L:L,'Video Database'!E:E,"")</f>
        <v>Account 4</v>
      </c>
      <c r="D1186" s="99" t="str">
        <f t="array" ref="D1186">_xlfn.XLOOKUP(A1186,'Video Database'!L:L,'Video Database'!G:G,"")</f>
        <v>XL Microfiber Towel</v>
      </c>
      <c r="E1186" s="100">
        <f t="array" ref="E1186">_xlfn.XLOOKUP(A1186,'Video Database'!L:L,'Video Database'!H:H,"")</f>
        <v>0.7337</v>
      </c>
      <c r="F1186" s="101"/>
      <c r="G1186" s="87"/>
      <c r="H1186" s="114">
        <f t="array" ref="H1186">_xlfn.XLOOKUP(A1186,'Video Database'!L:L,'Video Database'!A:A,"")</f>
        <v>46203</v>
      </c>
      <c r="I1186" s="103"/>
      <c r="J1186" s="104"/>
      <c r="K1186" s="105"/>
      <c r="L1186" s="105" t="str">
        <f t="shared" si="1"/>
        <v/>
      </c>
      <c r="O1186" s="106" t="str">
        <f t="shared" si="2"/>
        <v>#N/A</v>
      </c>
      <c r="P1186" s="106" t="str">
        <f t="shared" si="3"/>
        <v>#N/A</v>
      </c>
      <c r="Q1186" s="84" t="str">
        <f t="shared" si="4"/>
        <v>#N/A</v>
      </c>
      <c r="R1186" s="84" t="str">
        <f t="shared" si="5"/>
        <v>#N/A</v>
      </c>
      <c r="S1186" s="107">
        <f t="shared" si="6"/>
        <v>-0.7337</v>
      </c>
      <c r="T1186" s="108">
        <f t="shared" si="7"/>
        <v>-1</v>
      </c>
      <c r="U1186" s="106" t="str">
        <f t="shared" si="8"/>
        <v>#N/A</v>
      </c>
      <c r="V1186" s="84" t="str">
        <f t="shared" si="9"/>
        <v/>
      </c>
      <c r="W1186" s="109" t="str">
        <f t="shared" si="10"/>
        <v/>
      </c>
      <c r="X1186" s="109" t="str">
        <f t="shared" si="11"/>
        <v/>
      </c>
      <c r="Y1186" s="110" t="str">
        <f t="array" ref="Y1186">_xlfn.XLOOKUP(A1186,'Video Database'!L:L,'Video Database'!M:M,"")</f>
        <v>Bottom of Funnel</v>
      </c>
    </row>
    <row r="1187" ht="22.5" customHeight="1">
      <c r="A1187" s="113">
        <f t="shared" si="12"/>
        <v>1186</v>
      </c>
      <c r="B1187" s="98" t="str">
        <f t="array" ref="B1187">_xlfn.XLOOKUP(A1187,'Video Database'!L:L,'Video Database'!D:D,"")</f>
        <v>Erin</v>
      </c>
      <c r="C1187" s="98" t="str">
        <f t="array" ref="C1187">_xlfn.XLOOKUP(A1187,'Video Database'!L:L,'Video Database'!E:E,"")</f>
        <v>Account 4</v>
      </c>
      <c r="D1187" s="99" t="str">
        <f t="array" ref="D1187">_xlfn.XLOOKUP(A1187,'Video Database'!L:L,'Video Database'!G:G,"")</f>
        <v>Kaja Beauty 3-in-1 Eyeshadow Stack</v>
      </c>
      <c r="E1187" s="100">
        <f t="array" ref="E1187">_xlfn.XLOOKUP(A1187,'Video Database'!L:L,'Video Database'!H:H,"")</f>
        <v>0.7337</v>
      </c>
      <c r="F1187" s="101"/>
      <c r="G1187" s="87"/>
      <c r="H1187" s="114">
        <f t="array" ref="H1187">_xlfn.XLOOKUP(A1187,'Video Database'!L:L,'Video Database'!A:A,"")</f>
        <v>46203</v>
      </c>
      <c r="I1187" s="103"/>
      <c r="J1187" s="104"/>
      <c r="K1187" s="105"/>
      <c r="L1187" s="105" t="str">
        <f t="shared" si="1"/>
        <v/>
      </c>
      <c r="O1187" s="106" t="str">
        <f t="shared" si="2"/>
        <v>#N/A</v>
      </c>
      <c r="P1187" s="106" t="str">
        <f t="shared" si="3"/>
        <v>#N/A</v>
      </c>
      <c r="Q1187" s="84" t="str">
        <f t="shared" si="4"/>
        <v>#N/A</v>
      </c>
      <c r="R1187" s="84" t="str">
        <f t="shared" si="5"/>
        <v>#N/A</v>
      </c>
      <c r="S1187" s="107">
        <f t="shared" si="6"/>
        <v>-0.7337</v>
      </c>
      <c r="T1187" s="108">
        <f t="shared" si="7"/>
        <v>-1</v>
      </c>
      <c r="U1187" s="106" t="str">
        <f t="shared" si="8"/>
        <v>#N/A</v>
      </c>
      <c r="V1187" s="84" t="str">
        <f t="shared" si="9"/>
        <v/>
      </c>
      <c r="W1187" s="109" t="str">
        <f t="shared" si="10"/>
        <v/>
      </c>
      <c r="X1187" s="109" t="str">
        <f t="shared" si="11"/>
        <v/>
      </c>
      <c r="Y1187" s="110" t="str">
        <f t="array" ref="Y1187">_xlfn.XLOOKUP(A1187,'Video Database'!L:L,'Video Database'!M:M,"")</f>
        <v>Bottom of Funnel</v>
      </c>
    </row>
    <row r="1188" ht="22.5" customHeight="1">
      <c r="A1188" s="113">
        <f t="shared" si="12"/>
        <v>1187</v>
      </c>
      <c r="B1188" s="98" t="str">
        <f t="array" ref="B1188">_xlfn.XLOOKUP(A1188,'Video Database'!L:L,'Video Database'!D:D,"")</f>
        <v>Sierra</v>
      </c>
      <c r="C1188" s="98" t="str">
        <f t="array" ref="C1188">_xlfn.XLOOKUP(A1188,'Video Database'!L:L,'Video Database'!E:E,"")</f>
        <v>Account 4</v>
      </c>
      <c r="D1188" s="99" t="str">
        <f t="array" ref="D1188">_xlfn.XLOOKUP(A1188,'Video Database'!L:L,'Video Database'!G:G,"")</f>
        <v>Taste Salud Skin + Beauty Drink Mix</v>
      </c>
      <c r="E1188" s="100">
        <f t="array" ref="E1188">_xlfn.XLOOKUP(A1188,'Video Database'!L:L,'Video Database'!H:H,"")</f>
        <v>1.1</v>
      </c>
      <c r="F1188" s="101"/>
      <c r="G1188" s="87"/>
      <c r="H1188" s="114">
        <f t="array" ref="H1188">_xlfn.XLOOKUP(A1188,'Video Database'!L:L,'Video Database'!A:A,"")</f>
        <v>46203</v>
      </c>
      <c r="I1188" s="103"/>
      <c r="J1188" s="104"/>
      <c r="K1188" s="105"/>
      <c r="L1188" s="105" t="str">
        <f t="shared" si="1"/>
        <v/>
      </c>
      <c r="O1188" s="106" t="str">
        <f t="shared" si="2"/>
        <v>#N/A</v>
      </c>
      <c r="P1188" s="106" t="str">
        <f t="shared" si="3"/>
        <v>#N/A</v>
      </c>
      <c r="Q1188" s="84" t="str">
        <f t="shared" si="4"/>
        <v>#N/A</v>
      </c>
      <c r="R1188" s="84" t="str">
        <f t="shared" si="5"/>
        <v>#N/A</v>
      </c>
      <c r="S1188" s="107">
        <f t="shared" si="6"/>
        <v>-1.1</v>
      </c>
      <c r="T1188" s="108">
        <f t="shared" si="7"/>
        <v>-1</v>
      </c>
      <c r="U1188" s="106" t="str">
        <f t="shared" si="8"/>
        <v>#N/A</v>
      </c>
      <c r="V1188" s="84" t="str">
        <f t="shared" si="9"/>
        <v/>
      </c>
      <c r="W1188" s="109" t="str">
        <f t="shared" si="10"/>
        <v/>
      </c>
      <c r="X1188" s="109" t="str">
        <f t="shared" si="11"/>
        <v/>
      </c>
      <c r="Y1188" s="110" t="str">
        <f t="array" ref="Y1188">_xlfn.XLOOKUP(A1188,'Video Database'!L:L,'Video Database'!M:M,"")</f>
        <v>Middle of Funnel</v>
      </c>
    </row>
    <row r="1189" ht="22.5" customHeight="1">
      <c r="A1189" s="113">
        <f t="shared" si="12"/>
        <v>1188</v>
      </c>
      <c r="B1189" s="98" t="str">
        <f t="array" ref="B1189">_xlfn.XLOOKUP(A1189,'Video Database'!L:L,'Video Database'!D:D,"")</f>
        <v>Erin</v>
      </c>
      <c r="C1189" s="98" t="str">
        <f t="array" ref="C1189">_xlfn.XLOOKUP(A1189,'Video Database'!L:L,'Video Database'!E:E,"")</f>
        <v>Account 4</v>
      </c>
      <c r="D1189" s="99" t="str">
        <f t="array" ref="D1189">_xlfn.XLOOKUP(A1189,'Video Database'!L:L,'Video Database'!G:G,"")</f>
        <v>Medicube Kojic Accid Tumeric Pads</v>
      </c>
      <c r="E1189" s="100">
        <f t="array" ref="E1189">_xlfn.XLOOKUP(A1189,'Video Database'!L:L,'Video Database'!H:H,"")</f>
        <v>0.7337</v>
      </c>
      <c r="F1189" s="101">
        <v>29.0</v>
      </c>
      <c r="G1189" s="87">
        <v>1.0</v>
      </c>
      <c r="H1189" s="114">
        <f t="array" ref="H1189">_xlfn.XLOOKUP(A1189,'Video Database'!L:L,'Video Database'!A:A,"")</f>
        <v>46203</v>
      </c>
      <c r="I1189" s="103">
        <v>46209.0</v>
      </c>
      <c r="J1189" s="104">
        <v>4.35</v>
      </c>
      <c r="K1189" s="87">
        <v>2.0</v>
      </c>
      <c r="L1189" s="87">
        <v>66.0</v>
      </c>
      <c r="O1189" s="106">
        <f t="shared" si="2"/>
        <v>0.0303030303</v>
      </c>
      <c r="P1189" s="106">
        <f t="shared" si="3"/>
        <v>0.5</v>
      </c>
      <c r="Q1189" s="84">
        <f t="shared" si="4"/>
        <v>4.35</v>
      </c>
      <c r="R1189" s="84">
        <f t="shared" si="5"/>
        <v>29</v>
      </c>
      <c r="S1189" s="107">
        <f t="shared" si="6"/>
        <v>3.6163</v>
      </c>
      <c r="T1189" s="108">
        <f t="shared" si="7"/>
        <v>4.928853755</v>
      </c>
      <c r="U1189" s="106">
        <f t="shared" si="8"/>
        <v>0.8313333333</v>
      </c>
      <c r="V1189" s="129">
        <f t="shared" si="9"/>
        <v>0.7337</v>
      </c>
      <c r="W1189" s="109">
        <f t="shared" si="10"/>
        <v>0.36685</v>
      </c>
      <c r="X1189" s="109">
        <f t="shared" si="11"/>
        <v>2.53</v>
      </c>
      <c r="Y1189" s="110" t="str">
        <f t="array" ref="Y1189">_xlfn.XLOOKUP(A1189,'Video Database'!L:L,'Video Database'!M:M,"")</f>
        <v>Bottom of Funnel</v>
      </c>
    </row>
    <row r="1190" ht="22.5" customHeight="1">
      <c r="A1190" s="113">
        <f t="shared" si="12"/>
        <v>1189</v>
      </c>
      <c r="B1190" s="98" t="str">
        <f t="array" ref="B1190">_xlfn.XLOOKUP(A1190,'Video Database'!L:L,'Video Database'!D:D,"")</f>
        <v>Sierra</v>
      </c>
      <c r="C1190" s="98" t="str">
        <f t="array" ref="C1190">_xlfn.XLOOKUP(A1190,'Video Database'!L:L,'Video Database'!E:E,"")</f>
        <v>Account 4</v>
      </c>
      <c r="D1190" s="99" t="str">
        <f t="array" ref="D1190">_xlfn.XLOOKUP(A1190,'Video Database'!L:L,'Video Database'!G:G,"")</f>
        <v>SKIN1004 Hyla-Cica Water Fit Sunscreen</v>
      </c>
      <c r="E1190" s="100">
        <f t="array" ref="E1190">_xlfn.XLOOKUP(A1190,'Video Database'!L:L,'Video Database'!H:H,"")</f>
        <v>1.1</v>
      </c>
      <c r="F1190" s="101"/>
      <c r="G1190" s="87"/>
      <c r="H1190" s="114">
        <f t="array" ref="H1190">_xlfn.XLOOKUP(A1190,'Video Database'!L:L,'Video Database'!A:A,"")</f>
        <v>46203</v>
      </c>
      <c r="I1190" s="103"/>
      <c r="J1190" s="104"/>
      <c r="K1190" s="105"/>
      <c r="L1190" s="105" t="str">
        <f t="shared" ref="L1190:L1393" si="13">M1190</f>
        <v/>
      </c>
      <c r="O1190" s="106" t="str">
        <f t="shared" si="2"/>
        <v>#N/A</v>
      </c>
      <c r="P1190" s="106" t="str">
        <f t="shared" si="3"/>
        <v>#N/A</v>
      </c>
      <c r="Q1190" s="84" t="str">
        <f t="shared" si="4"/>
        <v>#N/A</v>
      </c>
      <c r="R1190" s="84" t="str">
        <f t="shared" si="5"/>
        <v>#N/A</v>
      </c>
      <c r="S1190" s="107">
        <f t="shared" si="6"/>
        <v>-1.1</v>
      </c>
      <c r="T1190" s="108">
        <f t="shared" si="7"/>
        <v>-1</v>
      </c>
      <c r="U1190" s="106" t="str">
        <f t="shared" si="8"/>
        <v>#N/A</v>
      </c>
      <c r="V1190" s="84" t="str">
        <f t="shared" si="9"/>
        <v/>
      </c>
      <c r="W1190" s="109" t="str">
        <f t="shared" si="10"/>
        <v/>
      </c>
      <c r="X1190" s="109" t="str">
        <f t="shared" si="11"/>
        <v/>
      </c>
      <c r="Y1190" s="110" t="str">
        <f t="array" ref="Y1190">_xlfn.XLOOKUP(A1190,'Video Database'!L:L,'Video Database'!M:M,"")</f>
        <v>Middle of Funnel</v>
      </c>
    </row>
    <row r="1191" ht="22.5" customHeight="1">
      <c r="A1191" s="113">
        <f t="shared" si="12"/>
        <v>1190</v>
      </c>
      <c r="B1191" s="98" t="str">
        <f t="array" ref="B1191">_xlfn.XLOOKUP(A1191,'Video Database'!L:L,'Video Database'!D:D,"")</f>
        <v>Erin</v>
      </c>
      <c r="C1191" s="98" t="str">
        <f t="array" ref="C1191">_xlfn.XLOOKUP(A1191,'Video Database'!L:L,'Video Database'!E:E,"")</f>
        <v>Account 4</v>
      </c>
      <c r="D1191" s="99" t="str">
        <f t="array" ref="D1191">_xlfn.XLOOKUP(A1191,'Video Database'!L:L,'Video Database'!G:G,"")</f>
        <v>Elegant Faux Pearl Set</v>
      </c>
      <c r="E1191" s="100">
        <f t="array" ref="E1191">_xlfn.XLOOKUP(A1191,'Video Database'!L:L,'Video Database'!H:H,"")</f>
        <v>0.7337</v>
      </c>
      <c r="F1191" s="101"/>
      <c r="G1191" s="87"/>
      <c r="H1191" s="114">
        <f t="array" ref="H1191">_xlfn.XLOOKUP(A1191,'Video Database'!L:L,'Video Database'!A:A,"")</f>
        <v>46203</v>
      </c>
      <c r="I1191" s="103"/>
      <c r="J1191" s="104"/>
      <c r="K1191" s="105"/>
      <c r="L1191" s="105" t="str">
        <f t="shared" si="13"/>
        <v/>
      </c>
      <c r="O1191" s="106" t="str">
        <f t="shared" si="2"/>
        <v>#N/A</v>
      </c>
      <c r="P1191" s="106" t="str">
        <f t="shared" si="3"/>
        <v>#N/A</v>
      </c>
      <c r="Q1191" s="84" t="str">
        <f t="shared" si="4"/>
        <v>#N/A</v>
      </c>
      <c r="R1191" s="84" t="str">
        <f t="shared" si="5"/>
        <v>#N/A</v>
      </c>
      <c r="S1191" s="107">
        <f t="shared" si="6"/>
        <v>-0.7337</v>
      </c>
      <c r="T1191" s="108">
        <f t="shared" si="7"/>
        <v>-1</v>
      </c>
      <c r="U1191" s="106" t="str">
        <f t="shared" si="8"/>
        <v>#N/A</v>
      </c>
      <c r="V1191" s="84" t="str">
        <f t="shared" si="9"/>
        <v/>
      </c>
      <c r="W1191" s="109" t="str">
        <f t="shared" si="10"/>
        <v/>
      </c>
      <c r="X1191" s="109" t="str">
        <f t="shared" si="11"/>
        <v/>
      </c>
      <c r="Y1191" s="110" t="str">
        <f t="array" ref="Y1191">_xlfn.XLOOKUP(A1191,'Video Database'!L:L,'Video Database'!M:M,"")</f>
        <v>Bottom of Funnel</v>
      </c>
    </row>
    <row r="1192" ht="22.5" customHeight="1">
      <c r="A1192" s="113">
        <f t="shared" si="12"/>
        <v>1191</v>
      </c>
      <c r="B1192" s="98" t="str">
        <f t="array" ref="B1192">_xlfn.XLOOKUP(A1192,'Video Database'!L:L,'Video Database'!D:D,"")</f>
        <v>Brittney</v>
      </c>
      <c r="C1192" s="98" t="str">
        <f t="array" ref="C1192">_xlfn.XLOOKUP(A1192,'Video Database'!L:L,'Video Database'!E:E,"")</f>
        <v>Account 4</v>
      </c>
      <c r="D1192" s="99" t="str">
        <f t="array" ref="D1192">_xlfn.XLOOKUP(A1192,'Video Database'!L:L,'Video Database'!G:G,"")</f>
        <v>Gruns Greens Popsicle Firecracker Gummies</v>
      </c>
      <c r="E1192" s="100">
        <f t="array" ref="E1192">_xlfn.XLOOKUP(A1192,'Video Database'!L:L,'Video Database'!H:H,"")</f>
        <v>0.11</v>
      </c>
      <c r="F1192" s="101"/>
      <c r="G1192" s="87"/>
      <c r="H1192" s="114">
        <f t="array" ref="H1192">_xlfn.XLOOKUP(A1192,'Video Database'!L:L,'Video Database'!A:A,"")</f>
        <v>46203</v>
      </c>
      <c r="I1192" s="103"/>
      <c r="J1192" s="104"/>
      <c r="K1192" s="105"/>
      <c r="L1192" s="105" t="str">
        <f t="shared" si="13"/>
        <v/>
      </c>
      <c r="O1192" s="106" t="str">
        <f t="shared" si="2"/>
        <v>#N/A</v>
      </c>
      <c r="P1192" s="106" t="str">
        <f t="shared" si="3"/>
        <v>#N/A</v>
      </c>
      <c r="Q1192" s="84" t="str">
        <f t="shared" si="4"/>
        <v>#N/A</v>
      </c>
      <c r="R1192" s="84" t="str">
        <f t="shared" si="5"/>
        <v>#N/A</v>
      </c>
      <c r="S1192" s="107">
        <f t="shared" si="6"/>
        <v>-0.11</v>
      </c>
      <c r="T1192" s="108">
        <f t="shared" si="7"/>
        <v>-1</v>
      </c>
      <c r="U1192" s="106" t="str">
        <f t="shared" si="8"/>
        <v>#N/A</v>
      </c>
      <c r="V1192" s="84" t="str">
        <f t="shared" si="9"/>
        <v/>
      </c>
      <c r="W1192" s="109" t="str">
        <f t="shared" si="10"/>
        <v/>
      </c>
      <c r="X1192" s="109" t="str">
        <f t="shared" si="11"/>
        <v/>
      </c>
      <c r="Y1192" s="110" t="str">
        <f t="array" ref="Y1192">_xlfn.XLOOKUP(A1192,'Video Database'!L:L,'Video Database'!M:M,"")</f>
        <v>Bottom of Funnel</v>
      </c>
    </row>
    <row r="1193" ht="22.5" customHeight="1">
      <c r="A1193" s="113">
        <f t="shared" si="12"/>
        <v>1192</v>
      </c>
      <c r="B1193" s="98" t="str">
        <f t="array" ref="B1193">_xlfn.XLOOKUP(A1193,'Video Database'!L:L,'Video Database'!D:D,"")</f>
        <v>Addison</v>
      </c>
      <c r="C1193" s="98" t="str">
        <f t="array" ref="C1193">_xlfn.XLOOKUP(A1193,'Video Database'!L:L,'Video Database'!E:E,"")</f>
        <v>Account 4</v>
      </c>
      <c r="D1193" s="99" t="str">
        <f t="array" ref="D1193">_xlfn.XLOOKUP(A1193,'Video Database'!L:L,'Video Database'!G:G,"")</f>
        <v>TIRTIR Hydro UV Shield Sunscreen</v>
      </c>
      <c r="E1193" s="100">
        <f t="array" ref="E1193">_xlfn.XLOOKUP(A1193,'Video Database'!L:L,'Video Database'!H:H,"")</f>
        <v>1.1</v>
      </c>
      <c r="F1193" s="101"/>
      <c r="G1193" s="87"/>
      <c r="H1193" s="114">
        <f t="array" ref="H1193">_xlfn.XLOOKUP(A1193,'Video Database'!L:L,'Video Database'!A:A,"")</f>
        <v>46203</v>
      </c>
      <c r="I1193" s="103"/>
      <c r="J1193" s="104"/>
      <c r="K1193" s="105"/>
      <c r="L1193" s="105" t="str">
        <f t="shared" si="13"/>
        <v/>
      </c>
      <c r="O1193" s="106" t="str">
        <f t="shared" si="2"/>
        <v>#N/A</v>
      </c>
      <c r="P1193" s="106" t="str">
        <f t="shared" si="3"/>
        <v>#N/A</v>
      </c>
      <c r="Q1193" s="84" t="str">
        <f t="shared" si="4"/>
        <v>#N/A</v>
      </c>
      <c r="R1193" s="84" t="str">
        <f t="shared" si="5"/>
        <v>#N/A</v>
      </c>
      <c r="S1193" s="107">
        <f t="shared" si="6"/>
        <v>-1.1</v>
      </c>
      <c r="T1193" s="108">
        <f t="shared" si="7"/>
        <v>-1</v>
      </c>
      <c r="U1193" s="106" t="str">
        <f t="shared" si="8"/>
        <v>#N/A</v>
      </c>
      <c r="V1193" s="84" t="str">
        <f t="shared" si="9"/>
        <v/>
      </c>
      <c r="W1193" s="109" t="str">
        <f t="shared" si="10"/>
        <v/>
      </c>
      <c r="X1193" s="109" t="str">
        <f t="shared" si="11"/>
        <v/>
      </c>
      <c r="Y1193" s="110" t="str">
        <f t="array" ref="Y1193">_xlfn.XLOOKUP(A1193,'Video Database'!L:L,'Video Database'!M:M,"")</f>
        <v>Middle of Funnel</v>
      </c>
    </row>
    <row r="1194" ht="22.5" customHeight="1">
      <c r="A1194" s="113">
        <f t="shared" si="12"/>
        <v>1193</v>
      </c>
      <c r="B1194" s="98" t="str">
        <f t="array" ref="B1194">_xlfn.XLOOKUP(A1194,'Video Database'!L:L,'Video Database'!D:D,"")</f>
        <v>Erin</v>
      </c>
      <c r="C1194" s="98" t="str">
        <f t="array" ref="C1194">_xlfn.XLOOKUP(A1194,'Video Database'!L:L,'Video Database'!E:E,"")</f>
        <v>Account 1</v>
      </c>
      <c r="D1194" s="99" t="str">
        <f t="array" ref="D1194">_xlfn.XLOOKUP(A1194,'Video Database'!L:L,'Video Database'!G:G,"")</f>
        <v>Kaja Beauty 3-in-1 Eyeshadow Stack</v>
      </c>
      <c r="E1194" s="100">
        <f t="array" ref="E1194">_xlfn.XLOOKUP(A1194,'Video Database'!L:L,'Video Database'!H:H,"")</f>
        <v>0.7337</v>
      </c>
      <c r="F1194" s="101"/>
      <c r="G1194" s="87"/>
      <c r="H1194" s="114">
        <f t="array" ref="H1194">_xlfn.XLOOKUP(A1194,'Video Database'!L:L,'Video Database'!A:A,"")</f>
        <v>46204</v>
      </c>
      <c r="I1194" s="103"/>
      <c r="J1194" s="104"/>
      <c r="K1194" s="105"/>
      <c r="L1194" s="105" t="str">
        <f t="shared" si="13"/>
        <v/>
      </c>
      <c r="O1194" s="106" t="str">
        <f t="shared" si="2"/>
        <v>#N/A</v>
      </c>
      <c r="P1194" s="106" t="str">
        <f t="shared" si="3"/>
        <v>#N/A</v>
      </c>
      <c r="Q1194" s="84" t="str">
        <f t="shared" si="4"/>
        <v>#N/A</v>
      </c>
      <c r="R1194" s="84" t="str">
        <f t="shared" si="5"/>
        <v>#N/A</v>
      </c>
      <c r="S1194" s="107">
        <f t="shared" si="6"/>
        <v>-0.7337</v>
      </c>
      <c r="T1194" s="108">
        <f t="shared" si="7"/>
        <v>-1</v>
      </c>
      <c r="U1194" s="106" t="str">
        <f t="shared" si="8"/>
        <v>#N/A</v>
      </c>
      <c r="V1194" s="84" t="str">
        <f t="shared" si="9"/>
        <v/>
      </c>
      <c r="W1194" s="109" t="str">
        <f t="shared" si="10"/>
        <v/>
      </c>
      <c r="X1194" s="109" t="str">
        <f t="shared" si="11"/>
        <v/>
      </c>
      <c r="Y1194" s="110" t="str">
        <f t="array" ref="Y1194">_xlfn.XLOOKUP(A1194,'Video Database'!L:L,'Video Database'!M:M,"")</f>
        <v>Bottom of Funnel</v>
      </c>
    </row>
    <row r="1195" ht="22.5" customHeight="1">
      <c r="A1195" s="113">
        <f t="shared" si="12"/>
        <v>1194</v>
      </c>
      <c r="B1195" s="98" t="str">
        <f t="array" ref="B1195">_xlfn.XLOOKUP(A1195,'Video Database'!L:L,'Video Database'!D:D,"")</f>
        <v>Charley</v>
      </c>
      <c r="C1195" s="98" t="str">
        <f t="array" ref="C1195">_xlfn.XLOOKUP(A1195,'Video Database'!L:L,'Video Database'!E:E,"")</f>
        <v>Account 1</v>
      </c>
      <c r="D1195" s="99" t="str">
        <f t="array" ref="D1195">_xlfn.XLOOKUP(A1195,'Video Database'!L:L,'Video Database'!G:G,"")</f>
        <v>COSRX US Vitamin E Sunscreen</v>
      </c>
      <c r="E1195" s="100">
        <f t="array" ref="E1195">_xlfn.XLOOKUP(A1195,'Video Database'!L:L,'Video Database'!H:H,"")</f>
        <v>1.1</v>
      </c>
      <c r="F1195" s="101"/>
      <c r="G1195" s="87"/>
      <c r="H1195" s="114">
        <f t="array" ref="H1195">_xlfn.XLOOKUP(A1195,'Video Database'!L:L,'Video Database'!A:A,"")</f>
        <v>46204</v>
      </c>
      <c r="I1195" s="103"/>
      <c r="J1195" s="104"/>
      <c r="K1195" s="105"/>
      <c r="L1195" s="105" t="str">
        <f t="shared" si="13"/>
        <v/>
      </c>
      <c r="O1195" s="106" t="str">
        <f t="shared" si="2"/>
        <v>#N/A</v>
      </c>
      <c r="P1195" s="106" t="str">
        <f t="shared" si="3"/>
        <v>#N/A</v>
      </c>
      <c r="Q1195" s="84" t="str">
        <f t="shared" si="4"/>
        <v>#N/A</v>
      </c>
      <c r="R1195" s="84" t="str">
        <f t="shared" si="5"/>
        <v>#N/A</v>
      </c>
      <c r="S1195" s="107">
        <f t="shared" si="6"/>
        <v>-1.1</v>
      </c>
      <c r="T1195" s="108">
        <f t="shared" si="7"/>
        <v>-1</v>
      </c>
      <c r="U1195" s="106" t="str">
        <f t="shared" si="8"/>
        <v>#N/A</v>
      </c>
      <c r="V1195" s="84" t="str">
        <f t="shared" si="9"/>
        <v/>
      </c>
      <c r="W1195" s="109" t="str">
        <f t="shared" si="10"/>
        <v/>
      </c>
      <c r="X1195" s="109" t="str">
        <f t="shared" si="11"/>
        <v/>
      </c>
      <c r="Y1195" s="110" t="str">
        <f t="array" ref="Y1195">_xlfn.XLOOKUP(A1195,'Video Database'!L:L,'Video Database'!M:M,"")</f>
        <v>Middle of Funnel</v>
      </c>
    </row>
    <row r="1196" ht="22.5" customHeight="1">
      <c r="A1196" s="113">
        <f t="shared" si="12"/>
        <v>1195</v>
      </c>
      <c r="B1196" s="98" t="str">
        <f t="array" ref="B1196">_xlfn.XLOOKUP(A1196,'Video Database'!L:L,'Video Database'!D:D,"")</f>
        <v>Sierra</v>
      </c>
      <c r="C1196" s="98" t="str">
        <f t="array" ref="C1196">_xlfn.XLOOKUP(A1196,'Video Database'!L:L,'Video Database'!E:E,"")</f>
        <v>Account 1</v>
      </c>
      <c r="D1196" s="99" t="str">
        <f t="array" ref="D1196">_xlfn.XLOOKUP(A1196,'Video Database'!L:L,'Video Database'!G:G,"")</f>
        <v>Taste Salud Skin + Beauty Drink Mix</v>
      </c>
      <c r="E1196" s="100">
        <f t="array" ref="E1196">_xlfn.XLOOKUP(A1196,'Video Database'!L:L,'Video Database'!H:H,"")</f>
        <v>1.1</v>
      </c>
      <c r="F1196" s="101"/>
      <c r="G1196" s="87"/>
      <c r="H1196" s="114">
        <f t="array" ref="H1196">_xlfn.XLOOKUP(A1196,'Video Database'!L:L,'Video Database'!A:A,"")</f>
        <v>46204</v>
      </c>
      <c r="I1196" s="103"/>
      <c r="J1196" s="104"/>
      <c r="K1196" s="105"/>
      <c r="L1196" s="105" t="str">
        <f t="shared" si="13"/>
        <v/>
      </c>
      <c r="O1196" s="106" t="str">
        <f t="shared" si="2"/>
        <v>#N/A</v>
      </c>
      <c r="P1196" s="106" t="str">
        <f t="shared" si="3"/>
        <v>#N/A</v>
      </c>
      <c r="Q1196" s="84" t="str">
        <f t="shared" si="4"/>
        <v>#N/A</v>
      </c>
      <c r="R1196" s="84" t="str">
        <f t="shared" si="5"/>
        <v>#N/A</v>
      </c>
      <c r="S1196" s="107">
        <f t="shared" si="6"/>
        <v>-1.1</v>
      </c>
      <c r="T1196" s="108">
        <f t="shared" si="7"/>
        <v>-1</v>
      </c>
      <c r="U1196" s="106" t="str">
        <f t="shared" si="8"/>
        <v>#N/A</v>
      </c>
      <c r="V1196" s="84" t="str">
        <f t="shared" si="9"/>
        <v/>
      </c>
      <c r="W1196" s="109" t="str">
        <f t="shared" si="10"/>
        <v/>
      </c>
      <c r="X1196" s="109" t="str">
        <f t="shared" si="11"/>
        <v/>
      </c>
      <c r="Y1196" s="110" t="str">
        <f t="array" ref="Y1196">_xlfn.XLOOKUP(A1196,'Video Database'!L:L,'Video Database'!M:M,"")</f>
        <v>Middle of Funnel</v>
      </c>
    </row>
    <row r="1197" ht="22.5" customHeight="1">
      <c r="A1197" s="113">
        <f t="shared" si="12"/>
        <v>1196</v>
      </c>
      <c r="B1197" s="98" t="str">
        <f t="array" ref="B1197">_xlfn.XLOOKUP(A1197,'Video Database'!L:L,'Video Database'!D:D,"")</f>
        <v>Erin</v>
      </c>
      <c r="C1197" s="98" t="str">
        <f t="array" ref="C1197">_xlfn.XLOOKUP(A1197,'Video Database'!L:L,'Video Database'!E:E,"")</f>
        <v>Account 1</v>
      </c>
      <c r="D1197" s="99" t="str">
        <f t="array" ref="D1197">_xlfn.XLOOKUP(A1197,'Video Database'!L:L,'Video Database'!G:G,"")</f>
        <v>Carovo Hoop Earrings Set</v>
      </c>
      <c r="E1197" s="100">
        <f t="array" ref="E1197">_xlfn.XLOOKUP(A1197,'Video Database'!L:L,'Video Database'!H:H,"")</f>
        <v>0.7337</v>
      </c>
      <c r="F1197" s="101"/>
      <c r="G1197" s="87"/>
      <c r="H1197" s="114">
        <f t="array" ref="H1197">_xlfn.XLOOKUP(A1197,'Video Database'!L:L,'Video Database'!A:A,"")</f>
        <v>46204</v>
      </c>
      <c r="I1197" s="103"/>
      <c r="J1197" s="104"/>
      <c r="K1197" s="105"/>
      <c r="L1197" s="105" t="str">
        <f t="shared" si="13"/>
        <v/>
      </c>
      <c r="O1197" s="106" t="str">
        <f t="shared" si="2"/>
        <v>#N/A</v>
      </c>
      <c r="P1197" s="106" t="str">
        <f t="shared" si="3"/>
        <v>#N/A</v>
      </c>
      <c r="Q1197" s="84" t="str">
        <f t="shared" si="4"/>
        <v>#N/A</v>
      </c>
      <c r="R1197" s="84" t="str">
        <f t="shared" si="5"/>
        <v>#N/A</v>
      </c>
      <c r="S1197" s="107">
        <f t="shared" si="6"/>
        <v>-0.7337</v>
      </c>
      <c r="T1197" s="108">
        <f t="shared" si="7"/>
        <v>-1</v>
      </c>
      <c r="U1197" s="106" t="str">
        <f t="shared" si="8"/>
        <v>#N/A</v>
      </c>
      <c r="V1197" s="84" t="str">
        <f t="shared" si="9"/>
        <v/>
      </c>
      <c r="W1197" s="109" t="str">
        <f t="shared" si="10"/>
        <v/>
      </c>
      <c r="X1197" s="109" t="str">
        <f t="shared" si="11"/>
        <v/>
      </c>
      <c r="Y1197" s="110" t="str">
        <f t="array" ref="Y1197">_xlfn.XLOOKUP(A1197,'Video Database'!L:L,'Video Database'!M:M,"")</f>
        <v>Bottom of Funnel</v>
      </c>
    </row>
    <row r="1198" ht="22.5" customHeight="1">
      <c r="A1198" s="113">
        <f t="shared" si="12"/>
        <v>1197</v>
      </c>
      <c r="B1198" s="98" t="str">
        <f t="array" ref="B1198">_xlfn.XLOOKUP(A1198,'Video Database'!L:L,'Video Database'!D:D,"")</f>
        <v>Sierra</v>
      </c>
      <c r="C1198" s="98" t="str">
        <f t="array" ref="C1198">_xlfn.XLOOKUP(A1198,'Video Database'!L:L,'Video Database'!E:E,"")</f>
        <v>Account 1</v>
      </c>
      <c r="D1198" s="99" t="str">
        <f t="array" ref="D1198">_xlfn.XLOOKUP(A1198,'Video Database'!L:L,'Video Database'!G:G,"")</f>
        <v>SKIN1004 Hyla-Cica Water Fit Sunscreen</v>
      </c>
      <c r="E1198" s="100">
        <f t="array" ref="E1198">_xlfn.XLOOKUP(A1198,'Video Database'!L:L,'Video Database'!H:H,"")</f>
        <v>1.1</v>
      </c>
      <c r="F1198" s="101"/>
      <c r="G1198" s="87"/>
      <c r="H1198" s="114">
        <f t="array" ref="H1198">_xlfn.XLOOKUP(A1198,'Video Database'!L:L,'Video Database'!A:A,"")</f>
        <v>46204</v>
      </c>
      <c r="I1198" s="103"/>
      <c r="J1198" s="104"/>
      <c r="K1198" s="105"/>
      <c r="L1198" s="105" t="str">
        <f t="shared" si="13"/>
        <v/>
      </c>
      <c r="O1198" s="106" t="str">
        <f t="shared" si="2"/>
        <v>#N/A</v>
      </c>
      <c r="P1198" s="106" t="str">
        <f t="shared" si="3"/>
        <v>#N/A</v>
      </c>
      <c r="Q1198" s="84" t="str">
        <f t="shared" si="4"/>
        <v>#N/A</v>
      </c>
      <c r="R1198" s="84" t="str">
        <f t="shared" si="5"/>
        <v>#N/A</v>
      </c>
      <c r="S1198" s="107">
        <f t="shared" si="6"/>
        <v>-1.1</v>
      </c>
      <c r="T1198" s="108">
        <f t="shared" si="7"/>
        <v>-1</v>
      </c>
      <c r="U1198" s="106" t="str">
        <f t="shared" si="8"/>
        <v>#N/A</v>
      </c>
      <c r="V1198" s="84" t="str">
        <f t="shared" si="9"/>
        <v/>
      </c>
      <c r="W1198" s="109" t="str">
        <f t="shared" si="10"/>
        <v/>
      </c>
      <c r="X1198" s="109" t="str">
        <f t="shared" si="11"/>
        <v/>
      </c>
      <c r="Y1198" s="110" t="str">
        <f t="array" ref="Y1198">_xlfn.XLOOKUP(A1198,'Video Database'!L:L,'Video Database'!M:M,"")</f>
        <v>Middle of Funnel</v>
      </c>
    </row>
    <row r="1199" ht="22.5" customHeight="1">
      <c r="A1199" s="113">
        <f t="shared" si="12"/>
        <v>1198</v>
      </c>
      <c r="B1199" s="98" t="str">
        <f t="array" ref="B1199">_xlfn.XLOOKUP(A1199,'Video Database'!L:L,'Video Database'!D:D,"")</f>
        <v>Erin</v>
      </c>
      <c r="C1199" s="98" t="str">
        <f t="array" ref="C1199">_xlfn.XLOOKUP(A1199,'Video Database'!L:L,'Video Database'!E:E,"")</f>
        <v>Account 1</v>
      </c>
      <c r="D1199" s="99" t="str">
        <f t="array" ref="D1199">_xlfn.XLOOKUP(A1199,'Video Database'!L:L,'Video Database'!G:G,"")</f>
        <v>XL Microfiber Towel</v>
      </c>
      <c r="E1199" s="100">
        <f t="array" ref="E1199">_xlfn.XLOOKUP(A1199,'Video Database'!L:L,'Video Database'!H:H,"")</f>
        <v>0.7337</v>
      </c>
      <c r="F1199" s="101"/>
      <c r="G1199" s="87"/>
      <c r="H1199" s="114">
        <f t="array" ref="H1199">_xlfn.XLOOKUP(A1199,'Video Database'!L:L,'Video Database'!A:A,"")</f>
        <v>46204</v>
      </c>
      <c r="I1199" s="103"/>
      <c r="J1199" s="104"/>
      <c r="K1199" s="105"/>
      <c r="L1199" s="105" t="str">
        <f t="shared" si="13"/>
        <v/>
      </c>
      <c r="O1199" s="106" t="str">
        <f t="shared" si="2"/>
        <v>#N/A</v>
      </c>
      <c r="P1199" s="106" t="str">
        <f t="shared" si="3"/>
        <v>#N/A</v>
      </c>
      <c r="Q1199" s="84" t="str">
        <f t="shared" si="4"/>
        <v>#N/A</v>
      </c>
      <c r="R1199" s="84" t="str">
        <f t="shared" si="5"/>
        <v>#N/A</v>
      </c>
      <c r="S1199" s="107">
        <f t="shared" si="6"/>
        <v>-0.7337</v>
      </c>
      <c r="T1199" s="108">
        <f t="shared" si="7"/>
        <v>-1</v>
      </c>
      <c r="U1199" s="106" t="str">
        <f t="shared" si="8"/>
        <v>#N/A</v>
      </c>
      <c r="V1199" s="84" t="str">
        <f t="shared" si="9"/>
        <v/>
      </c>
      <c r="W1199" s="109" t="str">
        <f t="shared" si="10"/>
        <v/>
      </c>
      <c r="X1199" s="109" t="str">
        <f t="shared" si="11"/>
        <v/>
      </c>
      <c r="Y1199" s="110" t="str">
        <f t="array" ref="Y1199">_xlfn.XLOOKUP(A1199,'Video Database'!L:L,'Video Database'!M:M,"")</f>
        <v>Bottom of Funnel</v>
      </c>
    </row>
    <row r="1200" ht="22.5" customHeight="1">
      <c r="A1200" s="113">
        <f t="shared" si="12"/>
        <v>1199</v>
      </c>
      <c r="B1200" s="98" t="str">
        <f t="array" ref="B1200">_xlfn.XLOOKUP(A1200,'Video Database'!L:L,'Video Database'!D:D,"")</f>
        <v>Addison</v>
      </c>
      <c r="C1200" s="98" t="str">
        <f t="array" ref="C1200">_xlfn.XLOOKUP(A1200,'Video Database'!L:L,'Video Database'!E:E,"")</f>
        <v>Account 1</v>
      </c>
      <c r="D1200" s="99" t="str">
        <f t="array" ref="D1200">_xlfn.XLOOKUP(A1200,'Video Database'!L:L,'Video Database'!G:G,"")</f>
        <v>TIRTIR Hydro UV Shield Sunscreen</v>
      </c>
      <c r="E1200" s="100">
        <f t="array" ref="E1200">_xlfn.XLOOKUP(A1200,'Video Database'!L:L,'Video Database'!H:H,"")</f>
        <v>1.1</v>
      </c>
      <c r="F1200" s="101"/>
      <c r="G1200" s="87"/>
      <c r="H1200" s="114">
        <f t="array" ref="H1200">_xlfn.XLOOKUP(A1200,'Video Database'!L:L,'Video Database'!A:A,"")</f>
        <v>46204</v>
      </c>
      <c r="I1200" s="103"/>
      <c r="J1200" s="104"/>
      <c r="K1200" s="105"/>
      <c r="L1200" s="105" t="str">
        <f t="shared" si="13"/>
        <v/>
      </c>
      <c r="O1200" s="106" t="str">
        <f t="shared" si="2"/>
        <v>#N/A</v>
      </c>
      <c r="P1200" s="106" t="str">
        <f t="shared" si="3"/>
        <v>#N/A</v>
      </c>
      <c r="Q1200" s="84" t="str">
        <f t="shared" si="4"/>
        <v>#N/A</v>
      </c>
      <c r="R1200" s="84" t="str">
        <f t="shared" si="5"/>
        <v>#N/A</v>
      </c>
      <c r="S1200" s="107">
        <f t="shared" si="6"/>
        <v>-1.1</v>
      </c>
      <c r="T1200" s="108">
        <f t="shared" si="7"/>
        <v>-1</v>
      </c>
      <c r="U1200" s="106" t="str">
        <f t="shared" si="8"/>
        <v>#N/A</v>
      </c>
      <c r="V1200" s="84" t="str">
        <f t="shared" si="9"/>
        <v/>
      </c>
      <c r="W1200" s="109" t="str">
        <f t="shared" si="10"/>
        <v/>
      </c>
      <c r="X1200" s="109" t="str">
        <f t="shared" si="11"/>
        <v/>
      </c>
      <c r="Y1200" s="110" t="str">
        <f t="array" ref="Y1200">_xlfn.XLOOKUP(A1200,'Video Database'!L:L,'Video Database'!M:M,"")</f>
        <v>Middle of Funnel</v>
      </c>
    </row>
    <row r="1201" ht="22.5" customHeight="1">
      <c r="A1201" s="113">
        <f t="shared" si="12"/>
        <v>1200</v>
      </c>
      <c r="B1201" s="98" t="str">
        <f t="array" ref="B1201">_xlfn.XLOOKUP(A1201,'Video Database'!L:L,'Video Database'!D:D,"")</f>
        <v>Erin</v>
      </c>
      <c r="C1201" s="98" t="str">
        <f t="array" ref="C1201">_xlfn.XLOOKUP(A1201,'Video Database'!L:L,'Video Database'!E:E,"")</f>
        <v>Account 1</v>
      </c>
      <c r="D1201" s="99" t="str">
        <f t="array" ref="D1201">_xlfn.XLOOKUP(A1201,'Video Database'!L:L,'Video Database'!G:G,"")</f>
        <v>Medicube Kojic Accid Tumeric Pads</v>
      </c>
      <c r="E1201" s="100">
        <f t="array" ref="E1201">_xlfn.XLOOKUP(A1201,'Video Database'!L:L,'Video Database'!H:H,"")</f>
        <v>0.7337</v>
      </c>
      <c r="F1201" s="101"/>
      <c r="G1201" s="87"/>
      <c r="H1201" s="114">
        <f t="array" ref="H1201">_xlfn.XLOOKUP(A1201,'Video Database'!L:L,'Video Database'!A:A,"")</f>
        <v>46204</v>
      </c>
      <c r="I1201" s="103"/>
      <c r="J1201" s="104"/>
      <c r="K1201" s="105"/>
      <c r="L1201" s="105" t="str">
        <f t="shared" si="13"/>
        <v/>
      </c>
      <c r="O1201" s="106" t="str">
        <f t="shared" si="2"/>
        <v>#N/A</v>
      </c>
      <c r="P1201" s="106" t="str">
        <f t="shared" si="3"/>
        <v>#N/A</v>
      </c>
      <c r="Q1201" s="84" t="str">
        <f t="shared" si="4"/>
        <v>#N/A</v>
      </c>
      <c r="R1201" s="84" t="str">
        <f t="shared" si="5"/>
        <v>#N/A</v>
      </c>
      <c r="S1201" s="107">
        <f t="shared" si="6"/>
        <v>-0.7337</v>
      </c>
      <c r="T1201" s="108">
        <f t="shared" si="7"/>
        <v>-1</v>
      </c>
      <c r="U1201" s="106" t="str">
        <f t="shared" si="8"/>
        <v>#N/A</v>
      </c>
      <c r="V1201" s="84" t="str">
        <f t="shared" si="9"/>
        <v/>
      </c>
      <c r="W1201" s="109" t="str">
        <f t="shared" si="10"/>
        <v/>
      </c>
      <c r="X1201" s="109" t="str">
        <f t="shared" si="11"/>
        <v/>
      </c>
      <c r="Y1201" s="110" t="str">
        <f t="array" ref="Y1201">_xlfn.XLOOKUP(A1201,'Video Database'!L:L,'Video Database'!M:M,"")</f>
        <v>Bottom of Funnel</v>
      </c>
    </row>
    <row r="1202" ht="22.5" customHeight="1">
      <c r="A1202" s="113">
        <f t="shared" si="12"/>
        <v>1201</v>
      </c>
      <c r="B1202" s="98" t="str">
        <f t="array" ref="B1202">_xlfn.XLOOKUP(A1202,'Video Database'!L:L,'Video Database'!D:D,"")</f>
        <v>Brittney</v>
      </c>
      <c r="C1202" s="98" t="str">
        <f t="array" ref="C1202">_xlfn.XLOOKUP(A1202,'Video Database'!L:L,'Video Database'!E:E,"")</f>
        <v>Account 1</v>
      </c>
      <c r="D1202" s="99" t="str">
        <f t="array" ref="D1202">_xlfn.XLOOKUP(A1202,'Video Database'!L:L,'Video Database'!G:G,"")</f>
        <v>Gruns Greens Popsicle Firecracker Gummies</v>
      </c>
      <c r="E1202" s="100">
        <f t="array" ref="E1202">_xlfn.XLOOKUP(A1202,'Video Database'!L:L,'Video Database'!H:H,"")</f>
        <v>0.11</v>
      </c>
      <c r="F1202" s="101"/>
      <c r="G1202" s="87"/>
      <c r="H1202" s="114">
        <f t="array" ref="H1202">_xlfn.XLOOKUP(A1202,'Video Database'!L:L,'Video Database'!A:A,"")</f>
        <v>46204</v>
      </c>
      <c r="I1202" s="103"/>
      <c r="J1202" s="104"/>
      <c r="K1202" s="105"/>
      <c r="L1202" s="105" t="str">
        <f t="shared" si="13"/>
        <v/>
      </c>
      <c r="O1202" s="106" t="str">
        <f t="shared" si="2"/>
        <v>#N/A</v>
      </c>
      <c r="P1202" s="106" t="str">
        <f t="shared" si="3"/>
        <v>#N/A</v>
      </c>
      <c r="Q1202" s="84" t="str">
        <f t="shared" si="4"/>
        <v>#N/A</v>
      </c>
      <c r="R1202" s="84" t="str">
        <f t="shared" si="5"/>
        <v>#N/A</v>
      </c>
      <c r="S1202" s="107">
        <f t="shared" si="6"/>
        <v>-0.11</v>
      </c>
      <c r="T1202" s="108">
        <f t="shared" si="7"/>
        <v>-1</v>
      </c>
      <c r="U1202" s="106" t="str">
        <f t="shared" si="8"/>
        <v>#N/A</v>
      </c>
      <c r="V1202" s="84" t="str">
        <f t="shared" si="9"/>
        <v/>
      </c>
      <c r="W1202" s="109" t="str">
        <f t="shared" si="10"/>
        <v/>
      </c>
      <c r="X1202" s="109" t="str">
        <f t="shared" si="11"/>
        <v/>
      </c>
      <c r="Y1202" s="110" t="str">
        <f t="array" ref="Y1202">_xlfn.XLOOKUP(A1202,'Video Database'!L:L,'Video Database'!M:M,"")</f>
        <v>Bottom of Funnel</v>
      </c>
    </row>
    <row r="1203" ht="22.5" customHeight="1">
      <c r="A1203" s="113">
        <f t="shared" si="12"/>
        <v>1202</v>
      </c>
      <c r="B1203" s="98" t="str">
        <f t="array" ref="B1203">_xlfn.XLOOKUP(A1203,'Video Database'!L:L,'Video Database'!D:D,"")</f>
        <v>Erin</v>
      </c>
      <c r="C1203" s="98" t="str">
        <f t="array" ref="C1203">_xlfn.XLOOKUP(A1203,'Video Database'!L:L,'Video Database'!E:E,"")</f>
        <v>Account 1</v>
      </c>
      <c r="D1203" s="99" t="str">
        <f t="array" ref="D1203">_xlfn.XLOOKUP(A1203,'Video Database'!L:L,'Video Database'!G:G,"")</f>
        <v>Elegant Faux Pearl Set</v>
      </c>
      <c r="E1203" s="100">
        <f t="array" ref="E1203">_xlfn.XLOOKUP(A1203,'Video Database'!L:L,'Video Database'!H:H,"")</f>
        <v>0.7337</v>
      </c>
      <c r="F1203" s="101"/>
      <c r="G1203" s="87"/>
      <c r="H1203" s="114">
        <f t="array" ref="H1203">_xlfn.XLOOKUP(A1203,'Video Database'!L:L,'Video Database'!A:A,"")</f>
        <v>46204</v>
      </c>
      <c r="I1203" s="103"/>
      <c r="J1203" s="104"/>
      <c r="K1203" s="105"/>
      <c r="L1203" s="105" t="str">
        <f t="shared" si="13"/>
        <v/>
      </c>
      <c r="O1203" s="106" t="str">
        <f t="shared" si="2"/>
        <v>#N/A</v>
      </c>
      <c r="P1203" s="106" t="str">
        <f t="shared" si="3"/>
        <v>#N/A</v>
      </c>
      <c r="Q1203" s="84" t="str">
        <f t="shared" si="4"/>
        <v>#N/A</v>
      </c>
      <c r="R1203" s="84" t="str">
        <f t="shared" si="5"/>
        <v>#N/A</v>
      </c>
      <c r="S1203" s="107">
        <f t="shared" si="6"/>
        <v>-0.7337</v>
      </c>
      <c r="T1203" s="108">
        <f t="shared" si="7"/>
        <v>-1</v>
      </c>
      <c r="U1203" s="106" t="str">
        <f t="shared" si="8"/>
        <v>#N/A</v>
      </c>
      <c r="V1203" s="84" t="str">
        <f t="shared" si="9"/>
        <v/>
      </c>
      <c r="W1203" s="109" t="str">
        <f t="shared" si="10"/>
        <v/>
      </c>
      <c r="X1203" s="109" t="str">
        <f t="shared" si="11"/>
        <v/>
      </c>
      <c r="Y1203" s="110" t="str">
        <f t="array" ref="Y1203">_xlfn.XLOOKUP(A1203,'Video Database'!L:L,'Video Database'!M:M,"")</f>
        <v>Bottom of Funnel</v>
      </c>
    </row>
    <row r="1204" ht="22.5" customHeight="1">
      <c r="A1204" s="113">
        <f t="shared" si="12"/>
        <v>1203</v>
      </c>
      <c r="B1204" s="98" t="str">
        <f t="array" ref="B1204">_xlfn.XLOOKUP(A1204,'Video Database'!L:L,'Video Database'!D:D,"")</f>
        <v>Erin</v>
      </c>
      <c r="C1204" s="98" t="str">
        <f t="array" ref="C1204">_xlfn.XLOOKUP(A1204,'Video Database'!L:L,'Video Database'!E:E,"")</f>
        <v>Account 2</v>
      </c>
      <c r="D1204" s="99" t="str">
        <f t="array" ref="D1204">_xlfn.XLOOKUP(A1204,'Video Database'!L:L,'Video Database'!G:G,"")</f>
        <v>Kaja Beauty 3-in-1 Eyeshadow Stack</v>
      </c>
      <c r="E1204" s="100">
        <f t="array" ref="E1204">_xlfn.XLOOKUP(A1204,'Video Database'!L:L,'Video Database'!H:H,"")</f>
        <v>0.7337</v>
      </c>
      <c r="F1204" s="101"/>
      <c r="G1204" s="87"/>
      <c r="H1204" s="114">
        <f t="array" ref="H1204">_xlfn.XLOOKUP(A1204,'Video Database'!L:L,'Video Database'!A:A,"")</f>
        <v>46204</v>
      </c>
      <c r="I1204" s="103"/>
      <c r="J1204" s="104"/>
      <c r="K1204" s="105"/>
      <c r="L1204" s="105" t="str">
        <f t="shared" si="13"/>
        <v/>
      </c>
      <c r="O1204" s="106" t="str">
        <f t="shared" si="2"/>
        <v>#N/A</v>
      </c>
      <c r="P1204" s="106" t="str">
        <f t="shared" si="3"/>
        <v>#N/A</v>
      </c>
      <c r="Q1204" s="84" t="str">
        <f t="shared" si="4"/>
        <v>#N/A</v>
      </c>
      <c r="R1204" s="84" t="str">
        <f t="shared" si="5"/>
        <v>#N/A</v>
      </c>
      <c r="S1204" s="107">
        <f t="shared" si="6"/>
        <v>-0.7337</v>
      </c>
      <c r="T1204" s="108">
        <f t="shared" si="7"/>
        <v>-1</v>
      </c>
      <c r="U1204" s="106" t="str">
        <f t="shared" si="8"/>
        <v>#N/A</v>
      </c>
      <c r="V1204" s="84" t="str">
        <f t="shared" si="9"/>
        <v/>
      </c>
      <c r="W1204" s="109" t="str">
        <f t="shared" si="10"/>
        <v/>
      </c>
      <c r="X1204" s="109" t="str">
        <f t="shared" si="11"/>
        <v/>
      </c>
      <c r="Y1204" s="110" t="str">
        <f t="array" ref="Y1204">_xlfn.XLOOKUP(A1204,'Video Database'!L:L,'Video Database'!M:M,"")</f>
        <v>Bottom of Funnel</v>
      </c>
    </row>
    <row r="1205" ht="22.5" customHeight="1">
      <c r="A1205" s="113">
        <f t="shared" si="12"/>
        <v>1204</v>
      </c>
      <c r="B1205" s="98" t="str">
        <f t="array" ref="B1205">_xlfn.XLOOKUP(A1205,'Video Database'!L:L,'Video Database'!D:D,"")</f>
        <v>Erin</v>
      </c>
      <c r="C1205" s="98" t="str">
        <f t="array" ref="C1205">_xlfn.XLOOKUP(A1205,'Video Database'!L:L,'Video Database'!E:E,"")</f>
        <v>Account 2</v>
      </c>
      <c r="D1205" s="99" t="str">
        <f t="array" ref="D1205">_xlfn.XLOOKUP(A1205,'Video Database'!L:L,'Video Database'!G:G,"")</f>
        <v>Carovo Hoop Earrings Set</v>
      </c>
      <c r="E1205" s="100">
        <f t="array" ref="E1205">_xlfn.XLOOKUP(A1205,'Video Database'!L:L,'Video Database'!H:H,"")</f>
        <v>0.7337</v>
      </c>
      <c r="F1205" s="101"/>
      <c r="G1205" s="87"/>
      <c r="H1205" s="114">
        <f t="array" ref="H1205">_xlfn.XLOOKUP(A1205,'Video Database'!L:L,'Video Database'!A:A,"")</f>
        <v>46204</v>
      </c>
      <c r="I1205" s="103"/>
      <c r="J1205" s="104"/>
      <c r="K1205" s="105"/>
      <c r="L1205" s="105" t="str">
        <f t="shared" si="13"/>
        <v/>
      </c>
      <c r="O1205" s="106" t="str">
        <f t="shared" si="2"/>
        <v>#N/A</v>
      </c>
      <c r="P1205" s="106" t="str">
        <f t="shared" si="3"/>
        <v>#N/A</v>
      </c>
      <c r="Q1205" s="84" t="str">
        <f t="shared" si="4"/>
        <v>#N/A</v>
      </c>
      <c r="R1205" s="84" t="str">
        <f t="shared" si="5"/>
        <v>#N/A</v>
      </c>
      <c r="S1205" s="107">
        <f t="shared" si="6"/>
        <v>-0.7337</v>
      </c>
      <c r="T1205" s="108">
        <f t="shared" si="7"/>
        <v>-1</v>
      </c>
      <c r="U1205" s="106" t="str">
        <f t="shared" si="8"/>
        <v>#N/A</v>
      </c>
      <c r="V1205" s="84" t="str">
        <f t="shared" si="9"/>
        <v/>
      </c>
      <c r="W1205" s="109" t="str">
        <f t="shared" si="10"/>
        <v/>
      </c>
      <c r="X1205" s="109" t="str">
        <f t="shared" si="11"/>
        <v/>
      </c>
      <c r="Y1205" s="110" t="str">
        <f t="array" ref="Y1205">_xlfn.XLOOKUP(A1205,'Video Database'!L:L,'Video Database'!M:M,"")</f>
        <v>Bottom of Funnel</v>
      </c>
    </row>
    <row r="1206" ht="22.5" customHeight="1">
      <c r="A1206" s="113">
        <f t="shared" si="12"/>
        <v>1205</v>
      </c>
      <c r="B1206" s="98" t="str">
        <f t="array" ref="B1206">_xlfn.XLOOKUP(A1206,'Video Database'!L:L,'Video Database'!D:D,"")</f>
        <v>Charley</v>
      </c>
      <c r="C1206" s="98" t="str">
        <f t="array" ref="C1206">_xlfn.XLOOKUP(A1206,'Video Database'!L:L,'Video Database'!E:E,"")</f>
        <v>Account 2</v>
      </c>
      <c r="D1206" s="99" t="str">
        <f t="array" ref="D1206">_xlfn.XLOOKUP(A1206,'Video Database'!L:L,'Video Database'!G:G,"")</f>
        <v>COSRX US Vitamin E Sunscreen</v>
      </c>
      <c r="E1206" s="100">
        <f t="array" ref="E1206">_xlfn.XLOOKUP(A1206,'Video Database'!L:L,'Video Database'!H:H,"")</f>
        <v>1.1</v>
      </c>
      <c r="F1206" s="101"/>
      <c r="G1206" s="87"/>
      <c r="H1206" s="114">
        <f t="array" ref="H1206">_xlfn.XLOOKUP(A1206,'Video Database'!L:L,'Video Database'!A:A,"")</f>
        <v>46204</v>
      </c>
      <c r="I1206" s="103"/>
      <c r="J1206" s="104"/>
      <c r="K1206" s="105"/>
      <c r="L1206" s="105" t="str">
        <f t="shared" si="13"/>
        <v/>
      </c>
      <c r="O1206" s="106" t="str">
        <f t="shared" si="2"/>
        <v>#N/A</v>
      </c>
      <c r="P1206" s="106" t="str">
        <f t="shared" si="3"/>
        <v>#N/A</v>
      </c>
      <c r="Q1206" s="84" t="str">
        <f t="shared" si="4"/>
        <v>#N/A</v>
      </c>
      <c r="R1206" s="84" t="str">
        <f t="shared" si="5"/>
        <v>#N/A</v>
      </c>
      <c r="S1206" s="107">
        <f t="shared" si="6"/>
        <v>-1.1</v>
      </c>
      <c r="T1206" s="108">
        <f t="shared" si="7"/>
        <v>-1</v>
      </c>
      <c r="U1206" s="106" t="str">
        <f t="shared" si="8"/>
        <v>#N/A</v>
      </c>
      <c r="V1206" s="84" t="str">
        <f t="shared" si="9"/>
        <v/>
      </c>
      <c r="W1206" s="109" t="str">
        <f t="shared" si="10"/>
        <v/>
      </c>
      <c r="X1206" s="109" t="str">
        <f t="shared" si="11"/>
        <v/>
      </c>
      <c r="Y1206" s="110" t="str">
        <f t="array" ref="Y1206">_xlfn.XLOOKUP(A1206,'Video Database'!L:L,'Video Database'!M:M,"")</f>
        <v>Middle of Funnel</v>
      </c>
    </row>
    <row r="1207" ht="22.5" customHeight="1">
      <c r="A1207" s="113">
        <f t="shared" si="12"/>
        <v>1206</v>
      </c>
      <c r="B1207" s="98" t="str">
        <f t="array" ref="B1207">_xlfn.XLOOKUP(A1207,'Video Database'!L:L,'Video Database'!D:D,"")</f>
        <v>Sierra</v>
      </c>
      <c r="C1207" s="98" t="str">
        <f t="array" ref="C1207">_xlfn.XLOOKUP(A1207,'Video Database'!L:L,'Video Database'!E:E,"")</f>
        <v>Account 2</v>
      </c>
      <c r="D1207" s="99" t="str">
        <f t="array" ref="D1207">_xlfn.XLOOKUP(A1207,'Video Database'!L:L,'Video Database'!G:G,"")</f>
        <v>Taste Salud Skin + Beauty Drink Mix</v>
      </c>
      <c r="E1207" s="100">
        <f t="array" ref="E1207">_xlfn.XLOOKUP(A1207,'Video Database'!L:L,'Video Database'!H:H,"")</f>
        <v>1.1</v>
      </c>
      <c r="F1207" s="101"/>
      <c r="G1207" s="87"/>
      <c r="H1207" s="114">
        <f t="array" ref="H1207">_xlfn.XLOOKUP(A1207,'Video Database'!L:L,'Video Database'!A:A,"")</f>
        <v>46204</v>
      </c>
      <c r="I1207" s="103"/>
      <c r="J1207" s="104"/>
      <c r="K1207" s="105"/>
      <c r="L1207" s="105" t="str">
        <f t="shared" si="13"/>
        <v/>
      </c>
      <c r="O1207" s="106" t="str">
        <f t="shared" si="2"/>
        <v>#N/A</v>
      </c>
      <c r="P1207" s="106" t="str">
        <f t="shared" si="3"/>
        <v>#N/A</v>
      </c>
      <c r="Q1207" s="84" t="str">
        <f t="shared" si="4"/>
        <v>#N/A</v>
      </c>
      <c r="R1207" s="84" t="str">
        <f t="shared" si="5"/>
        <v>#N/A</v>
      </c>
      <c r="S1207" s="107">
        <f t="shared" si="6"/>
        <v>-1.1</v>
      </c>
      <c r="T1207" s="108">
        <f t="shared" si="7"/>
        <v>-1</v>
      </c>
      <c r="U1207" s="106" t="str">
        <f t="shared" si="8"/>
        <v>#N/A</v>
      </c>
      <c r="V1207" s="84" t="str">
        <f t="shared" si="9"/>
        <v/>
      </c>
      <c r="W1207" s="109" t="str">
        <f t="shared" si="10"/>
        <v/>
      </c>
      <c r="X1207" s="109" t="str">
        <f t="shared" si="11"/>
        <v/>
      </c>
      <c r="Y1207" s="110" t="str">
        <f t="array" ref="Y1207">_xlfn.XLOOKUP(A1207,'Video Database'!L:L,'Video Database'!M:M,"")</f>
        <v>Middle of Funnel</v>
      </c>
    </row>
    <row r="1208" ht="22.5" customHeight="1">
      <c r="A1208" s="113">
        <f t="shared" si="12"/>
        <v>1207</v>
      </c>
      <c r="B1208" s="98" t="str">
        <f t="array" ref="B1208">_xlfn.XLOOKUP(A1208,'Video Database'!L:L,'Video Database'!D:D,"")</f>
        <v>Erin</v>
      </c>
      <c r="C1208" s="98" t="str">
        <f t="array" ref="C1208">_xlfn.XLOOKUP(A1208,'Video Database'!L:L,'Video Database'!E:E,"")</f>
        <v>Account 2</v>
      </c>
      <c r="D1208" s="99" t="str">
        <f t="array" ref="D1208">_xlfn.XLOOKUP(A1208,'Video Database'!L:L,'Video Database'!G:G,"")</f>
        <v>XL Microfiber Towel</v>
      </c>
      <c r="E1208" s="100">
        <f t="array" ref="E1208">_xlfn.XLOOKUP(A1208,'Video Database'!L:L,'Video Database'!H:H,"")</f>
        <v>0.7337</v>
      </c>
      <c r="F1208" s="101"/>
      <c r="G1208" s="87"/>
      <c r="H1208" s="114">
        <f t="array" ref="H1208">_xlfn.XLOOKUP(A1208,'Video Database'!L:L,'Video Database'!A:A,"")</f>
        <v>46204</v>
      </c>
      <c r="I1208" s="103"/>
      <c r="J1208" s="104"/>
      <c r="K1208" s="105"/>
      <c r="L1208" s="105" t="str">
        <f t="shared" si="13"/>
        <v/>
      </c>
      <c r="O1208" s="106" t="str">
        <f t="shared" si="2"/>
        <v>#N/A</v>
      </c>
      <c r="P1208" s="106" t="str">
        <f t="shared" si="3"/>
        <v>#N/A</v>
      </c>
      <c r="Q1208" s="84" t="str">
        <f t="shared" si="4"/>
        <v>#N/A</v>
      </c>
      <c r="R1208" s="84" t="str">
        <f t="shared" si="5"/>
        <v>#N/A</v>
      </c>
      <c r="S1208" s="107">
        <f t="shared" si="6"/>
        <v>-0.7337</v>
      </c>
      <c r="T1208" s="108">
        <f t="shared" si="7"/>
        <v>-1</v>
      </c>
      <c r="U1208" s="106" t="str">
        <f t="shared" si="8"/>
        <v>#N/A</v>
      </c>
      <c r="V1208" s="84" t="str">
        <f t="shared" si="9"/>
        <v/>
      </c>
      <c r="W1208" s="109" t="str">
        <f t="shared" si="10"/>
        <v/>
      </c>
      <c r="X1208" s="109" t="str">
        <f t="shared" si="11"/>
        <v/>
      </c>
      <c r="Y1208" s="110" t="str">
        <f t="array" ref="Y1208">_xlfn.XLOOKUP(A1208,'Video Database'!L:L,'Video Database'!M:M,"")</f>
        <v>Bottom of Funnel</v>
      </c>
    </row>
    <row r="1209" ht="22.5" customHeight="1">
      <c r="A1209" s="113">
        <f t="shared" si="12"/>
        <v>1208</v>
      </c>
      <c r="B1209" s="98" t="str">
        <f t="array" ref="B1209">_xlfn.XLOOKUP(A1209,'Video Database'!L:L,'Video Database'!D:D,"")</f>
        <v>Erin</v>
      </c>
      <c r="C1209" s="98" t="str">
        <f t="array" ref="C1209">_xlfn.XLOOKUP(A1209,'Video Database'!L:L,'Video Database'!E:E,"")</f>
        <v>Account 2</v>
      </c>
      <c r="D1209" s="99" t="str">
        <f t="array" ref="D1209">_xlfn.XLOOKUP(A1209,'Video Database'!L:L,'Video Database'!G:G,"")</f>
        <v>Elegant Faux Pearl Set</v>
      </c>
      <c r="E1209" s="100">
        <f t="array" ref="E1209">_xlfn.XLOOKUP(A1209,'Video Database'!L:L,'Video Database'!H:H,"")</f>
        <v>0.7337</v>
      </c>
      <c r="F1209" s="101"/>
      <c r="G1209" s="87"/>
      <c r="H1209" s="114">
        <f t="array" ref="H1209">_xlfn.XLOOKUP(A1209,'Video Database'!L:L,'Video Database'!A:A,"")</f>
        <v>46204</v>
      </c>
      <c r="I1209" s="103"/>
      <c r="J1209" s="104"/>
      <c r="K1209" s="105"/>
      <c r="L1209" s="105" t="str">
        <f t="shared" si="13"/>
        <v/>
      </c>
      <c r="O1209" s="106" t="str">
        <f t="shared" si="2"/>
        <v>#N/A</v>
      </c>
      <c r="P1209" s="106" t="str">
        <f t="shared" si="3"/>
        <v>#N/A</v>
      </c>
      <c r="Q1209" s="84" t="str">
        <f t="shared" si="4"/>
        <v>#N/A</v>
      </c>
      <c r="R1209" s="84" t="str">
        <f t="shared" si="5"/>
        <v>#N/A</v>
      </c>
      <c r="S1209" s="107">
        <f t="shared" si="6"/>
        <v>-0.7337</v>
      </c>
      <c r="T1209" s="108">
        <f t="shared" si="7"/>
        <v>-1</v>
      </c>
      <c r="U1209" s="106" t="str">
        <f t="shared" si="8"/>
        <v>#N/A</v>
      </c>
      <c r="V1209" s="84" t="str">
        <f t="shared" si="9"/>
        <v/>
      </c>
      <c r="W1209" s="109" t="str">
        <f t="shared" si="10"/>
        <v/>
      </c>
      <c r="X1209" s="109" t="str">
        <f t="shared" si="11"/>
        <v/>
      </c>
      <c r="Y1209" s="110" t="str">
        <f t="array" ref="Y1209">_xlfn.XLOOKUP(A1209,'Video Database'!L:L,'Video Database'!M:M,"")</f>
        <v>Bottom of Funnel</v>
      </c>
    </row>
    <row r="1210" ht="22.5" customHeight="1">
      <c r="A1210" s="113">
        <f t="shared" si="12"/>
        <v>1209</v>
      </c>
      <c r="B1210" s="98" t="str">
        <f t="array" ref="B1210">_xlfn.XLOOKUP(A1210,'Video Database'!L:L,'Video Database'!D:D,"")</f>
        <v>Brittney</v>
      </c>
      <c r="C1210" s="98" t="str">
        <f t="array" ref="C1210">_xlfn.XLOOKUP(A1210,'Video Database'!L:L,'Video Database'!E:E,"")</f>
        <v>Account 2</v>
      </c>
      <c r="D1210" s="99" t="str">
        <f t="array" ref="D1210">_xlfn.XLOOKUP(A1210,'Video Database'!L:L,'Video Database'!G:G,"")</f>
        <v>Gruns Greens Popsicle Firecracker Gummies</v>
      </c>
      <c r="E1210" s="100">
        <f t="array" ref="E1210">_xlfn.XLOOKUP(A1210,'Video Database'!L:L,'Video Database'!H:H,"")</f>
        <v>0.11</v>
      </c>
      <c r="F1210" s="101"/>
      <c r="G1210" s="87"/>
      <c r="H1210" s="114">
        <f t="array" ref="H1210">_xlfn.XLOOKUP(A1210,'Video Database'!L:L,'Video Database'!A:A,"")</f>
        <v>46204</v>
      </c>
      <c r="I1210" s="103"/>
      <c r="J1210" s="104"/>
      <c r="K1210" s="105"/>
      <c r="L1210" s="105" t="str">
        <f t="shared" si="13"/>
        <v/>
      </c>
      <c r="O1210" s="106" t="str">
        <f t="shared" si="2"/>
        <v>#N/A</v>
      </c>
      <c r="P1210" s="106" t="str">
        <f t="shared" si="3"/>
        <v>#N/A</v>
      </c>
      <c r="Q1210" s="84" t="str">
        <f t="shared" si="4"/>
        <v>#N/A</v>
      </c>
      <c r="R1210" s="84" t="str">
        <f t="shared" si="5"/>
        <v>#N/A</v>
      </c>
      <c r="S1210" s="107">
        <f t="shared" si="6"/>
        <v>-0.11</v>
      </c>
      <c r="T1210" s="108">
        <f t="shared" si="7"/>
        <v>-1</v>
      </c>
      <c r="U1210" s="106" t="str">
        <f t="shared" si="8"/>
        <v>#N/A</v>
      </c>
      <c r="V1210" s="84" t="str">
        <f t="shared" si="9"/>
        <v/>
      </c>
      <c r="W1210" s="109" t="str">
        <f t="shared" si="10"/>
        <v/>
      </c>
      <c r="X1210" s="109" t="str">
        <f t="shared" si="11"/>
        <v/>
      </c>
      <c r="Y1210" s="110" t="str">
        <f t="array" ref="Y1210">_xlfn.XLOOKUP(A1210,'Video Database'!L:L,'Video Database'!M:M,"")</f>
        <v>Bottom of Funnel</v>
      </c>
    </row>
    <row r="1211" ht="22.5" customHeight="1">
      <c r="A1211" s="113">
        <f t="shared" si="12"/>
        <v>1210</v>
      </c>
      <c r="B1211" s="98" t="str">
        <f t="array" ref="B1211">_xlfn.XLOOKUP(A1211,'Video Database'!L:L,'Video Database'!D:D,"")</f>
        <v>Erin</v>
      </c>
      <c r="C1211" s="98" t="str">
        <f t="array" ref="C1211">_xlfn.XLOOKUP(A1211,'Video Database'!L:L,'Video Database'!E:E,"")</f>
        <v>Account 2</v>
      </c>
      <c r="D1211" s="99" t="str">
        <f t="array" ref="D1211">_xlfn.XLOOKUP(A1211,'Video Database'!L:L,'Video Database'!G:G,"")</f>
        <v>Medicube Kojic Accid Tumeric Pads</v>
      </c>
      <c r="E1211" s="100">
        <f t="array" ref="E1211">_xlfn.XLOOKUP(A1211,'Video Database'!L:L,'Video Database'!H:H,"")</f>
        <v>0.11</v>
      </c>
      <c r="F1211" s="101"/>
      <c r="G1211" s="87"/>
      <c r="H1211" s="114">
        <f t="array" ref="H1211">_xlfn.XLOOKUP(A1211,'Video Database'!L:L,'Video Database'!A:A,"")</f>
        <v>46204</v>
      </c>
      <c r="I1211" s="103"/>
      <c r="J1211" s="104"/>
      <c r="K1211" s="105"/>
      <c r="L1211" s="105" t="str">
        <f t="shared" si="13"/>
        <v/>
      </c>
      <c r="O1211" s="106" t="str">
        <f t="shared" si="2"/>
        <v>#N/A</v>
      </c>
      <c r="P1211" s="106" t="str">
        <f t="shared" si="3"/>
        <v>#N/A</v>
      </c>
      <c r="Q1211" s="84" t="str">
        <f t="shared" si="4"/>
        <v>#N/A</v>
      </c>
      <c r="R1211" s="84" t="str">
        <f t="shared" si="5"/>
        <v>#N/A</v>
      </c>
      <c r="S1211" s="107">
        <f t="shared" si="6"/>
        <v>-0.11</v>
      </c>
      <c r="T1211" s="108">
        <f t="shared" si="7"/>
        <v>-1</v>
      </c>
      <c r="U1211" s="106" t="str">
        <f t="shared" si="8"/>
        <v>#N/A</v>
      </c>
      <c r="V1211" s="84" t="str">
        <f t="shared" si="9"/>
        <v/>
      </c>
      <c r="W1211" s="109" t="str">
        <f t="shared" si="10"/>
        <v/>
      </c>
      <c r="X1211" s="109" t="str">
        <f t="shared" si="11"/>
        <v/>
      </c>
      <c r="Y1211" s="110" t="str">
        <f t="array" ref="Y1211">_xlfn.XLOOKUP(A1211,'Video Database'!L:L,'Video Database'!M:M,"")</f>
        <v>Bottom of Funnel</v>
      </c>
    </row>
    <row r="1212" ht="22.5" customHeight="1">
      <c r="A1212" s="113">
        <f t="shared" si="12"/>
        <v>1211</v>
      </c>
      <c r="B1212" s="98" t="str">
        <f t="array" ref="B1212">_xlfn.XLOOKUP(A1212,'Video Database'!L:L,'Video Database'!D:D,"")</f>
        <v>Addison</v>
      </c>
      <c r="C1212" s="98" t="str">
        <f t="array" ref="C1212">_xlfn.XLOOKUP(A1212,'Video Database'!L:L,'Video Database'!E:E,"")</f>
        <v>Account 2</v>
      </c>
      <c r="D1212" s="99" t="str">
        <f t="array" ref="D1212">_xlfn.XLOOKUP(A1212,'Video Database'!L:L,'Video Database'!G:G,"")</f>
        <v>TIRTIR Hydro UV Shield Sunscreen</v>
      </c>
      <c r="E1212" s="100">
        <f t="array" ref="E1212">_xlfn.XLOOKUP(A1212,'Video Database'!L:L,'Video Database'!H:H,"")</f>
        <v>1.1</v>
      </c>
      <c r="F1212" s="101"/>
      <c r="G1212" s="87"/>
      <c r="H1212" s="114">
        <f t="array" ref="H1212">_xlfn.XLOOKUP(A1212,'Video Database'!L:L,'Video Database'!A:A,"")</f>
        <v>46204</v>
      </c>
      <c r="I1212" s="103"/>
      <c r="J1212" s="104"/>
      <c r="K1212" s="105"/>
      <c r="L1212" s="105" t="str">
        <f t="shared" si="13"/>
        <v/>
      </c>
      <c r="O1212" s="106" t="str">
        <f t="shared" si="2"/>
        <v>#N/A</v>
      </c>
      <c r="P1212" s="106" t="str">
        <f t="shared" si="3"/>
        <v>#N/A</v>
      </c>
      <c r="Q1212" s="84" t="str">
        <f t="shared" si="4"/>
        <v>#N/A</v>
      </c>
      <c r="R1212" s="84" t="str">
        <f t="shared" si="5"/>
        <v>#N/A</v>
      </c>
      <c r="S1212" s="107">
        <f t="shared" si="6"/>
        <v>-1.1</v>
      </c>
      <c r="T1212" s="108">
        <f t="shared" si="7"/>
        <v>-1</v>
      </c>
      <c r="U1212" s="106" t="str">
        <f t="shared" si="8"/>
        <v>#N/A</v>
      </c>
      <c r="V1212" s="84" t="str">
        <f t="shared" si="9"/>
        <v/>
      </c>
      <c r="W1212" s="109" t="str">
        <f t="shared" si="10"/>
        <v/>
      </c>
      <c r="X1212" s="109" t="str">
        <f t="shared" si="11"/>
        <v/>
      </c>
      <c r="Y1212" s="110" t="str">
        <f t="array" ref="Y1212">_xlfn.XLOOKUP(A1212,'Video Database'!L:L,'Video Database'!M:M,"")</f>
        <v>Middle of Funnel</v>
      </c>
    </row>
    <row r="1213" ht="22.5" customHeight="1">
      <c r="A1213" s="113">
        <f t="shared" si="12"/>
        <v>1212</v>
      </c>
      <c r="B1213" s="98" t="str">
        <f t="array" ref="B1213">_xlfn.XLOOKUP(A1213,'Video Database'!L:L,'Video Database'!D:D,"")</f>
        <v>Sierra</v>
      </c>
      <c r="C1213" s="98" t="str">
        <f t="array" ref="C1213">_xlfn.XLOOKUP(A1213,'Video Database'!L:L,'Video Database'!E:E,"")</f>
        <v>Account 2</v>
      </c>
      <c r="D1213" s="99" t="str">
        <f t="array" ref="D1213">_xlfn.XLOOKUP(A1213,'Video Database'!L:L,'Video Database'!G:G,"")</f>
        <v>SKIN1004 Hyla-Cica Water Fit Sunscreen</v>
      </c>
      <c r="E1213" s="100">
        <f t="array" ref="E1213">_xlfn.XLOOKUP(A1213,'Video Database'!L:L,'Video Database'!H:H,"")</f>
        <v>1.1</v>
      </c>
      <c r="F1213" s="101"/>
      <c r="G1213" s="87"/>
      <c r="H1213" s="114">
        <f t="array" ref="H1213">_xlfn.XLOOKUP(A1213,'Video Database'!L:L,'Video Database'!A:A,"")</f>
        <v>46204</v>
      </c>
      <c r="I1213" s="103"/>
      <c r="J1213" s="104"/>
      <c r="K1213" s="105"/>
      <c r="L1213" s="105" t="str">
        <f t="shared" si="13"/>
        <v/>
      </c>
      <c r="O1213" s="106" t="str">
        <f t="shared" si="2"/>
        <v>#N/A</v>
      </c>
      <c r="P1213" s="106" t="str">
        <f t="shared" si="3"/>
        <v>#N/A</v>
      </c>
      <c r="Q1213" s="84" t="str">
        <f t="shared" si="4"/>
        <v>#N/A</v>
      </c>
      <c r="R1213" s="84" t="str">
        <f t="shared" si="5"/>
        <v>#N/A</v>
      </c>
      <c r="S1213" s="107">
        <f t="shared" si="6"/>
        <v>-1.1</v>
      </c>
      <c r="T1213" s="108">
        <f t="shared" si="7"/>
        <v>-1</v>
      </c>
      <c r="U1213" s="106" t="str">
        <f t="shared" si="8"/>
        <v>#N/A</v>
      </c>
      <c r="V1213" s="84" t="str">
        <f t="shared" si="9"/>
        <v/>
      </c>
      <c r="W1213" s="109" t="str">
        <f t="shared" si="10"/>
        <v/>
      </c>
      <c r="X1213" s="109" t="str">
        <f t="shared" si="11"/>
        <v/>
      </c>
      <c r="Y1213" s="110" t="str">
        <f t="array" ref="Y1213">_xlfn.XLOOKUP(A1213,'Video Database'!L:L,'Video Database'!M:M,"")</f>
        <v>Middle of Funnel</v>
      </c>
    </row>
    <row r="1214" ht="22.5" customHeight="1">
      <c r="A1214" s="113">
        <f t="shared" si="12"/>
        <v>1213</v>
      </c>
      <c r="B1214" s="98" t="str">
        <f t="array" ref="B1214">_xlfn.XLOOKUP(A1214,'Video Database'!L:L,'Video Database'!D:D,"")</f>
        <v>Erin</v>
      </c>
      <c r="C1214" s="98" t="str">
        <f t="array" ref="C1214">_xlfn.XLOOKUP(A1214,'Video Database'!L:L,'Video Database'!E:E,"")</f>
        <v>Account 3</v>
      </c>
      <c r="D1214" s="99" t="str">
        <f t="array" ref="D1214">_xlfn.XLOOKUP(A1214,'Video Database'!L:L,'Video Database'!G:G,"")</f>
        <v>Medicube Kojic Accid Tumeric Pads</v>
      </c>
      <c r="E1214" s="100">
        <f t="array" ref="E1214">_xlfn.XLOOKUP(A1214,'Video Database'!L:L,'Video Database'!H:H,"")</f>
        <v>0.7337</v>
      </c>
      <c r="F1214" s="101"/>
      <c r="G1214" s="87"/>
      <c r="H1214" s="114">
        <f t="array" ref="H1214">_xlfn.XLOOKUP(A1214,'Video Database'!L:L,'Video Database'!A:A,"")</f>
        <v>46204</v>
      </c>
      <c r="I1214" s="103"/>
      <c r="J1214" s="104"/>
      <c r="K1214" s="105"/>
      <c r="L1214" s="105" t="str">
        <f t="shared" si="13"/>
        <v/>
      </c>
      <c r="O1214" s="106" t="str">
        <f t="shared" si="2"/>
        <v>#N/A</v>
      </c>
      <c r="P1214" s="106" t="str">
        <f t="shared" si="3"/>
        <v>#N/A</v>
      </c>
      <c r="Q1214" s="84" t="str">
        <f t="shared" si="4"/>
        <v>#N/A</v>
      </c>
      <c r="R1214" s="84" t="str">
        <f t="shared" si="5"/>
        <v>#N/A</v>
      </c>
      <c r="S1214" s="107">
        <f t="shared" si="6"/>
        <v>-0.7337</v>
      </c>
      <c r="T1214" s="108">
        <f t="shared" si="7"/>
        <v>-1</v>
      </c>
      <c r="U1214" s="106" t="str">
        <f t="shared" si="8"/>
        <v>#N/A</v>
      </c>
      <c r="V1214" s="84" t="str">
        <f t="shared" si="9"/>
        <v/>
      </c>
      <c r="W1214" s="109" t="str">
        <f t="shared" si="10"/>
        <v/>
      </c>
      <c r="X1214" s="109" t="str">
        <f t="shared" si="11"/>
        <v/>
      </c>
      <c r="Y1214" s="110" t="str">
        <f t="array" ref="Y1214">_xlfn.XLOOKUP(A1214,'Video Database'!L:L,'Video Database'!M:M,"")</f>
        <v>Bottom of Funnel</v>
      </c>
    </row>
    <row r="1215" ht="22.5" customHeight="1">
      <c r="A1215" s="113">
        <f t="shared" si="12"/>
        <v>1214</v>
      </c>
      <c r="B1215" s="98" t="str">
        <f t="array" ref="B1215">_xlfn.XLOOKUP(A1215,'Video Database'!L:L,'Video Database'!D:D,"")</f>
        <v>Erin</v>
      </c>
      <c r="C1215" s="98" t="str">
        <f t="array" ref="C1215">_xlfn.XLOOKUP(A1215,'Video Database'!L:L,'Video Database'!E:E,"")</f>
        <v>Account 3</v>
      </c>
      <c r="D1215" s="99" t="str">
        <f t="array" ref="D1215">_xlfn.XLOOKUP(A1215,'Video Database'!L:L,'Video Database'!G:G,"")</f>
        <v>Carovo Hoop Earrings Set</v>
      </c>
      <c r="E1215" s="100">
        <f t="array" ref="E1215">_xlfn.XLOOKUP(A1215,'Video Database'!L:L,'Video Database'!H:H,"")</f>
        <v>0.7337</v>
      </c>
      <c r="F1215" s="101"/>
      <c r="G1215" s="87"/>
      <c r="H1215" s="114">
        <f t="array" ref="H1215">_xlfn.XLOOKUP(A1215,'Video Database'!L:L,'Video Database'!A:A,"")</f>
        <v>46204</v>
      </c>
      <c r="I1215" s="103"/>
      <c r="J1215" s="104"/>
      <c r="K1215" s="105"/>
      <c r="L1215" s="105" t="str">
        <f t="shared" si="13"/>
        <v/>
      </c>
      <c r="O1215" s="106" t="str">
        <f t="shared" si="2"/>
        <v>#N/A</v>
      </c>
      <c r="P1215" s="106" t="str">
        <f t="shared" si="3"/>
        <v>#N/A</v>
      </c>
      <c r="Q1215" s="84" t="str">
        <f t="shared" si="4"/>
        <v>#N/A</v>
      </c>
      <c r="R1215" s="84" t="str">
        <f t="shared" si="5"/>
        <v>#N/A</v>
      </c>
      <c r="S1215" s="107">
        <f t="shared" si="6"/>
        <v>-0.7337</v>
      </c>
      <c r="T1215" s="108">
        <f t="shared" si="7"/>
        <v>-1</v>
      </c>
      <c r="U1215" s="106" t="str">
        <f t="shared" si="8"/>
        <v>#N/A</v>
      </c>
      <c r="V1215" s="84" t="str">
        <f t="shared" si="9"/>
        <v/>
      </c>
      <c r="W1215" s="109" t="str">
        <f t="shared" si="10"/>
        <v/>
      </c>
      <c r="X1215" s="109" t="str">
        <f t="shared" si="11"/>
        <v/>
      </c>
      <c r="Y1215" s="110" t="str">
        <f t="array" ref="Y1215">_xlfn.XLOOKUP(A1215,'Video Database'!L:L,'Video Database'!M:M,"")</f>
        <v>Bottom of Funnel</v>
      </c>
    </row>
    <row r="1216" ht="22.5" customHeight="1">
      <c r="A1216" s="113">
        <f t="shared" si="12"/>
        <v>1215</v>
      </c>
      <c r="B1216" s="98" t="str">
        <f t="array" ref="B1216">_xlfn.XLOOKUP(A1216,'Video Database'!L:L,'Video Database'!D:D,"")</f>
        <v>Erin</v>
      </c>
      <c r="C1216" s="98" t="str">
        <f t="array" ref="C1216">_xlfn.XLOOKUP(A1216,'Video Database'!L:L,'Video Database'!E:E,"")</f>
        <v>Account 3</v>
      </c>
      <c r="D1216" s="99" t="str">
        <f t="array" ref="D1216">_xlfn.XLOOKUP(A1216,'Video Database'!L:L,'Video Database'!G:G,"")</f>
        <v>Kaja Beauty 3-in-1 Eyeshadow Stack</v>
      </c>
      <c r="E1216" s="100">
        <f t="array" ref="E1216">_xlfn.XLOOKUP(A1216,'Video Database'!L:L,'Video Database'!H:H,"")</f>
        <v>0.7337</v>
      </c>
      <c r="F1216" s="101"/>
      <c r="G1216" s="87"/>
      <c r="H1216" s="114">
        <f t="array" ref="H1216">_xlfn.XLOOKUP(A1216,'Video Database'!L:L,'Video Database'!A:A,"")</f>
        <v>46204</v>
      </c>
      <c r="I1216" s="103"/>
      <c r="J1216" s="104"/>
      <c r="K1216" s="105"/>
      <c r="L1216" s="105" t="str">
        <f t="shared" si="13"/>
        <v/>
      </c>
      <c r="O1216" s="106" t="str">
        <f t="shared" si="2"/>
        <v>#N/A</v>
      </c>
      <c r="P1216" s="106" t="str">
        <f t="shared" si="3"/>
        <v>#N/A</v>
      </c>
      <c r="Q1216" s="84" t="str">
        <f t="shared" si="4"/>
        <v>#N/A</v>
      </c>
      <c r="R1216" s="84" t="str">
        <f t="shared" si="5"/>
        <v>#N/A</v>
      </c>
      <c r="S1216" s="107">
        <f t="shared" si="6"/>
        <v>-0.7337</v>
      </c>
      <c r="T1216" s="108">
        <f t="shared" si="7"/>
        <v>-1</v>
      </c>
      <c r="U1216" s="106" t="str">
        <f t="shared" si="8"/>
        <v>#N/A</v>
      </c>
      <c r="V1216" s="84" t="str">
        <f t="shared" si="9"/>
        <v/>
      </c>
      <c r="W1216" s="109" t="str">
        <f t="shared" si="10"/>
        <v/>
      </c>
      <c r="X1216" s="109" t="str">
        <f t="shared" si="11"/>
        <v/>
      </c>
      <c r="Y1216" s="110" t="str">
        <f t="array" ref="Y1216">_xlfn.XLOOKUP(A1216,'Video Database'!L:L,'Video Database'!M:M,"")</f>
        <v>Bottom of Funnel</v>
      </c>
    </row>
    <row r="1217" ht="22.5" customHeight="1">
      <c r="A1217" s="113">
        <f t="shared" si="12"/>
        <v>1216</v>
      </c>
      <c r="B1217" s="98" t="str">
        <f t="array" ref="B1217">_xlfn.XLOOKUP(A1217,'Video Database'!L:L,'Video Database'!D:D,"")</f>
        <v>Erin</v>
      </c>
      <c r="C1217" s="98" t="str">
        <f t="array" ref="C1217">_xlfn.XLOOKUP(A1217,'Video Database'!L:L,'Video Database'!E:E,"")</f>
        <v>Account 3</v>
      </c>
      <c r="D1217" s="99" t="str">
        <f t="array" ref="D1217">_xlfn.XLOOKUP(A1217,'Video Database'!L:L,'Video Database'!G:G,"")</f>
        <v>XL Microfiber Towel</v>
      </c>
      <c r="E1217" s="100">
        <f t="array" ref="E1217">_xlfn.XLOOKUP(A1217,'Video Database'!L:L,'Video Database'!H:H,"")</f>
        <v>0.7337</v>
      </c>
      <c r="F1217" s="101"/>
      <c r="G1217" s="87"/>
      <c r="H1217" s="114">
        <f t="array" ref="H1217">_xlfn.XLOOKUP(A1217,'Video Database'!L:L,'Video Database'!A:A,"")</f>
        <v>46204</v>
      </c>
      <c r="I1217" s="103"/>
      <c r="J1217" s="104"/>
      <c r="K1217" s="105"/>
      <c r="L1217" s="105" t="str">
        <f t="shared" si="13"/>
        <v/>
      </c>
      <c r="O1217" s="106" t="str">
        <f t="shared" si="2"/>
        <v>#N/A</v>
      </c>
      <c r="P1217" s="106" t="str">
        <f t="shared" si="3"/>
        <v>#N/A</v>
      </c>
      <c r="Q1217" s="84" t="str">
        <f t="shared" si="4"/>
        <v>#N/A</v>
      </c>
      <c r="R1217" s="84" t="str">
        <f t="shared" si="5"/>
        <v>#N/A</v>
      </c>
      <c r="S1217" s="107">
        <f t="shared" si="6"/>
        <v>-0.7337</v>
      </c>
      <c r="T1217" s="108">
        <f t="shared" si="7"/>
        <v>-1</v>
      </c>
      <c r="U1217" s="106" t="str">
        <f t="shared" si="8"/>
        <v>#N/A</v>
      </c>
      <c r="V1217" s="84" t="str">
        <f t="shared" si="9"/>
        <v/>
      </c>
      <c r="W1217" s="109" t="str">
        <f t="shared" si="10"/>
        <v/>
      </c>
      <c r="X1217" s="109" t="str">
        <f t="shared" si="11"/>
        <v/>
      </c>
      <c r="Y1217" s="110" t="str">
        <f t="array" ref="Y1217">_xlfn.XLOOKUP(A1217,'Video Database'!L:L,'Video Database'!M:M,"")</f>
        <v>Bottom of Funnel</v>
      </c>
    </row>
    <row r="1218" ht="22.5" customHeight="1">
      <c r="A1218" s="113">
        <f t="shared" si="12"/>
        <v>1217</v>
      </c>
      <c r="B1218" s="98" t="str">
        <f t="array" ref="B1218">_xlfn.XLOOKUP(A1218,'Video Database'!L:L,'Video Database'!D:D,"")</f>
        <v>Erin</v>
      </c>
      <c r="C1218" s="98" t="str">
        <f t="array" ref="C1218">_xlfn.XLOOKUP(A1218,'Video Database'!L:L,'Video Database'!E:E,"")</f>
        <v>Account 3</v>
      </c>
      <c r="D1218" s="99" t="str">
        <f t="array" ref="D1218">_xlfn.XLOOKUP(A1218,'Video Database'!L:L,'Video Database'!G:G,"")</f>
        <v>Elegant Faux Pearl Set</v>
      </c>
      <c r="E1218" s="100">
        <f t="array" ref="E1218">_xlfn.XLOOKUP(A1218,'Video Database'!L:L,'Video Database'!H:H,"")</f>
        <v>0.7337</v>
      </c>
      <c r="F1218" s="101"/>
      <c r="G1218" s="87"/>
      <c r="H1218" s="114">
        <f t="array" ref="H1218">_xlfn.XLOOKUP(A1218,'Video Database'!L:L,'Video Database'!A:A,"")</f>
        <v>46204</v>
      </c>
      <c r="I1218" s="103"/>
      <c r="J1218" s="104"/>
      <c r="K1218" s="105"/>
      <c r="L1218" s="105" t="str">
        <f t="shared" si="13"/>
        <v/>
      </c>
      <c r="O1218" s="106" t="str">
        <f t="shared" si="2"/>
        <v>#N/A</v>
      </c>
      <c r="P1218" s="106" t="str">
        <f t="shared" si="3"/>
        <v>#N/A</v>
      </c>
      <c r="Q1218" s="84" t="str">
        <f t="shared" si="4"/>
        <v>#N/A</v>
      </c>
      <c r="R1218" s="84" t="str">
        <f t="shared" si="5"/>
        <v>#N/A</v>
      </c>
      <c r="S1218" s="107">
        <f t="shared" si="6"/>
        <v>-0.7337</v>
      </c>
      <c r="T1218" s="108">
        <f t="shared" si="7"/>
        <v>-1</v>
      </c>
      <c r="U1218" s="106" t="str">
        <f t="shared" si="8"/>
        <v>#N/A</v>
      </c>
      <c r="V1218" s="84" t="str">
        <f t="shared" si="9"/>
        <v/>
      </c>
      <c r="W1218" s="109" t="str">
        <f t="shared" si="10"/>
        <v/>
      </c>
      <c r="X1218" s="109" t="str">
        <f t="shared" si="11"/>
        <v/>
      </c>
      <c r="Y1218" s="110" t="str">
        <f t="array" ref="Y1218">_xlfn.XLOOKUP(A1218,'Video Database'!L:L,'Video Database'!M:M,"")</f>
        <v>Bottom of Funnel</v>
      </c>
    </row>
    <row r="1219" ht="22.5" customHeight="1">
      <c r="A1219" s="113">
        <f t="shared" si="12"/>
        <v>1218</v>
      </c>
      <c r="B1219" s="98" t="str">
        <f t="array" ref="B1219">_xlfn.XLOOKUP(A1219,'Video Database'!L:L,'Video Database'!D:D,"")</f>
        <v>Sierra</v>
      </c>
      <c r="C1219" s="98" t="str">
        <f t="array" ref="C1219">_xlfn.XLOOKUP(A1219,'Video Database'!L:L,'Video Database'!E:E,"")</f>
        <v>Account 3</v>
      </c>
      <c r="D1219" s="99" t="str">
        <f t="array" ref="D1219">_xlfn.XLOOKUP(A1219,'Video Database'!L:L,'Video Database'!G:G,"")</f>
        <v>Taste Salud Skin + Beauty Drink Mix</v>
      </c>
      <c r="E1219" s="100">
        <f t="array" ref="E1219">_xlfn.XLOOKUP(A1219,'Video Database'!L:L,'Video Database'!H:H,"")</f>
        <v>1.1</v>
      </c>
      <c r="F1219" s="101"/>
      <c r="G1219" s="87"/>
      <c r="H1219" s="114">
        <f t="array" ref="H1219">_xlfn.XLOOKUP(A1219,'Video Database'!L:L,'Video Database'!A:A,"")</f>
        <v>46204</v>
      </c>
      <c r="I1219" s="103"/>
      <c r="J1219" s="104"/>
      <c r="K1219" s="105"/>
      <c r="L1219" s="105" t="str">
        <f t="shared" si="13"/>
        <v/>
      </c>
      <c r="O1219" s="106" t="str">
        <f t="shared" si="2"/>
        <v>#N/A</v>
      </c>
      <c r="P1219" s="106" t="str">
        <f t="shared" si="3"/>
        <v>#N/A</v>
      </c>
      <c r="Q1219" s="84" t="str">
        <f t="shared" si="4"/>
        <v>#N/A</v>
      </c>
      <c r="R1219" s="84" t="str">
        <f t="shared" si="5"/>
        <v>#N/A</v>
      </c>
      <c r="S1219" s="107">
        <f t="shared" si="6"/>
        <v>-1.1</v>
      </c>
      <c r="T1219" s="108">
        <f t="shared" si="7"/>
        <v>-1</v>
      </c>
      <c r="U1219" s="106" t="str">
        <f t="shared" si="8"/>
        <v>#N/A</v>
      </c>
      <c r="V1219" s="84" t="str">
        <f t="shared" si="9"/>
        <v/>
      </c>
      <c r="W1219" s="109" t="str">
        <f t="shared" si="10"/>
        <v/>
      </c>
      <c r="X1219" s="109" t="str">
        <f t="shared" si="11"/>
        <v/>
      </c>
      <c r="Y1219" s="110" t="str">
        <f t="array" ref="Y1219">_xlfn.XLOOKUP(A1219,'Video Database'!L:L,'Video Database'!M:M,"")</f>
        <v>Middle of Funnel</v>
      </c>
    </row>
    <row r="1220" ht="22.5" customHeight="1">
      <c r="A1220" s="113">
        <f t="shared" si="12"/>
        <v>1219</v>
      </c>
      <c r="B1220" s="98" t="str">
        <f t="array" ref="B1220">_xlfn.XLOOKUP(A1220,'Video Database'!L:L,'Video Database'!D:D,"")</f>
        <v>Charley</v>
      </c>
      <c r="C1220" s="98" t="str">
        <f t="array" ref="C1220">_xlfn.XLOOKUP(A1220,'Video Database'!L:L,'Video Database'!E:E,"")</f>
        <v>Account 3</v>
      </c>
      <c r="D1220" s="99" t="str">
        <f t="array" ref="D1220">_xlfn.XLOOKUP(A1220,'Video Database'!L:L,'Video Database'!G:G,"")</f>
        <v>COSRX US Vitamin E Sunscreen</v>
      </c>
      <c r="E1220" s="100">
        <f t="array" ref="E1220">_xlfn.XLOOKUP(A1220,'Video Database'!L:L,'Video Database'!H:H,"")</f>
        <v>1.1</v>
      </c>
      <c r="F1220" s="101"/>
      <c r="G1220" s="87"/>
      <c r="H1220" s="114">
        <f t="array" ref="H1220">_xlfn.XLOOKUP(A1220,'Video Database'!L:L,'Video Database'!A:A,"")</f>
        <v>46204</v>
      </c>
      <c r="I1220" s="103"/>
      <c r="J1220" s="104"/>
      <c r="K1220" s="105"/>
      <c r="L1220" s="105" t="str">
        <f t="shared" si="13"/>
        <v/>
      </c>
      <c r="O1220" s="106" t="str">
        <f t="shared" si="2"/>
        <v>#N/A</v>
      </c>
      <c r="P1220" s="106" t="str">
        <f t="shared" si="3"/>
        <v>#N/A</v>
      </c>
      <c r="Q1220" s="84" t="str">
        <f t="shared" si="4"/>
        <v>#N/A</v>
      </c>
      <c r="R1220" s="84" t="str">
        <f t="shared" si="5"/>
        <v>#N/A</v>
      </c>
      <c r="S1220" s="107">
        <f t="shared" si="6"/>
        <v>-1.1</v>
      </c>
      <c r="T1220" s="108">
        <f t="shared" si="7"/>
        <v>-1</v>
      </c>
      <c r="U1220" s="106" t="str">
        <f t="shared" si="8"/>
        <v>#N/A</v>
      </c>
      <c r="V1220" s="84" t="str">
        <f t="shared" si="9"/>
        <v/>
      </c>
      <c r="W1220" s="109" t="str">
        <f t="shared" si="10"/>
        <v/>
      </c>
      <c r="X1220" s="109" t="str">
        <f t="shared" si="11"/>
        <v/>
      </c>
      <c r="Y1220" s="110" t="str">
        <f t="array" ref="Y1220">_xlfn.XLOOKUP(A1220,'Video Database'!L:L,'Video Database'!M:M,"")</f>
        <v>Middle of Funnel</v>
      </c>
    </row>
    <row r="1221" ht="22.5" customHeight="1">
      <c r="A1221" s="113">
        <f t="shared" si="12"/>
        <v>1220</v>
      </c>
      <c r="B1221" s="98" t="str">
        <f t="array" ref="B1221">_xlfn.XLOOKUP(A1221,'Video Database'!L:L,'Video Database'!D:D,"")</f>
        <v>Brittney</v>
      </c>
      <c r="C1221" s="98" t="str">
        <f t="array" ref="C1221">_xlfn.XLOOKUP(A1221,'Video Database'!L:L,'Video Database'!E:E,"")</f>
        <v>Account 3</v>
      </c>
      <c r="D1221" s="99" t="str">
        <f t="array" ref="D1221">_xlfn.XLOOKUP(A1221,'Video Database'!L:L,'Video Database'!G:G,"")</f>
        <v>Gruns Greens Popsicle Firecracker Gummies</v>
      </c>
      <c r="E1221" s="100">
        <f t="array" ref="E1221">_xlfn.XLOOKUP(A1221,'Video Database'!L:L,'Video Database'!H:H,"")</f>
        <v>0.11</v>
      </c>
      <c r="F1221" s="101"/>
      <c r="G1221" s="87"/>
      <c r="H1221" s="114">
        <f t="array" ref="H1221">_xlfn.XLOOKUP(A1221,'Video Database'!L:L,'Video Database'!A:A,"")</f>
        <v>46204</v>
      </c>
      <c r="I1221" s="103"/>
      <c r="J1221" s="104"/>
      <c r="K1221" s="105"/>
      <c r="L1221" s="105" t="str">
        <f t="shared" si="13"/>
        <v/>
      </c>
      <c r="O1221" s="106" t="str">
        <f t="shared" si="2"/>
        <v>#N/A</v>
      </c>
      <c r="P1221" s="106" t="str">
        <f t="shared" si="3"/>
        <v>#N/A</v>
      </c>
      <c r="Q1221" s="84" t="str">
        <f t="shared" si="4"/>
        <v>#N/A</v>
      </c>
      <c r="R1221" s="84" t="str">
        <f t="shared" si="5"/>
        <v>#N/A</v>
      </c>
      <c r="S1221" s="107">
        <f t="shared" si="6"/>
        <v>-0.11</v>
      </c>
      <c r="T1221" s="108">
        <f t="shared" si="7"/>
        <v>-1</v>
      </c>
      <c r="U1221" s="106" t="str">
        <f t="shared" si="8"/>
        <v>#N/A</v>
      </c>
      <c r="V1221" s="84" t="str">
        <f t="shared" si="9"/>
        <v/>
      </c>
      <c r="W1221" s="109" t="str">
        <f t="shared" si="10"/>
        <v/>
      </c>
      <c r="X1221" s="109" t="str">
        <f t="shared" si="11"/>
        <v/>
      </c>
      <c r="Y1221" s="110" t="str">
        <f t="array" ref="Y1221">_xlfn.XLOOKUP(A1221,'Video Database'!L:L,'Video Database'!M:M,"")</f>
        <v>Bottom of Funnel</v>
      </c>
    </row>
    <row r="1222" ht="22.5" customHeight="1">
      <c r="A1222" s="113">
        <f t="shared" si="12"/>
        <v>1221</v>
      </c>
      <c r="B1222" s="98" t="str">
        <f t="array" ref="B1222">_xlfn.XLOOKUP(A1222,'Video Database'!L:L,'Video Database'!D:D,"")</f>
        <v>Sierra</v>
      </c>
      <c r="C1222" s="98" t="str">
        <f t="array" ref="C1222">_xlfn.XLOOKUP(A1222,'Video Database'!L:L,'Video Database'!E:E,"")</f>
        <v>Account 3</v>
      </c>
      <c r="D1222" s="99" t="str">
        <f t="array" ref="D1222">_xlfn.XLOOKUP(A1222,'Video Database'!L:L,'Video Database'!G:G,"")</f>
        <v>SKIN1004 Hyla-Cica Water Fit Sunscreen</v>
      </c>
      <c r="E1222" s="100">
        <f t="array" ref="E1222">_xlfn.XLOOKUP(A1222,'Video Database'!L:L,'Video Database'!H:H,"")</f>
        <v>1.1</v>
      </c>
      <c r="F1222" s="101"/>
      <c r="G1222" s="87"/>
      <c r="H1222" s="114">
        <f t="array" ref="H1222">_xlfn.XLOOKUP(A1222,'Video Database'!L:L,'Video Database'!A:A,"")</f>
        <v>46204</v>
      </c>
      <c r="I1222" s="103"/>
      <c r="J1222" s="104"/>
      <c r="K1222" s="105"/>
      <c r="L1222" s="105" t="str">
        <f t="shared" si="13"/>
        <v/>
      </c>
      <c r="O1222" s="106" t="str">
        <f t="shared" si="2"/>
        <v>#N/A</v>
      </c>
      <c r="P1222" s="106" t="str">
        <f t="shared" si="3"/>
        <v>#N/A</v>
      </c>
      <c r="Q1222" s="84" t="str">
        <f t="shared" si="4"/>
        <v>#N/A</v>
      </c>
      <c r="R1222" s="84" t="str">
        <f t="shared" si="5"/>
        <v>#N/A</v>
      </c>
      <c r="S1222" s="107">
        <f t="shared" si="6"/>
        <v>-1.1</v>
      </c>
      <c r="T1222" s="108">
        <f t="shared" si="7"/>
        <v>-1</v>
      </c>
      <c r="U1222" s="106" t="str">
        <f t="shared" si="8"/>
        <v>#N/A</v>
      </c>
      <c r="V1222" s="84" t="str">
        <f t="shared" si="9"/>
        <v/>
      </c>
      <c r="W1222" s="109" t="str">
        <f t="shared" si="10"/>
        <v/>
      </c>
      <c r="X1222" s="109" t="str">
        <f t="shared" si="11"/>
        <v/>
      </c>
      <c r="Y1222" s="110" t="str">
        <f t="array" ref="Y1222">_xlfn.XLOOKUP(A1222,'Video Database'!L:L,'Video Database'!M:M,"")</f>
        <v>Middle of Funnel</v>
      </c>
    </row>
    <row r="1223" ht="22.5" customHeight="1">
      <c r="A1223" s="113">
        <f t="shared" si="12"/>
        <v>1222</v>
      </c>
      <c r="B1223" s="98" t="str">
        <f t="array" ref="B1223">_xlfn.XLOOKUP(A1223,'Video Database'!L:L,'Video Database'!D:D,"")</f>
        <v>Addison</v>
      </c>
      <c r="C1223" s="98" t="str">
        <f t="array" ref="C1223">_xlfn.XLOOKUP(A1223,'Video Database'!L:L,'Video Database'!E:E,"")</f>
        <v>Account 3</v>
      </c>
      <c r="D1223" s="99" t="str">
        <f t="array" ref="D1223">_xlfn.XLOOKUP(A1223,'Video Database'!L:L,'Video Database'!G:G,"")</f>
        <v>TIRTIR Hydro UV Shield Sunscreen</v>
      </c>
      <c r="E1223" s="100">
        <f t="array" ref="E1223">_xlfn.XLOOKUP(A1223,'Video Database'!L:L,'Video Database'!H:H,"")</f>
        <v>1.1</v>
      </c>
      <c r="F1223" s="101"/>
      <c r="G1223" s="87"/>
      <c r="H1223" s="114">
        <f t="array" ref="H1223">_xlfn.XLOOKUP(A1223,'Video Database'!L:L,'Video Database'!A:A,"")</f>
        <v>46204</v>
      </c>
      <c r="I1223" s="103"/>
      <c r="J1223" s="104"/>
      <c r="K1223" s="105"/>
      <c r="L1223" s="105" t="str">
        <f t="shared" si="13"/>
        <v/>
      </c>
      <c r="O1223" s="106" t="str">
        <f t="shared" si="2"/>
        <v>#N/A</v>
      </c>
      <c r="P1223" s="106" t="str">
        <f t="shared" si="3"/>
        <v>#N/A</v>
      </c>
      <c r="Q1223" s="84" t="str">
        <f t="shared" si="4"/>
        <v>#N/A</v>
      </c>
      <c r="R1223" s="84" t="str">
        <f t="shared" si="5"/>
        <v>#N/A</v>
      </c>
      <c r="S1223" s="107">
        <f t="shared" si="6"/>
        <v>-1.1</v>
      </c>
      <c r="T1223" s="108">
        <f t="shared" si="7"/>
        <v>-1</v>
      </c>
      <c r="U1223" s="106" t="str">
        <f t="shared" si="8"/>
        <v>#N/A</v>
      </c>
      <c r="V1223" s="84" t="str">
        <f t="shared" si="9"/>
        <v/>
      </c>
      <c r="W1223" s="109" t="str">
        <f t="shared" si="10"/>
        <v/>
      </c>
      <c r="X1223" s="109" t="str">
        <f t="shared" si="11"/>
        <v/>
      </c>
      <c r="Y1223" s="110" t="str">
        <f t="array" ref="Y1223">_xlfn.XLOOKUP(A1223,'Video Database'!L:L,'Video Database'!M:M,"")</f>
        <v>Middle of Funnel</v>
      </c>
    </row>
    <row r="1224" ht="22.5" customHeight="1">
      <c r="A1224" s="113">
        <f t="shared" si="12"/>
        <v>1223</v>
      </c>
      <c r="B1224" s="98" t="str">
        <f t="array" ref="B1224">_xlfn.XLOOKUP(A1224,'Video Database'!L:L,'Video Database'!D:D,"")</f>
        <v>Erin</v>
      </c>
      <c r="C1224" s="98" t="str">
        <f t="array" ref="C1224">_xlfn.XLOOKUP(A1224,'Video Database'!L:L,'Video Database'!E:E,"")</f>
        <v>Account 4</v>
      </c>
      <c r="D1224" s="99" t="str">
        <f t="array" ref="D1224">_xlfn.XLOOKUP(A1224,'Video Database'!L:L,'Video Database'!G:G,"")</f>
        <v>Kaja Beauty 3-in-1 Eyeshadow Stack</v>
      </c>
      <c r="E1224" s="100">
        <f t="array" ref="E1224">_xlfn.XLOOKUP(A1224,'Video Database'!L:L,'Video Database'!H:H,"")</f>
        <v>0.7337</v>
      </c>
      <c r="F1224" s="101"/>
      <c r="G1224" s="87"/>
      <c r="H1224" s="114">
        <f t="array" ref="H1224">_xlfn.XLOOKUP(A1224,'Video Database'!L:L,'Video Database'!A:A,"")</f>
        <v>46204</v>
      </c>
      <c r="I1224" s="103"/>
      <c r="J1224" s="104"/>
      <c r="K1224" s="105"/>
      <c r="L1224" s="105" t="str">
        <f t="shared" si="13"/>
        <v/>
      </c>
      <c r="O1224" s="106" t="str">
        <f t="shared" si="2"/>
        <v>#N/A</v>
      </c>
      <c r="P1224" s="106" t="str">
        <f t="shared" si="3"/>
        <v>#N/A</v>
      </c>
      <c r="Q1224" s="84" t="str">
        <f t="shared" si="4"/>
        <v>#N/A</v>
      </c>
      <c r="R1224" s="84" t="str">
        <f t="shared" si="5"/>
        <v>#N/A</v>
      </c>
      <c r="S1224" s="107">
        <f t="shared" si="6"/>
        <v>-0.7337</v>
      </c>
      <c r="T1224" s="108">
        <f t="shared" si="7"/>
        <v>-1</v>
      </c>
      <c r="U1224" s="106" t="str">
        <f t="shared" si="8"/>
        <v>#N/A</v>
      </c>
      <c r="V1224" s="84" t="str">
        <f t="shared" si="9"/>
        <v/>
      </c>
      <c r="W1224" s="109" t="str">
        <f t="shared" si="10"/>
        <v/>
      </c>
      <c r="X1224" s="109" t="str">
        <f t="shared" si="11"/>
        <v/>
      </c>
      <c r="Y1224" s="110" t="str">
        <f t="array" ref="Y1224">_xlfn.XLOOKUP(A1224,'Video Database'!L:L,'Video Database'!M:M,"")</f>
        <v>Bottom of Funnel</v>
      </c>
    </row>
    <row r="1225" ht="22.5" customHeight="1">
      <c r="A1225" s="113">
        <f t="shared" si="12"/>
        <v>1224</v>
      </c>
      <c r="B1225" s="98" t="str">
        <f t="array" ref="B1225">_xlfn.XLOOKUP(A1225,'Video Database'!L:L,'Video Database'!D:D,"")</f>
        <v>Erin</v>
      </c>
      <c r="C1225" s="98" t="str">
        <f t="array" ref="C1225">_xlfn.XLOOKUP(A1225,'Video Database'!L:L,'Video Database'!E:E,"")</f>
        <v>Account 4</v>
      </c>
      <c r="D1225" s="99" t="str">
        <f t="array" ref="D1225">_xlfn.XLOOKUP(A1225,'Video Database'!L:L,'Video Database'!G:G,"")</f>
        <v>Carovo Hoop Earrings Set</v>
      </c>
      <c r="E1225" s="100">
        <f t="array" ref="E1225">_xlfn.XLOOKUP(A1225,'Video Database'!L:L,'Video Database'!H:H,"")</f>
        <v>0.7337</v>
      </c>
      <c r="F1225" s="101"/>
      <c r="G1225" s="87"/>
      <c r="H1225" s="114">
        <f t="array" ref="H1225">_xlfn.XLOOKUP(A1225,'Video Database'!L:L,'Video Database'!A:A,"")</f>
        <v>46204</v>
      </c>
      <c r="I1225" s="103"/>
      <c r="J1225" s="104"/>
      <c r="K1225" s="105"/>
      <c r="L1225" s="105" t="str">
        <f t="shared" si="13"/>
        <v/>
      </c>
      <c r="O1225" s="106" t="str">
        <f t="shared" si="2"/>
        <v>#N/A</v>
      </c>
      <c r="P1225" s="106" t="str">
        <f t="shared" si="3"/>
        <v>#N/A</v>
      </c>
      <c r="Q1225" s="84" t="str">
        <f t="shared" si="4"/>
        <v>#N/A</v>
      </c>
      <c r="R1225" s="84" t="str">
        <f t="shared" si="5"/>
        <v>#N/A</v>
      </c>
      <c r="S1225" s="107">
        <f t="shared" si="6"/>
        <v>-0.7337</v>
      </c>
      <c r="T1225" s="108">
        <f t="shared" si="7"/>
        <v>-1</v>
      </c>
      <c r="U1225" s="106" t="str">
        <f t="shared" si="8"/>
        <v>#N/A</v>
      </c>
      <c r="V1225" s="84" t="str">
        <f t="shared" si="9"/>
        <v/>
      </c>
      <c r="W1225" s="109" t="str">
        <f t="shared" si="10"/>
        <v/>
      </c>
      <c r="X1225" s="109" t="str">
        <f t="shared" si="11"/>
        <v/>
      </c>
      <c r="Y1225" s="110" t="str">
        <f t="array" ref="Y1225">_xlfn.XLOOKUP(A1225,'Video Database'!L:L,'Video Database'!M:M,"")</f>
        <v>Bottom of Funnel</v>
      </c>
    </row>
    <row r="1226" ht="22.5" customHeight="1">
      <c r="A1226" s="113">
        <f t="shared" si="12"/>
        <v>1225</v>
      </c>
      <c r="B1226" s="98" t="str">
        <f t="array" ref="B1226">_xlfn.XLOOKUP(A1226,'Video Database'!L:L,'Video Database'!D:D,"")</f>
        <v>Charley</v>
      </c>
      <c r="C1226" s="98" t="str">
        <f t="array" ref="C1226">_xlfn.XLOOKUP(A1226,'Video Database'!L:L,'Video Database'!E:E,"")</f>
        <v>Account 4</v>
      </c>
      <c r="D1226" s="99" t="str">
        <f t="array" ref="D1226">_xlfn.XLOOKUP(A1226,'Video Database'!L:L,'Video Database'!G:G,"")</f>
        <v>COSRX US Vitamin E Sunscreen</v>
      </c>
      <c r="E1226" s="100">
        <f t="array" ref="E1226">_xlfn.XLOOKUP(A1226,'Video Database'!L:L,'Video Database'!H:H,"")</f>
        <v>1.1</v>
      </c>
      <c r="F1226" s="101"/>
      <c r="G1226" s="87"/>
      <c r="H1226" s="114">
        <f t="array" ref="H1226">_xlfn.XLOOKUP(A1226,'Video Database'!L:L,'Video Database'!A:A,"")</f>
        <v>46204</v>
      </c>
      <c r="I1226" s="103"/>
      <c r="J1226" s="104"/>
      <c r="K1226" s="105"/>
      <c r="L1226" s="105" t="str">
        <f t="shared" si="13"/>
        <v/>
      </c>
      <c r="O1226" s="106" t="str">
        <f t="shared" si="2"/>
        <v>#N/A</v>
      </c>
      <c r="P1226" s="106" t="str">
        <f t="shared" si="3"/>
        <v>#N/A</v>
      </c>
      <c r="Q1226" s="84" t="str">
        <f t="shared" si="4"/>
        <v>#N/A</v>
      </c>
      <c r="R1226" s="84" t="str">
        <f t="shared" si="5"/>
        <v>#N/A</v>
      </c>
      <c r="S1226" s="107">
        <f t="shared" si="6"/>
        <v>-1.1</v>
      </c>
      <c r="T1226" s="108">
        <f t="shared" si="7"/>
        <v>-1</v>
      </c>
      <c r="U1226" s="106" t="str">
        <f t="shared" si="8"/>
        <v>#N/A</v>
      </c>
      <c r="V1226" s="84" t="str">
        <f t="shared" si="9"/>
        <v/>
      </c>
      <c r="W1226" s="109" t="str">
        <f t="shared" si="10"/>
        <v/>
      </c>
      <c r="X1226" s="109" t="str">
        <f t="shared" si="11"/>
        <v/>
      </c>
      <c r="Y1226" s="110" t="str">
        <f t="array" ref="Y1226">_xlfn.XLOOKUP(A1226,'Video Database'!L:L,'Video Database'!M:M,"")</f>
        <v>Middle of Funnel</v>
      </c>
    </row>
    <row r="1227" ht="22.5" customHeight="1">
      <c r="A1227" s="113">
        <f t="shared" si="12"/>
        <v>1226</v>
      </c>
      <c r="B1227" s="98" t="str">
        <f t="array" ref="B1227">_xlfn.XLOOKUP(A1227,'Video Database'!L:L,'Video Database'!D:D,"")</f>
        <v>Sierra</v>
      </c>
      <c r="C1227" s="98" t="str">
        <f t="array" ref="C1227">_xlfn.XLOOKUP(A1227,'Video Database'!L:L,'Video Database'!E:E,"")</f>
        <v>Account 4</v>
      </c>
      <c r="D1227" s="98" t="str">
        <f t="array" ref="D1227">_xlfn.XLOOKUP(A1227,'Video Database'!L:L,'Video Database'!G:G,"")</f>
        <v>Taste Salud Skin + Beauty Drink Mix</v>
      </c>
      <c r="E1227" s="136">
        <f t="array" ref="E1227">_xlfn.XLOOKUP(A1227,'Video Database'!L:L,'Video Database'!H:H,"")</f>
        <v>1.1</v>
      </c>
      <c r="F1227" s="101">
        <v>18.4</v>
      </c>
      <c r="G1227" s="87">
        <v>1.0</v>
      </c>
      <c r="H1227" s="114">
        <f t="array" ref="H1227">_xlfn.XLOOKUP(A1227,'Video Database'!L:L,'Video Database'!A:A,"")</f>
        <v>46204</v>
      </c>
      <c r="I1227" s="103">
        <v>46209.0</v>
      </c>
      <c r="J1227" s="104">
        <v>1.4</v>
      </c>
      <c r="K1227" s="87">
        <v>1.0</v>
      </c>
      <c r="L1227" s="105">
        <f t="shared" si="13"/>
        <v>100</v>
      </c>
      <c r="M1227" s="87">
        <v>100.0</v>
      </c>
      <c r="O1227" s="106">
        <f t="shared" si="2"/>
        <v>0.01</v>
      </c>
      <c r="P1227" s="106">
        <f t="shared" si="3"/>
        <v>1</v>
      </c>
      <c r="Q1227" s="84">
        <f t="shared" si="4"/>
        <v>1.4</v>
      </c>
      <c r="R1227" s="84">
        <f t="shared" si="5"/>
        <v>18.4</v>
      </c>
      <c r="S1227" s="107">
        <f t="shared" si="6"/>
        <v>0.3</v>
      </c>
      <c r="T1227" s="108">
        <f t="shared" si="7"/>
        <v>0.2727272727</v>
      </c>
      <c r="U1227" s="106">
        <f t="shared" si="8"/>
        <v>0.2142857143</v>
      </c>
      <c r="V1227" s="129">
        <f t="shared" si="9"/>
        <v>1.1</v>
      </c>
      <c r="W1227" s="109">
        <f t="shared" si="10"/>
        <v>1.1</v>
      </c>
      <c r="X1227" s="109">
        <f t="shared" si="11"/>
        <v>5.97826087</v>
      </c>
      <c r="Y1227" s="110" t="str">
        <f t="array" ref="Y1227">_xlfn.XLOOKUP(A1227,'Video Database'!L:L,'Video Database'!M:M,"")</f>
        <v>Middle of Funnel</v>
      </c>
    </row>
    <row r="1228" ht="22.5" customHeight="1">
      <c r="A1228" s="113">
        <f t="shared" si="12"/>
        <v>1227</v>
      </c>
      <c r="B1228" s="98" t="str">
        <f t="array" ref="B1228">_xlfn.XLOOKUP(A1228,'Video Database'!L:L,'Video Database'!D:D,"")</f>
        <v>Erin</v>
      </c>
      <c r="C1228" s="98" t="str">
        <f t="array" ref="C1228">_xlfn.XLOOKUP(A1228,'Video Database'!L:L,'Video Database'!E:E,"")</f>
        <v>Account 4</v>
      </c>
      <c r="D1228" s="99" t="str">
        <f t="array" ref="D1228">_xlfn.XLOOKUP(A1228,'Video Database'!L:L,'Video Database'!G:G,"")</f>
        <v>XL Microfiber Towel</v>
      </c>
      <c r="E1228" s="100">
        <f t="array" ref="E1228">_xlfn.XLOOKUP(A1228,'Video Database'!L:L,'Video Database'!H:H,"")</f>
        <v>0.7337</v>
      </c>
      <c r="F1228" s="101"/>
      <c r="G1228" s="87"/>
      <c r="H1228" s="114">
        <f t="array" ref="H1228">_xlfn.XLOOKUP(A1228,'Video Database'!L:L,'Video Database'!A:A,"")</f>
        <v>46204</v>
      </c>
      <c r="I1228" s="103"/>
      <c r="J1228" s="104"/>
      <c r="K1228" s="105"/>
      <c r="L1228" s="105" t="str">
        <f t="shared" si="13"/>
        <v/>
      </c>
      <c r="O1228" s="106" t="str">
        <f t="shared" si="2"/>
        <v>#N/A</v>
      </c>
      <c r="P1228" s="106" t="str">
        <f t="shared" si="3"/>
        <v>#N/A</v>
      </c>
      <c r="Q1228" s="84" t="str">
        <f t="shared" si="4"/>
        <v>#N/A</v>
      </c>
      <c r="R1228" s="84" t="str">
        <f t="shared" si="5"/>
        <v>#N/A</v>
      </c>
      <c r="S1228" s="107">
        <f t="shared" si="6"/>
        <v>-0.7337</v>
      </c>
      <c r="T1228" s="108">
        <f t="shared" si="7"/>
        <v>-1</v>
      </c>
      <c r="U1228" s="106" t="str">
        <f t="shared" si="8"/>
        <v>#N/A</v>
      </c>
      <c r="V1228" s="84" t="str">
        <f t="shared" si="9"/>
        <v/>
      </c>
      <c r="W1228" s="109" t="str">
        <f t="shared" si="10"/>
        <v/>
      </c>
      <c r="X1228" s="109" t="str">
        <f t="shared" si="11"/>
        <v/>
      </c>
      <c r="Y1228" s="110" t="str">
        <f t="array" ref="Y1228">_xlfn.XLOOKUP(A1228,'Video Database'!L:L,'Video Database'!M:M,"")</f>
        <v>Bottom of Funnel</v>
      </c>
    </row>
    <row r="1229" ht="22.5" customHeight="1">
      <c r="A1229" s="113">
        <f t="shared" si="12"/>
        <v>1228</v>
      </c>
      <c r="B1229" s="98" t="str">
        <f t="array" ref="B1229">_xlfn.XLOOKUP(A1229,'Video Database'!L:L,'Video Database'!D:D,"")</f>
        <v>Erin</v>
      </c>
      <c r="C1229" s="98" t="str">
        <f t="array" ref="C1229">_xlfn.XLOOKUP(A1229,'Video Database'!L:L,'Video Database'!E:E,"")</f>
        <v>Account 4</v>
      </c>
      <c r="D1229" s="99" t="str">
        <f t="array" ref="D1229">_xlfn.XLOOKUP(A1229,'Video Database'!L:L,'Video Database'!G:G,"")</f>
        <v>Elegant Faux Pearl Set</v>
      </c>
      <c r="E1229" s="100">
        <f t="array" ref="E1229">_xlfn.XLOOKUP(A1229,'Video Database'!L:L,'Video Database'!H:H,"")</f>
        <v>0.7337</v>
      </c>
      <c r="F1229" s="101"/>
      <c r="G1229" s="87"/>
      <c r="H1229" s="114">
        <f t="array" ref="H1229">_xlfn.XLOOKUP(A1229,'Video Database'!L:L,'Video Database'!A:A,"")</f>
        <v>46204</v>
      </c>
      <c r="I1229" s="103"/>
      <c r="J1229" s="104"/>
      <c r="K1229" s="105"/>
      <c r="L1229" s="105" t="str">
        <f t="shared" si="13"/>
        <v/>
      </c>
      <c r="O1229" s="106" t="str">
        <f t="shared" si="2"/>
        <v>#N/A</v>
      </c>
      <c r="P1229" s="106" t="str">
        <f t="shared" si="3"/>
        <v>#N/A</v>
      </c>
      <c r="Q1229" s="84" t="str">
        <f t="shared" si="4"/>
        <v>#N/A</v>
      </c>
      <c r="R1229" s="84" t="str">
        <f t="shared" si="5"/>
        <v>#N/A</v>
      </c>
      <c r="S1229" s="107">
        <f t="shared" si="6"/>
        <v>-0.7337</v>
      </c>
      <c r="T1229" s="108">
        <f t="shared" si="7"/>
        <v>-1</v>
      </c>
      <c r="U1229" s="106" t="str">
        <f t="shared" si="8"/>
        <v>#N/A</v>
      </c>
      <c r="V1229" s="84" t="str">
        <f t="shared" si="9"/>
        <v/>
      </c>
      <c r="W1229" s="109" t="str">
        <f t="shared" si="10"/>
        <v/>
      </c>
      <c r="X1229" s="109" t="str">
        <f t="shared" si="11"/>
        <v/>
      </c>
      <c r="Y1229" s="110" t="str">
        <f t="array" ref="Y1229">_xlfn.XLOOKUP(A1229,'Video Database'!L:L,'Video Database'!M:M,"")</f>
        <v>Bottom of Funnel</v>
      </c>
    </row>
    <row r="1230" ht="22.5" customHeight="1">
      <c r="A1230" s="113">
        <f t="shared" si="12"/>
        <v>1229</v>
      </c>
      <c r="B1230" s="98" t="str">
        <f t="array" ref="B1230">_xlfn.XLOOKUP(A1230,'Video Database'!L:L,'Video Database'!D:D,"")</f>
        <v>Erin</v>
      </c>
      <c r="C1230" s="98" t="str">
        <f t="array" ref="C1230">_xlfn.XLOOKUP(A1230,'Video Database'!L:L,'Video Database'!E:E,"")</f>
        <v>Account 4</v>
      </c>
      <c r="D1230" s="99" t="str">
        <f t="array" ref="D1230">_xlfn.XLOOKUP(A1230,'Video Database'!L:L,'Video Database'!G:G,"")</f>
        <v>Medicube Kojic Accid Tumeric Pads</v>
      </c>
      <c r="E1230" s="100">
        <f t="array" ref="E1230">_xlfn.XLOOKUP(A1230,'Video Database'!L:L,'Video Database'!H:H,"")</f>
        <v>0.7337</v>
      </c>
      <c r="F1230" s="101"/>
      <c r="G1230" s="87"/>
      <c r="H1230" s="114">
        <f t="array" ref="H1230">_xlfn.XLOOKUP(A1230,'Video Database'!L:L,'Video Database'!A:A,"")</f>
        <v>46204</v>
      </c>
      <c r="I1230" s="103"/>
      <c r="J1230" s="104"/>
      <c r="K1230" s="105"/>
      <c r="L1230" s="105" t="str">
        <f t="shared" si="13"/>
        <v/>
      </c>
      <c r="O1230" s="106" t="str">
        <f t="shared" si="2"/>
        <v>#N/A</v>
      </c>
      <c r="P1230" s="106" t="str">
        <f t="shared" si="3"/>
        <v>#N/A</v>
      </c>
      <c r="Q1230" s="84" t="str">
        <f t="shared" si="4"/>
        <v>#N/A</v>
      </c>
      <c r="R1230" s="84" t="str">
        <f t="shared" si="5"/>
        <v>#N/A</v>
      </c>
      <c r="S1230" s="107">
        <f t="shared" si="6"/>
        <v>-0.7337</v>
      </c>
      <c r="T1230" s="108">
        <f t="shared" si="7"/>
        <v>-1</v>
      </c>
      <c r="U1230" s="106" t="str">
        <f t="shared" si="8"/>
        <v>#N/A</v>
      </c>
      <c r="V1230" s="84" t="str">
        <f t="shared" si="9"/>
        <v/>
      </c>
      <c r="W1230" s="109" t="str">
        <f t="shared" si="10"/>
        <v/>
      </c>
      <c r="X1230" s="109" t="str">
        <f t="shared" si="11"/>
        <v/>
      </c>
      <c r="Y1230" s="110" t="str">
        <f t="array" ref="Y1230">_xlfn.XLOOKUP(A1230,'Video Database'!L:L,'Video Database'!M:M,"")</f>
        <v>Bottom of Funnel</v>
      </c>
    </row>
    <row r="1231" ht="22.5" customHeight="1">
      <c r="A1231" s="113">
        <f t="shared" si="12"/>
        <v>1230</v>
      </c>
      <c r="B1231" s="98" t="str">
        <f t="array" ref="B1231">_xlfn.XLOOKUP(A1231,'Video Database'!L:L,'Video Database'!D:D,"")</f>
        <v>Brittney</v>
      </c>
      <c r="C1231" s="98" t="str">
        <f t="array" ref="C1231">_xlfn.XLOOKUP(A1231,'Video Database'!L:L,'Video Database'!E:E,"")</f>
        <v>Account 4</v>
      </c>
      <c r="D1231" s="99" t="str">
        <f t="array" ref="D1231">_xlfn.XLOOKUP(A1231,'Video Database'!L:L,'Video Database'!G:G,"")</f>
        <v>Gruns Greens Popsicle Firecracker Gummies</v>
      </c>
      <c r="E1231" s="100">
        <f t="array" ref="E1231">_xlfn.XLOOKUP(A1231,'Video Database'!L:L,'Video Database'!H:H,"")</f>
        <v>0.11</v>
      </c>
      <c r="F1231" s="101"/>
      <c r="G1231" s="87"/>
      <c r="H1231" s="114">
        <f t="array" ref="H1231">_xlfn.XLOOKUP(A1231,'Video Database'!L:L,'Video Database'!A:A,"")</f>
        <v>46204</v>
      </c>
      <c r="I1231" s="103"/>
      <c r="J1231" s="104"/>
      <c r="K1231" s="105"/>
      <c r="L1231" s="105" t="str">
        <f t="shared" si="13"/>
        <v/>
      </c>
      <c r="O1231" s="106" t="str">
        <f t="shared" si="2"/>
        <v>#N/A</v>
      </c>
      <c r="P1231" s="106" t="str">
        <f t="shared" si="3"/>
        <v>#N/A</v>
      </c>
      <c r="Q1231" s="84" t="str">
        <f t="shared" si="4"/>
        <v>#N/A</v>
      </c>
      <c r="R1231" s="84" t="str">
        <f t="shared" si="5"/>
        <v>#N/A</v>
      </c>
      <c r="S1231" s="107">
        <f t="shared" si="6"/>
        <v>-0.11</v>
      </c>
      <c r="T1231" s="108">
        <f t="shared" si="7"/>
        <v>-1</v>
      </c>
      <c r="U1231" s="106" t="str">
        <f t="shared" si="8"/>
        <v>#N/A</v>
      </c>
      <c r="V1231" s="84" t="str">
        <f t="shared" si="9"/>
        <v/>
      </c>
      <c r="W1231" s="109" t="str">
        <f t="shared" si="10"/>
        <v/>
      </c>
      <c r="X1231" s="109" t="str">
        <f t="shared" si="11"/>
        <v/>
      </c>
      <c r="Y1231" s="110" t="str">
        <f t="array" ref="Y1231">_xlfn.XLOOKUP(A1231,'Video Database'!L:L,'Video Database'!M:M,"")</f>
        <v>Bottom of Funnel</v>
      </c>
    </row>
    <row r="1232" ht="22.5" customHeight="1">
      <c r="A1232" s="113">
        <f t="shared" si="12"/>
        <v>1231</v>
      </c>
      <c r="B1232" s="98" t="str">
        <f t="array" ref="B1232">_xlfn.XLOOKUP(A1232,'Video Database'!L:L,'Video Database'!D:D,"")</f>
        <v>Sierra</v>
      </c>
      <c r="C1232" s="98" t="str">
        <f t="array" ref="C1232">_xlfn.XLOOKUP(A1232,'Video Database'!L:L,'Video Database'!E:E,"")</f>
        <v>Account 4</v>
      </c>
      <c r="D1232" s="99" t="str">
        <f t="array" ref="D1232">_xlfn.XLOOKUP(A1232,'Video Database'!L:L,'Video Database'!G:G,"")</f>
        <v>SKIN1004 Hyla-Cica Water Fit Sunscreen</v>
      </c>
      <c r="E1232" s="100">
        <f t="array" ref="E1232">_xlfn.XLOOKUP(A1232,'Video Database'!L:L,'Video Database'!H:H,"")</f>
        <v>1.1</v>
      </c>
      <c r="F1232" s="101"/>
      <c r="G1232" s="87"/>
      <c r="H1232" s="114">
        <f t="array" ref="H1232">_xlfn.XLOOKUP(A1232,'Video Database'!L:L,'Video Database'!A:A,"")</f>
        <v>46204</v>
      </c>
      <c r="I1232" s="103"/>
      <c r="J1232" s="104"/>
      <c r="K1232" s="105"/>
      <c r="L1232" s="105" t="str">
        <f t="shared" si="13"/>
        <v/>
      </c>
      <c r="O1232" s="106" t="str">
        <f t="shared" si="2"/>
        <v>#N/A</v>
      </c>
      <c r="P1232" s="106" t="str">
        <f t="shared" si="3"/>
        <v>#N/A</v>
      </c>
      <c r="Q1232" s="84" t="str">
        <f t="shared" si="4"/>
        <v>#N/A</v>
      </c>
      <c r="R1232" s="84" t="str">
        <f t="shared" si="5"/>
        <v>#N/A</v>
      </c>
      <c r="S1232" s="107">
        <f t="shared" si="6"/>
        <v>-1.1</v>
      </c>
      <c r="T1232" s="108">
        <f t="shared" si="7"/>
        <v>-1</v>
      </c>
      <c r="U1232" s="106" t="str">
        <f t="shared" si="8"/>
        <v>#N/A</v>
      </c>
      <c r="V1232" s="84" t="str">
        <f t="shared" si="9"/>
        <v/>
      </c>
      <c r="W1232" s="109" t="str">
        <f t="shared" si="10"/>
        <v/>
      </c>
      <c r="X1232" s="109" t="str">
        <f t="shared" si="11"/>
        <v/>
      </c>
      <c r="Y1232" s="110" t="str">
        <f t="array" ref="Y1232">_xlfn.XLOOKUP(A1232,'Video Database'!L:L,'Video Database'!M:M,"")</f>
        <v>Middle of Funnel</v>
      </c>
    </row>
    <row r="1233" ht="22.5" customHeight="1">
      <c r="A1233" s="113">
        <f t="shared" si="12"/>
        <v>1232</v>
      </c>
      <c r="B1233" s="98" t="str">
        <f t="array" ref="B1233">_xlfn.XLOOKUP(A1233,'Video Database'!L:L,'Video Database'!D:D,"")</f>
        <v>Addison</v>
      </c>
      <c r="C1233" s="98" t="str">
        <f t="array" ref="C1233">_xlfn.XLOOKUP(A1233,'Video Database'!L:L,'Video Database'!E:E,"")</f>
        <v>Account 4</v>
      </c>
      <c r="D1233" s="99" t="str">
        <f t="array" ref="D1233">_xlfn.XLOOKUP(A1233,'Video Database'!L:L,'Video Database'!G:G,"")</f>
        <v>TIRTIR Hydro UV Shield Sunscreen</v>
      </c>
      <c r="E1233" s="100">
        <f t="array" ref="E1233">_xlfn.XLOOKUP(A1233,'Video Database'!L:L,'Video Database'!H:H,"")</f>
        <v>1.1</v>
      </c>
      <c r="F1233" s="101"/>
      <c r="G1233" s="87"/>
      <c r="H1233" s="114">
        <f t="array" ref="H1233">_xlfn.XLOOKUP(A1233,'Video Database'!L:L,'Video Database'!A:A,"")</f>
        <v>46204</v>
      </c>
      <c r="I1233" s="103"/>
      <c r="J1233" s="104"/>
      <c r="K1233" s="105"/>
      <c r="L1233" s="105" t="str">
        <f t="shared" si="13"/>
        <v/>
      </c>
      <c r="O1233" s="106" t="str">
        <f t="shared" si="2"/>
        <v>#N/A</v>
      </c>
      <c r="P1233" s="106" t="str">
        <f t="shared" si="3"/>
        <v>#N/A</v>
      </c>
      <c r="Q1233" s="84" t="str">
        <f t="shared" si="4"/>
        <v>#N/A</v>
      </c>
      <c r="R1233" s="84" t="str">
        <f t="shared" si="5"/>
        <v>#N/A</v>
      </c>
      <c r="S1233" s="107">
        <f t="shared" si="6"/>
        <v>-1.1</v>
      </c>
      <c r="T1233" s="108">
        <f t="shared" si="7"/>
        <v>-1</v>
      </c>
      <c r="U1233" s="106" t="str">
        <f t="shared" si="8"/>
        <v>#N/A</v>
      </c>
      <c r="V1233" s="84" t="str">
        <f t="shared" si="9"/>
        <v/>
      </c>
      <c r="W1233" s="109" t="str">
        <f t="shared" si="10"/>
        <v/>
      </c>
      <c r="X1233" s="109" t="str">
        <f t="shared" si="11"/>
        <v/>
      </c>
      <c r="Y1233" s="110" t="str">
        <f t="array" ref="Y1233">_xlfn.XLOOKUP(A1233,'Video Database'!L:L,'Video Database'!M:M,"")</f>
        <v>Middle of Funnel</v>
      </c>
    </row>
    <row r="1234" ht="22.5" customHeight="1">
      <c r="A1234" s="113">
        <f t="shared" si="12"/>
        <v>1233</v>
      </c>
      <c r="B1234" s="98" t="str">
        <f t="array" ref="B1234">_xlfn.XLOOKUP(A1234,'Video Database'!L:L,'Video Database'!D:D,"")</f>
        <v>Erin</v>
      </c>
      <c r="C1234" s="98" t="str">
        <f t="array" ref="C1234">_xlfn.XLOOKUP(A1234,'Video Database'!L:L,'Video Database'!E:E,"")</f>
        <v>Account 1</v>
      </c>
      <c r="D1234" s="99" t="str">
        <f t="array" ref="D1234">_xlfn.XLOOKUP(A1234,'Video Database'!L:L,'Video Database'!G:G,"")</f>
        <v>Kaja Beauty 3-in-1 Eyeshadow Stack</v>
      </c>
      <c r="E1234" s="100">
        <f t="array" ref="E1234">_xlfn.XLOOKUP(A1234,'Video Database'!L:L,'Video Database'!H:H,"")</f>
        <v>0.7337</v>
      </c>
      <c r="F1234" s="101"/>
      <c r="G1234" s="87"/>
      <c r="H1234" s="114">
        <f t="array" ref="H1234">_xlfn.XLOOKUP(A1234,'Video Database'!L:L,'Video Database'!A:A,"")</f>
        <v>46205</v>
      </c>
      <c r="I1234" s="103"/>
      <c r="J1234" s="104"/>
      <c r="K1234" s="105"/>
      <c r="L1234" s="105" t="str">
        <f t="shared" si="13"/>
        <v/>
      </c>
      <c r="O1234" s="106" t="str">
        <f t="shared" si="2"/>
        <v>#N/A</v>
      </c>
      <c r="P1234" s="106" t="str">
        <f t="shared" si="3"/>
        <v>#N/A</v>
      </c>
      <c r="Q1234" s="84" t="str">
        <f t="shared" si="4"/>
        <v>#N/A</v>
      </c>
      <c r="R1234" s="84" t="str">
        <f t="shared" si="5"/>
        <v>#N/A</v>
      </c>
      <c r="S1234" s="107">
        <f t="shared" si="6"/>
        <v>-0.7337</v>
      </c>
      <c r="T1234" s="108">
        <f t="shared" si="7"/>
        <v>-1</v>
      </c>
      <c r="U1234" s="106" t="str">
        <f t="shared" si="8"/>
        <v>#N/A</v>
      </c>
      <c r="V1234" s="84" t="str">
        <f t="shared" si="9"/>
        <v/>
      </c>
      <c r="W1234" s="109" t="str">
        <f t="shared" si="10"/>
        <v/>
      </c>
      <c r="X1234" s="109" t="str">
        <f t="shared" si="11"/>
        <v/>
      </c>
      <c r="Y1234" s="110" t="str">
        <f t="array" ref="Y1234">_xlfn.XLOOKUP(A1234,'Video Database'!L:L,'Video Database'!M:M,"")</f>
        <v>Bottom of Funnel</v>
      </c>
    </row>
    <row r="1235" ht="22.5" customHeight="1">
      <c r="A1235" s="113">
        <f t="shared" si="12"/>
        <v>1234</v>
      </c>
      <c r="B1235" s="98" t="str">
        <f t="array" ref="B1235">_xlfn.XLOOKUP(A1235,'Video Database'!L:L,'Video Database'!D:D,"")</f>
        <v>Erin</v>
      </c>
      <c r="C1235" s="98" t="str">
        <f t="array" ref="C1235">_xlfn.XLOOKUP(A1235,'Video Database'!L:L,'Video Database'!E:E,"")</f>
        <v>Account 1</v>
      </c>
      <c r="D1235" s="99" t="str">
        <f t="array" ref="D1235">_xlfn.XLOOKUP(A1235,'Video Database'!L:L,'Video Database'!G:G,"")</f>
        <v>Carovo Hoop Earrings Set</v>
      </c>
      <c r="E1235" s="100">
        <f t="array" ref="E1235">_xlfn.XLOOKUP(A1235,'Video Database'!L:L,'Video Database'!H:H,"")</f>
        <v>0.7337</v>
      </c>
      <c r="F1235" s="101"/>
      <c r="G1235" s="87"/>
      <c r="H1235" s="114">
        <f t="array" ref="H1235">_xlfn.XLOOKUP(A1235,'Video Database'!L:L,'Video Database'!A:A,"")</f>
        <v>46205</v>
      </c>
      <c r="I1235" s="103"/>
      <c r="J1235" s="104"/>
      <c r="K1235" s="105"/>
      <c r="L1235" s="105" t="str">
        <f t="shared" si="13"/>
        <v/>
      </c>
      <c r="O1235" s="106" t="str">
        <f t="shared" si="2"/>
        <v>#N/A</v>
      </c>
      <c r="P1235" s="106" t="str">
        <f t="shared" si="3"/>
        <v>#N/A</v>
      </c>
      <c r="Q1235" s="84" t="str">
        <f t="shared" si="4"/>
        <v>#N/A</v>
      </c>
      <c r="R1235" s="84" t="str">
        <f t="shared" si="5"/>
        <v>#N/A</v>
      </c>
      <c r="S1235" s="107">
        <f t="shared" si="6"/>
        <v>-0.7337</v>
      </c>
      <c r="T1235" s="108">
        <f t="shared" si="7"/>
        <v>-1</v>
      </c>
      <c r="U1235" s="106" t="str">
        <f t="shared" si="8"/>
        <v>#N/A</v>
      </c>
      <c r="V1235" s="84" t="str">
        <f t="shared" si="9"/>
        <v/>
      </c>
      <c r="W1235" s="109" t="str">
        <f t="shared" si="10"/>
        <v/>
      </c>
      <c r="X1235" s="109" t="str">
        <f t="shared" si="11"/>
        <v/>
      </c>
      <c r="Y1235" s="110" t="str">
        <f t="array" ref="Y1235">_xlfn.XLOOKUP(A1235,'Video Database'!L:L,'Video Database'!M:M,"")</f>
        <v>Bottom of Funnel</v>
      </c>
    </row>
    <row r="1236" ht="22.5" customHeight="1">
      <c r="A1236" s="113">
        <f t="shared" si="12"/>
        <v>1235</v>
      </c>
      <c r="B1236" s="98" t="str">
        <f t="array" ref="B1236">_xlfn.XLOOKUP(A1236,'Video Database'!L:L,'Video Database'!D:D,"")</f>
        <v>Sierra</v>
      </c>
      <c r="C1236" s="98" t="str">
        <f t="array" ref="C1236">_xlfn.XLOOKUP(A1236,'Video Database'!L:L,'Video Database'!E:E,"")</f>
        <v>Account 1</v>
      </c>
      <c r="D1236" s="99" t="str">
        <f t="array" ref="D1236">_xlfn.XLOOKUP(A1236,'Video Database'!L:L,'Video Database'!G:G,"")</f>
        <v>SKIN1004 Hyla-Cica Water Fit Sunscreen</v>
      </c>
      <c r="E1236" s="100">
        <f t="array" ref="E1236">_xlfn.XLOOKUP(A1236,'Video Database'!L:L,'Video Database'!H:H,"")</f>
        <v>1.1</v>
      </c>
      <c r="F1236" s="101"/>
      <c r="G1236" s="87"/>
      <c r="H1236" s="114">
        <f t="array" ref="H1236">_xlfn.XLOOKUP(A1236,'Video Database'!L:L,'Video Database'!A:A,"")</f>
        <v>46205</v>
      </c>
      <c r="I1236" s="103"/>
      <c r="J1236" s="104"/>
      <c r="K1236" s="105"/>
      <c r="L1236" s="105" t="str">
        <f t="shared" si="13"/>
        <v/>
      </c>
      <c r="O1236" s="106" t="str">
        <f t="shared" si="2"/>
        <v>#N/A</v>
      </c>
      <c r="P1236" s="106" t="str">
        <f t="shared" si="3"/>
        <v>#N/A</v>
      </c>
      <c r="Q1236" s="84" t="str">
        <f t="shared" si="4"/>
        <v>#N/A</v>
      </c>
      <c r="R1236" s="84" t="str">
        <f t="shared" si="5"/>
        <v>#N/A</v>
      </c>
      <c r="S1236" s="107">
        <f t="shared" si="6"/>
        <v>-1.1</v>
      </c>
      <c r="T1236" s="108">
        <f t="shared" si="7"/>
        <v>-1</v>
      </c>
      <c r="U1236" s="106" t="str">
        <f t="shared" si="8"/>
        <v>#N/A</v>
      </c>
      <c r="V1236" s="84" t="str">
        <f t="shared" si="9"/>
        <v/>
      </c>
      <c r="W1236" s="109" t="str">
        <f t="shared" si="10"/>
        <v/>
      </c>
      <c r="X1236" s="109" t="str">
        <f t="shared" si="11"/>
        <v/>
      </c>
      <c r="Y1236" s="110" t="str">
        <f t="array" ref="Y1236">_xlfn.XLOOKUP(A1236,'Video Database'!L:L,'Video Database'!M:M,"")</f>
        <v>Middle of Funnel</v>
      </c>
    </row>
    <row r="1237" ht="22.5" customHeight="1">
      <c r="A1237" s="113">
        <f t="shared" si="12"/>
        <v>1236</v>
      </c>
      <c r="B1237" s="98" t="str">
        <f t="array" ref="B1237">_xlfn.XLOOKUP(A1237,'Video Database'!L:L,'Video Database'!D:D,"")</f>
        <v>Sierra</v>
      </c>
      <c r="C1237" s="98" t="str">
        <f t="array" ref="C1237">_xlfn.XLOOKUP(A1237,'Video Database'!L:L,'Video Database'!E:E,"")</f>
        <v>Account 1</v>
      </c>
      <c r="D1237" s="99" t="str">
        <f t="array" ref="D1237">_xlfn.XLOOKUP(A1237,'Video Database'!L:L,'Video Database'!G:G,"")</f>
        <v>Taste Salud Skin + Beauty Drink Mix</v>
      </c>
      <c r="E1237" s="100">
        <f t="array" ref="E1237">_xlfn.XLOOKUP(A1237,'Video Database'!L:L,'Video Database'!H:H,"")</f>
        <v>1.1</v>
      </c>
      <c r="F1237" s="101"/>
      <c r="G1237" s="87"/>
      <c r="H1237" s="114">
        <f t="array" ref="H1237">_xlfn.XLOOKUP(A1237,'Video Database'!L:L,'Video Database'!A:A,"")</f>
        <v>46205</v>
      </c>
      <c r="I1237" s="103"/>
      <c r="J1237" s="104"/>
      <c r="K1237" s="105"/>
      <c r="L1237" s="105" t="str">
        <f t="shared" si="13"/>
        <v/>
      </c>
      <c r="O1237" s="106" t="str">
        <f t="shared" si="2"/>
        <v>#N/A</v>
      </c>
      <c r="P1237" s="106" t="str">
        <f t="shared" si="3"/>
        <v>#N/A</v>
      </c>
      <c r="Q1237" s="84" t="str">
        <f t="shared" si="4"/>
        <v>#N/A</v>
      </c>
      <c r="R1237" s="84" t="str">
        <f t="shared" si="5"/>
        <v>#N/A</v>
      </c>
      <c r="S1237" s="107">
        <f t="shared" si="6"/>
        <v>-1.1</v>
      </c>
      <c r="T1237" s="108">
        <f t="shared" si="7"/>
        <v>-1</v>
      </c>
      <c r="U1237" s="106" t="str">
        <f t="shared" si="8"/>
        <v>#N/A</v>
      </c>
      <c r="V1237" s="84" t="str">
        <f t="shared" si="9"/>
        <v/>
      </c>
      <c r="W1237" s="109" t="str">
        <f t="shared" si="10"/>
        <v/>
      </c>
      <c r="X1237" s="109" t="str">
        <f t="shared" si="11"/>
        <v/>
      </c>
      <c r="Y1237" s="110" t="str">
        <f t="array" ref="Y1237">_xlfn.XLOOKUP(A1237,'Video Database'!L:L,'Video Database'!M:M,"")</f>
        <v>Middle of Funnel</v>
      </c>
    </row>
    <row r="1238" ht="22.5" customHeight="1">
      <c r="A1238" s="113">
        <f t="shared" si="12"/>
        <v>1237</v>
      </c>
      <c r="B1238" s="98" t="str">
        <f t="array" ref="B1238">_xlfn.XLOOKUP(A1238,'Video Database'!L:L,'Video Database'!D:D,"")</f>
        <v>Brittney</v>
      </c>
      <c r="C1238" s="98" t="str">
        <f t="array" ref="C1238">_xlfn.XLOOKUP(A1238,'Video Database'!L:L,'Video Database'!E:E,"")</f>
        <v>Account 1</v>
      </c>
      <c r="D1238" s="99" t="str">
        <f t="array" ref="D1238">_xlfn.XLOOKUP(A1238,'Video Database'!L:L,'Video Database'!G:G,"")</f>
        <v>Gruns Greens Popsicle Firecracker Gummies</v>
      </c>
      <c r="E1238" s="100">
        <f t="array" ref="E1238">_xlfn.XLOOKUP(A1238,'Video Database'!L:L,'Video Database'!H:H,"")</f>
        <v>0.11</v>
      </c>
      <c r="F1238" s="101"/>
      <c r="G1238" s="87"/>
      <c r="H1238" s="114">
        <f t="array" ref="H1238">_xlfn.XLOOKUP(A1238,'Video Database'!L:L,'Video Database'!A:A,"")</f>
        <v>46205</v>
      </c>
      <c r="I1238" s="103"/>
      <c r="J1238" s="104"/>
      <c r="K1238" s="105"/>
      <c r="L1238" s="105" t="str">
        <f t="shared" si="13"/>
        <v/>
      </c>
      <c r="O1238" s="106" t="str">
        <f t="shared" si="2"/>
        <v>#N/A</v>
      </c>
      <c r="P1238" s="106" t="str">
        <f t="shared" si="3"/>
        <v>#N/A</v>
      </c>
      <c r="Q1238" s="84" t="str">
        <f t="shared" si="4"/>
        <v>#N/A</v>
      </c>
      <c r="R1238" s="84" t="str">
        <f t="shared" si="5"/>
        <v>#N/A</v>
      </c>
      <c r="S1238" s="107">
        <f t="shared" si="6"/>
        <v>-0.11</v>
      </c>
      <c r="T1238" s="108">
        <f t="shared" si="7"/>
        <v>-1</v>
      </c>
      <c r="U1238" s="106" t="str">
        <f t="shared" si="8"/>
        <v>#N/A</v>
      </c>
      <c r="V1238" s="84" t="str">
        <f t="shared" si="9"/>
        <v/>
      </c>
      <c r="W1238" s="109" t="str">
        <f t="shared" si="10"/>
        <v/>
      </c>
      <c r="X1238" s="109" t="str">
        <f t="shared" si="11"/>
        <v/>
      </c>
      <c r="Y1238" s="110" t="str">
        <f t="array" ref="Y1238">_xlfn.XLOOKUP(A1238,'Video Database'!L:L,'Video Database'!M:M,"")</f>
        <v>Bottom of Funnel</v>
      </c>
    </row>
    <row r="1239" ht="22.5" customHeight="1">
      <c r="A1239" s="113">
        <f t="shared" si="12"/>
        <v>1238</v>
      </c>
      <c r="B1239" s="98" t="str">
        <f t="array" ref="B1239">_xlfn.XLOOKUP(A1239,'Video Database'!L:L,'Video Database'!D:D,"")</f>
        <v>Erin</v>
      </c>
      <c r="C1239" s="98" t="str">
        <f t="array" ref="C1239">_xlfn.XLOOKUP(A1239,'Video Database'!L:L,'Video Database'!E:E,"")</f>
        <v>Account 1</v>
      </c>
      <c r="D1239" s="99" t="str">
        <f t="array" ref="D1239">_xlfn.XLOOKUP(A1239,'Video Database'!L:L,'Video Database'!G:G,"")</f>
        <v>XL Microfiber Towel</v>
      </c>
      <c r="E1239" s="100">
        <f t="array" ref="E1239">_xlfn.XLOOKUP(A1239,'Video Database'!L:L,'Video Database'!H:H,"")</f>
        <v>0.7337</v>
      </c>
      <c r="F1239" s="101"/>
      <c r="G1239" s="87"/>
      <c r="H1239" s="114">
        <f t="array" ref="H1239">_xlfn.XLOOKUP(A1239,'Video Database'!L:L,'Video Database'!A:A,"")</f>
        <v>46205</v>
      </c>
      <c r="I1239" s="103"/>
      <c r="J1239" s="104"/>
      <c r="K1239" s="105"/>
      <c r="L1239" s="105" t="str">
        <f t="shared" si="13"/>
        <v/>
      </c>
      <c r="O1239" s="106" t="str">
        <f t="shared" si="2"/>
        <v>#N/A</v>
      </c>
      <c r="P1239" s="106" t="str">
        <f t="shared" si="3"/>
        <v>#N/A</v>
      </c>
      <c r="Q1239" s="84" t="str">
        <f t="shared" si="4"/>
        <v>#N/A</v>
      </c>
      <c r="R1239" s="84" t="str">
        <f t="shared" si="5"/>
        <v>#N/A</v>
      </c>
      <c r="S1239" s="107">
        <f t="shared" si="6"/>
        <v>-0.7337</v>
      </c>
      <c r="T1239" s="108">
        <f t="shared" si="7"/>
        <v>-1</v>
      </c>
      <c r="U1239" s="106" t="str">
        <f t="shared" si="8"/>
        <v>#N/A</v>
      </c>
      <c r="V1239" s="84" t="str">
        <f t="shared" si="9"/>
        <v/>
      </c>
      <c r="W1239" s="109" t="str">
        <f t="shared" si="10"/>
        <v/>
      </c>
      <c r="X1239" s="109" t="str">
        <f t="shared" si="11"/>
        <v/>
      </c>
      <c r="Y1239" s="110" t="str">
        <f t="array" ref="Y1239">_xlfn.XLOOKUP(A1239,'Video Database'!L:L,'Video Database'!M:M,"")</f>
        <v>Bottom of Funnel</v>
      </c>
    </row>
    <row r="1240" ht="22.5" customHeight="1">
      <c r="A1240" s="113">
        <f t="shared" si="12"/>
        <v>1239</v>
      </c>
      <c r="B1240" s="98" t="str">
        <f t="array" ref="B1240">_xlfn.XLOOKUP(A1240,'Video Database'!L:L,'Video Database'!D:D,"")</f>
        <v>Erin</v>
      </c>
      <c r="C1240" s="98" t="str">
        <f t="array" ref="C1240">_xlfn.XLOOKUP(A1240,'Video Database'!L:L,'Video Database'!E:E,"")</f>
        <v>Account 1</v>
      </c>
      <c r="D1240" s="99" t="str">
        <f t="array" ref="D1240">_xlfn.XLOOKUP(A1240,'Video Database'!L:L,'Video Database'!G:G,"")</f>
        <v>Elegant Faux Pearl Set</v>
      </c>
      <c r="E1240" s="100">
        <f t="array" ref="E1240">_xlfn.XLOOKUP(A1240,'Video Database'!L:L,'Video Database'!H:H,"")</f>
        <v>0.7337</v>
      </c>
      <c r="F1240" s="101"/>
      <c r="G1240" s="87"/>
      <c r="H1240" s="114">
        <f t="array" ref="H1240">_xlfn.XLOOKUP(A1240,'Video Database'!L:L,'Video Database'!A:A,"")</f>
        <v>46205</v>
      </c>
      <c r="I1240" s="103"/>
      <c r="J1240" s="104"/>
      <c r="K1240" s="105"/>
      <c r="L1240" s="105" t="str">
        <f t="shared" si="13"/>
        <v/>
      </c>
      <c r="O1240" s="106" t="str">
        <f t="shared" si="2"/>
        <v>#N/A</v>
      </c>
      <c r="P1240" s="106" t="str">
        <f t="shared" si="3"/>
        <v>#N/A</v>
      </c>
      <c r="Q1240" s="84" t="str">
        <f t="shared" si="4"/>
        <v>#N/A</v>
      </c>
      <c r="R1240" s="84" t="str">
        <f t="shared" si="5"/>
        <v>#N/A</v>
      </c>
      <c r="S1240" s="107">
        <f t="shared" si="6"/>
        <v>-0.7337</v>
      </c>
      <c r="T1240" s="108">
        <f t="shared" si="7"/>
        <v>-1</v>
      </c>
      <c r="U1240" s="106" t="str">
        <f t="shared" si="8"/>
        <v>#N/A</v>
      </c>
      <c r="V1240" s="84" t="str">
        <f t="shared" si="9"/>
        <v/>
      </c>
      <c r="W1240" s="109" t="str">
        <f t="shared" si="10"/>
        <v/>
      </c>
      <c r="X1240" s="109" t="str">
        <f t="shared" si="11"/>
        <v/>
      </c>
      <c r="Y1240" s="110" t="str">
        <f t="array" ref="Y1240">_xlfn.XLOOKUP(A1240,'Video Database'!L:L,'Video Database'!M:M,"")</f>
        <v>Bottom of Funnel</v>
      </c>
    </row>
    <row r="1241" ht="22.5" customHeight="1">
      <c r="A1241" s="113">
        <f t="shared" si="12"/>
        <v>1240</v>
      </c>
      <c r="B1241" s="98" t="str">
        <f t="array" ref="B1241">_xlfn.XLOOKUP(A1241,'Video Database'!L:L,'Video Database'!D:D,"")</f>
        <v>Sierra</v>
      </c>
      <c r="C1241" s="98" t="str">
        <f t="array" ref="C1241">_xlfn.XLOOKUP(A1241,'Video Database'!L:L,'Video Database'!E:E,"")</f>
        <v>Account 1</v>
      </c>
      <c r="D1241" s="99" t="str">
        <f t="array" ref="D1241">_xlfn.XLOOKUP(A1241,'Video Database'!L:L,'Video Database'!G:G,"")</f>
        <v>SKIN1004 Hyla-Cica Water Fit Sunscreen</v>
      </c>
      <c r="E1241" s="100">
        <f t="array" ref="E1241">_xlfn.XLOOKUP(A1241,'Video Database'!L:L,'Video Database'!H:H,"")</f>
        <v>1.1</v>
      </c>
      <c r="F1241" s="101"/>
      <c r="G1241" s="87"/>
      <c r="H1241" s="114">
        <f t="array" ref="H1241">_xlfn.XLOOKUP(A1241,'Video Database'!L:L,'Video Database'!A:A,"")</f>
        <v>46205</v>
      </c>
      <c r="I1241" s="103"/>
      <c r="J1241" s="104"/>
      <c r="K1241" s="105"/>
      <c r="L1241" s="105" t="str">
        <f t="shared" si="13"/>
        <v/>
      </c>
      <c r="O1241" s="106" t="str">
        <f t="shared" si="2"/>
        <v>#N/A</v>
      </c>
      <c r="P1241" s="106" t="str">
        <f t="shared" si="3"/>
        <v>#N/A</v>
      </c>
      <c r="Q1241" s="84" t="str">
        <f t="shared" si="4"/>
        <v>#N/A</v>
      </c>
      <c r="R1241" s="84" t="str">
        <f t="shared" si="5"/>
        <v>#N/A</v>
      </c>
      <c r="S1241" s="107">
        <f t="shared" si="6"/>
        <v>-1.1</v>
      </c>
      <c r="T1241" s="108">
        <f t="shared" si="7"/>
        <v>-1</v>
      </c>
      <c r="U1241" s="106" t="str">
        <f t="shared" si="8"/>
        <v>#N/A</v>
      </c>
      <c r="V1241" s="84" t="str">
        <f t="shared" si="9"/>
        <v/>
      </c>
      <c r="W1241" s="109" t="str">
        <f t="shared" si="10"/>
        <v/>
      </c>
      <c r="X1241" s="109" t="str">
        <f t="shared" si="11"/>
        <v/>
      </c>
      <c r="Y1241" s="110" t="str">
        <f t="array" ref="Y1241">_xlfn.XLOOKUP(A1241,'Video Database'!L:L,'Video Database'!M:M,"")</f>
        <v>Middle of Funnel</v>
      </c>
    </row>
    <row r="1242" ht="22.5" customHeight="1">
      <c r="A1242" s="113">
        <f t="shared" si="12"/>
        <v>1241</v>
      </c>
      <c r="B1242" s="98" t="str">
        <f t="array" ref="B1242">_xlfn.XLOOKUP(A1242,'Video Database'!L:L,'Video Database'!D:D,"")</f>
        <v>Brittney</v>
      </c>
      <c r="C1242" s="98" t="str">
        <f t="array" ref="C1242">_xlfn.XLOOKUP(A1242,'Video Database'!L:L,'Video Database'!E:E,"")</f>
        <v>Account 1</v>
      </c>
      <c r="D1242" s="99" t="str">
        <f t="array" ref="D1242">_xlfn.XLOOKUP(A1242,'Video Database'!L:L,'Video Database'!G:G,"")</f>
        <v>Gruns Greens Popsicle Firecracker Gummies</v>
      </c>
      <c r="E1242" s="100">
        <f t="array" ref="E1242">_xlfn.XLOOKUP(A1242,'Video Database'!L:L,'Video Database'!H:H,"")</f>
        <v>0.11</v>
      </c>
      <c r="F1242" s="101"/>
      <c r="G1242" s="87"/>
      <c r="H1242" s="114">
        <f t="array" ref="H1242">_xlfn.XLOOKUP(A1242,'Video Database'!L:L,'Video Database'!A:A,"")</f>
        <v>46205</v>
      </c>
      <c r="I1242" s="103"/>
      <c r="J1242" s="104"/>
      <c r="K1242" s="105"/>
      <c r="L1242" s="105" t="str">
        <f t="shared" si="13"/>
        <v/>
      </c>
      <c r="O1242" s="106" t="str">
        <f t="shared" si="2"/>
        <v>#N/A</v>
      </c>
      <c r="P1242" s="106" t="str">
        <f t="shared" si="3"/>
        <v>#N/A</v>
      </c>
      <c r="Q1242" s="84" t="str">
        <f t="shared" si="4"/>
        <v>#N/A</v>
      </c>
      <c r="R1242" s="84" t="str">
        <f t="shared" si="5"/>
        <v>#N/A</v>
      </c>
      <c r="S1242" s="107">
        <f t="shared" si="6"/>
        <v>-0.11</v>
      </c>
      <c r="T1242" s="108">
        <f t="shared" si="7"/>
        <v>-1</v>
      </c>
      <c r="U1242" s="106" t="str">
        <f t="shared" si="8"/>
        <v>#N/A</v>
      </c>
      <c r="V1242" s="84" t="str">
        <f t="shared" si="9"/>
        <v/>
      </c>
      <c r="W1242" s="109" t="str">
        <f t="shared" si="10"/>
        <v/>
      </c>
      <c r="X1242" s="109" t="str">
        <f t="shared" si="11"/>
        <v/>
      </c>
      <c r="Y1242" s="110" t="str">
        <f t="array" ref="Y1242">_xlfn.XLOOKUP(A1242,'Video Database'!L:L,'Video Database'!M:M,"")</f>
        <v>Bottom of Funnel</v>
      </c>
    </row>
    <row r="1243" ht="22.5" customHeight="1">
      <c r="A1243" s="113">
        <f t="shared" si="12"/>
        <v>1242</v>
      </c>
      <c r="B1243" s="98" t="str">
        <f t="array" ref="B1243">_xlfn.XLOOKUP(A1243,'Video Database'!L:L,'Video Database'!D:D,"")</f>
        <v>Erin</v>
      </c>
      <c r="C1243" s="98" t="str">
        <f t="array" ref="C1243">_xlfn.XLOOKUP(A1243,'Video Database'!L:L,'Video Database'!E:E,"")</f>
        <v>Account 1</v>
      </c>
      <c r="D1243" s="99" t="str">
        <f t="array" ref="D1243">_xlfn.XLOOKUP(A1243,'Video Database'!L:L,'Video Database'!G:G,"")</f>
        <v>Medicube Kojic Accid Tumeric Pads</v>
      </c>
      <c r="E1243" s="100">
        <f t="array" ref="E1243">_xlfn.XLOOKUP(A1243,'Video Database'!L:L,'Video Database'!H:H,"")</f>
        <v>0.7337</v>
      </c>
      <c r="F1243" s="101"/>
      <c r="G1243" s="87"/>
      <c r="H1243" s="114">
        <f t="array" ref="H1243">_xlfn.XLOOKUP(A1243,'Video Database'!L:L,'Video Database'!A:A,"")</f>
        <v>46205</v>
      </c>
      <c r="I1243" s="103"/>
      <c r="J1243" s="104"/>
      <c r="K1243" s="105"/>
      <c r="L1243" s="105" t="str">
        <f t="shared" si="13"/>
        <v/>
      </c>
      <c r="O1243" s="106" t="str">
        <f t="shared" si="2"/>
        <v>#N/A</v>
      </c>
      <c r="P1243" s="106" t="str">
        <f t="shared" si="3"/>
        <v>#N/A</v>
      </c>
      <c r="Q1243" s="84" t="str">
        <f t="shared" si="4"/>
        <v>#N/A</v>
      </c>
      <c r="R1243" s="84" t="str">
        <f t="shared" si="5"/>
        <v>#N/A</v>
      </c>
      <c r="S1243" s="107">
        <f t="shared" si="6"/>
        <v>-0.7337</v>
      </c>
      <c r="T1243" s="108">
        <f t="shared" si="7"/>
        <v>-1</v>
      </c>
      <c r="U1243" s="106" t="str">
        <f t="shared" si="8"/>
        <v>#N/A</v>
      </c>
      <c r="V1243" s="84" t="str">
        <f t="shared" si="9"/>
        <v/>
      </c>
      <c r="W1243" s="109" t="str">
        <f t="shared" si="10"/>
        <v/>
      </c>
      <c r="X1243" s="109" t="str">
        <f t="shared" si="11"/>
        <v/>
      </c>
      <c r="Y1243" s="110" t="str">
        <f t="array" ref="Y1243">_xlfn.XLOOKUP(A1243,'Video Database'!L:L,'Video Database'!M:M,"")</f>
        <v>Bottom of Funnel</v>
      </c>
    </row>
    <row r="1244" ht="22.5" customHeight="1">
      <c r="A1244" s="113">
        <f t="shared" si="12"/>
        <v>1243</v>
      </c>
      <c r="B1244" s="98" t="str">
        <f t="array" ref="B1244">_xlfn.XLOOKUP(A1244,'Video Database'!L:L,'Video Database'!D:D,"")</f>
        <v>Brittney</v>
      </c>
      <c r="C1244" s="98" t="str">
        <f t="array" ref="C1244">_xlfn.XLOOKUP(A1244,'Video Database'!L:L,'Video Database'!E:E,"")</f>
        <v>Account 2</v>
      </c>
      <c r="D1244" s="99" t="str">
        <f t="array" ref="D1244">_xlfn.XLOOKUP(A1244,'Video Database'!L:L,'Video Database'!G:G,"")</f>
        <v>Gruns Greens Popsicle Firecracker Gummies</v>
      </c>
      <c r="E1244" s="100">
        <f t="array" ref="E1244">_xlfn.XLOOKUP(A1244,'Video Database'!L:L,'Video Database'!H:H,"")</f>
        <v>0.11</v>
      </c>
      <c r="F1244" s="101"/>
      <c r="G1244" s="87"/>
      <c r="H1244" s="114">
        <f t="array" ref="H1244">_xlfn.XLOOKUP(A1244,'Video Database'!L:L,'Video Database'!A:A,"")</f>
        <v>46205</v>
      </c>
      <c r="I1244" s="103"/>
      <c r="J1244" s="104"/>
      <c r="K1244" s="105"/>
      <c r="L1244" s="105" t="str">
        <f t="shared" si="13"/>
        <v/>
      </c>
      <c r="O1244" s="106" t="str">
        <f t="shared" si="2"/>
        <v>#N/A</v>
      </c>
      <c r="P1244" s="106" t="str">
        <f t="shared" si="3"/>
        <v>#N/A</v>
      </c>
      <c r="Q1244" s="84" t="str">
        <f t="shared" si="4"/>
        <v>#N/A</v>
      </c>
      <c r="R1244" s="84" t="str">
        <f t="shared" si="5"/>
        <v>#N/A</v>
      </c>
      <c r="S1244" s="107">
        <f t="shared" si="6"/>
        <v>-0.11</v>
      </c>
      <c r="T1244" s="108">
        <f t="shared" si="7"/>
        <v>-1</v>
      </c>
      <c r="U1244" s="106" t="str">
        <f t="shared" si="8"/>
        <v>#N/A</v>
      </c>
      <c r="V1244" s="84" t="str">
        <f t="shared" si="9"/>
        <v/>
      </c>
      <c r="W1244" s="109" t="str">
        <f t="shared" si="10"/>
        <v/>
      </c>
      <c r="X1244" s="109" t="str">
        <f t="shared" si="11"/>
        <v/>
      </c>
      <c r="Y1244" s="110" t="str">
        <f t="array" ref="Y1244">_xlfn.XLOOKUP(A1244,'Video Database'!L:L,'Video Database'!M:M,"")</f>
        <v>Bottom of Funnel</v>
      </c>
    </row>
    <row r="1245" ht="22.5" customHeight="1">
      <c r="A1245" s="113">
        <f t="shared" si="12"/>
        <v>1244</v>
      </c>
      <c r="B1245" s="98" t="str">
        <f t="array" ref="B1245">_xlfn.XLOOKUP(A1245,'Video Database'!L:L,'Video Database'!D:D,"")</f>
        <v>Erin</v>
      </c>
      <c r="C1245" s="98" t="str">
        <f t="array" ref="C1245">_xlfn.XLOOKUP(A1245,'Video Database'!L:L,'Video Database'!E:E,"")</f>
        <v>Account 2</v>
      </c>
      <c r="D1245" s="99" t="str">
        <f t="array" ref="D1245">_xlfn.XLOOKUP(A1245,'Video Database'!L:L,'Video Database'!G:G,"")</f>
        <v>Kaja Beauty 3-in-1 Eyeshadow Stack</v>
      </c>
      <c r="E1245" s="100">
        <f t="array" ref="E1245">_xlfn.XLOOKUP(A1245,'Video Database'!L:L,'Video Database'!H:H,"")</f>
        <v>0.7337</v>
      </c>
      <c r="F1245" s="101"/>
      <c r="G1245" s="87"/>
      <c r="H1245" s="114">
        <f t="array" ref="H1245">_xlfn.XLOOKUP(A1245,'Video Database'!L:L,'Video Database'!A:A,"")</f>
        <v>46205</v>
      </c>
      <c r="I1245" s="103"/>
      <c r="J1245" s="104"/>
      <c r="K1245" s="105"/>
      <c r="L1245" s="105" t="str">
        <f t="shared" si="13"/>
        <v/>
      </c>
      <c r="O1245" s="106" t="str">
        <f t="shared" si="2"/>
        <v>#N/A</v>
      </c>
      <c r="P1245" s="106" t="str">
        <f t="shared" si="3"/>
        <v>#N/A</v>
      </c>
      <c r="Q1245" s="84" t="str">
        <f t="shared" si="4"/>
        <v>#N/A</v>
      </c>
      <c r="R1245" s="84" t="str">
        <f t="shared" si="5"/>
        <v>#N/A</v>
      </c>
      <c r="S1245" s="107">
        <f t="shared" si="6"/>
        <v>-0.7337</v>
      </c>
      <c r="T1245" s="108">
        <f t="shared" si="7"/>
        <v>-1</v>
      </c>
      <c r="U1245" s="106" t="str">
        <f t="shared" si="8"/>
        <v>#N/A</v>
      </c>
      <c r="V1245" s="84" t="str">
        <f t="shared" si="9"/>
        <v/>
      </c>
      <c r="W1245" s="109" t="str">
        <f t="shared" si="10"/>
        <v/>
      </c>
      <c r="X1245" s="109" t="str">
        <f t="shared" si="11"/>
        <v/>
      </c>
      <c r="Y1245" s="110" t="str">
        <f t="array" ref="Y1245">_xlfn.XLOOKUP(A1245,'Video Database'!L:L,'Video Database'!M:M,"")</f>
        <v>Bottom of Funnel</v>
      </c>
    </row>
    <row r="1246" ht="22.5" customHeight="1">
      <c r="A1246" s="113">
        <f t="shared" si="12"/>
        <v>1245</v>
      </c>
      <c r="B1246" s="98" t="str">
        <f t="array" ref="B1246">_xlfn.XLOOKUP(A1246,'Video Database'!L:L,'Video Database'!D:D,"")</f>
        <v>Sierra</v>
      </c>
      <c r="C1246" s="98" t="str">
        <f t="array" ref="C1246">_xlfn.XLOOKUP(A1246,'Video Database'!L:L,'Video Database'!E:E,"")</f>
        <v>Account 2</v>
      </c>
      <c r="D1246" s="99" t="str">
        <f t="array" ref="D1246">_xlfn.XLOOKUP(A1246,'Video Database'!L:L,'Video Database'!G:G,"")</f>
        <v>Taste Salud Skin + Beauty Drink Mix</v>
      </c>
      <c r="E1246" s="100">
        <f t="array" ref="E1246">_xlfn.XLOOKUP(A1246,'Video Database'!L:L,'Video Database'!H:H,"")</f>
        <v>1.1</v>
      </c>
      <c r="F1246" s="101"/>
      <c r="G1246" s="87"/>
      <c r="H1246" s="114">
        <f t="array" ref="H1246">_xlfn.XLOOKUP(A1246,'Video Database'!L:L,'Video Database'!A:A,"")</f>
        <v>46205</v>
      </c>
      <c r="I1246" s="103"/>
      <c r="J1246" s="104"/>
      <c r="K1246" s="105"/>
      <c r="L1246" s="105" t="str">
        <f t="shared" si="13"/>
        <v/>
      </c>
      <c r="O1246" s="106" t="str">
        <f t="shared" si="2"/>
        <v>#N/A</v>
      </c>
      <c r="P1246" s="106" t="str">
        <f t="shared" si="3"/>
        <v>#N/A</v>
      </c>
      <c r="Q1246" s="84" t="str">
        <f t="shared" si="4"/>
        <v>#N/A</v>
      </c>
      <c r="R1246" s="84" t="str">
        <f t="shared" si="5"/>
        <v>#N/A</v>
      </c>
      <c r="S1246" s="107">
        <f t="shared" si="6"/>
        <v>-1.1</v>
      </c>
      <c r="T1246" s="108">
        <f t="shared" si="7"/>
        <v>-1</v>
      </c>
      <c r="U1246" s="106" t="str">
        <f t="shared" si="8"/>
        <v>#N/A</v>
      </c>
      <c r="V1246" s="84" t="str">
        <f t="shared" si="9"/>
        <v/>
      </c>
      <c r="W1246" s="109" t="str">
        <f t="shared" si="10"/>
        <v/>
      </c>
      <c r="X1246" s="109" t="str">
        <f t="shared" si="11"/>
        <v/>
      </c>
      <c r="Y1246" s="110" t="str">
        <f t="array" ref="Y1246">_xlfn.XLOOKUP(A1246,'Video Database'!L:L,'Video Database'!M:M,"")</f>
        <v>Middle of Funnel</v>
      </c>
    </row>
    <row r="1247" ht="22.5" customHeight="1">
      <c r="A1247" s="113">
        <f t="shared" si="12"/>
        <v>1246</v>
      </c>
      <c r="B1247" s="98" t="str">
        <f t="array" ref="B1247">_xlfn.XLOOKUP(A1247,'Video Database'!L:L,'Video Database'!D:D,"")</f>
        <v>Erin</v>
      </c>
      <c r="C1247" s="98" t="str">
        <f t="array" ref="C1247">_xlfn.XLOOKUP(A1247,'Video Database'!L:L,'Video Database'!E:E,"")</f>
        <v>Account 2</v>
      </c>
      <c r="D1247" s="99" t="str">
        <f t="array" ref="D1247">_xlfn.XLOOKUP(A1247,'Video Database'!L:L,'Video Database'!G:G,"")</f>
        <v>Carovo Hoop Earrings Set</v>
      </c>
      <c r="E1247" s="100">
        <f t="array" ref="E1247">_xlfn.XLOOKUP(A1247,'Video Database'!L:L,'Video Database'!H:H,"")</f>
        <v>0.7337</v>
      </c>
      <c r="F1247" s="101"/>
      <c r="G1247" s="87"/>
      <c r="H1247" s="114">
        <f t="array" ref="H1247">_xlfn.XLOOKUP(A1247,'Video Database'!L:L,'Video Database'!A:A,"")</f>
        <v>46205</v>
      </c>
      <c r="I1247" s="103"/>
      <c r="J1247" s="104"/>
      <c r="K1247" s="105"/>
      <c r="L1247" s="105" t="str">
        <f t="shared" si="13"/>
        <v/>
      </c>
      <c r="O1247" s="106" t="str">
        <f t="shared" si="2"/>
        <v>#N/A</v>
      </c>
      <c r="P1247" s="106" t="str">
        <f t="shared" si="3"/>
        <v>#N/A</v>
      </c>
      <c r="Q1247" s="84" t="str">
        <f t="shared" si="4"/>
        <v>#N/A</v>
      </c>
      <c r="R1247" s="84" t="str">
        <f t="shared" si="5"/>
        <v>#N/A</v>
      </c>
      <c r="S1247" s="107">
        <f t="shared" si="6"/>
        <v>-0.7337</v>
      </c>
      <c r="T1247" s="108">
        <f t="shared" si="7"/>
        <v>-1</v>
      </c>
      <c r="U1247" s="106" t="str">
        <f t="shared" si="8"/>
        <v>#N/A</v>
      </c>
      <c r="V1247" s="84" t="str">
        <f t="shared" si="9"/>
        <v/>
      </c>
      <c r="W1247" s="109" t="str">
        <f t="shared" si="10"/>
        <v/>
      </c>
      <c r="X1247" s="109" t="str">
        <f t="shared" si="11"/>
        <v/>
      </c>
      <c r="Y1247" s="110" t="str">
        <f t="array" ref="Y1247">_xlfn.XLOOKUP(A1247,'Video Database'!L:L,'Video Database'!M:M,"")</f>
        <v>Bottom of Funnel</v>
      </c>
    </row>
    <row r="1248" ht="22.5" customHeight="1">
      <c r="A1248" s="113">
        <f t="shared" si="12"/>
        <v>1247</v>
      </c>
      <c r="B1248" s="98" t="str">
        <f t="array" ref="B1248">_xlfn.XLOOKUP(A1248,'Video Database'!L:L,'Video Database'!D:D,"")</f>
        <v>Sierra</v>
      </c>
      <c r="C1248" s="98" t="str">
        <f t="array" ref="C1248">_xlfn.XLOOKUP(A1248,'Video Database'!L:L,'Video Database'!E:E,"")</f>
        <v>Account 2</v>
      </c>
      <c r="D1248" s="99" t="str">
        <f t="array" ref="D1248">_xlfn.XLOOKUP(A1248,'Video Database'!L:L,'Video Database'!G:G,"")</f>
        <v>SKIN1004 Hyla-Cica Water Fit Sunscreen</v>
      </c>
      <c r="E1248" s="100">
        <f t="array" ref="E1248">_xlfn.XLOOKUP(A1248,'Video Database'!L:L,'Video Database'!H:H,"")</f>
        <v>1.1</v>
      </c>
      <c r="F1248" s="101"/>
      <c r="G1248" s="87"/>
      <c r="H1248" s="114">
        <f t="array" ref="H1248">_xlfn.XLOOKUP(A1248,'Video Database'!L:L,'Video Database'!A:A,"")</f>
        <v>46205</v>
      </c>
      <c r="I1248" s="103"/>
      <c r="J1248" s="104"/>
      <c r="K1248" s="105"/>
      <c r="L1248" s="105" t="str">
        <f t="shared" si="13"/>
        <v/>
      </c>
      <c r="O1248" s="106" t="str">
        <f t="shared" si="2"/>
        <v>#N/A</v>
      </c>
      <c r="P1248" s="106" t="str">
        <f t="shared" si="3"/>
        <v>#N/A</v>
      </c>
      <c r="Q1248" s="84" t="str">
        <f t="shared" si="4"/>
        <v>#N/A</v>
      </c>
      <c r="R1248" s="84" t="str">
        <f t="shared" si="5"/>
        <v>#N/A</v>
      </c>
      <c r="S1248" s="107">
        <f t="shared" si="6"/>
        <v>-1.1</v>
      </c>
      <c r="T1248" s="108">
        <f t="shared" si="7"/>
        <v>-1</v>
      </c>
      <c r="U1248" s="106" t="str">
        <f t="shared" si="8"/>
        <v>#N/A</v>
      </c>
      <c r="V1248" s="84" t="str">
        <f t="shared" si="9"/>
        <v/>
      </c>
      <c r="W1248" s="109" t="str">
        <f t="shared" si="10"/>
        <v/>
      </c>
      <c r="X1248" s="109" t="str">
        <f t="shared" si="11"/>
        <v/>
      </c>
      <c r="Y1248" s="110" t="str">
        <f t="array" ref="Y1248">_xlfn.XLOOKUP(A1248,'Video Database'!L:L,'Video Database'!M:M,"")</f>
        <v>Middle of Funnel</v>
      </c>
    </row>
    <row r="1249" ht="22.5" customHeight="1">
      <c r="A1249" s="113">
        <f t="shared" si="12"/>
        <v>1248</v>
      </c>
      <c r="B1249" s="98" t="str">
        <f t="array" ref="B1249">_xlfn.XLOOKUP(A1249,'Video Database'!L:L,'Video Database'!D:D,"")</f>
        <v>Erin</v>
      </c>
      <c r="C1249" s="98" t="str">
        <f t="array" ref="C1249">_xlfn.XLOOKUP(A1249,'Video Database'!L:L,'Video Database'!E:E,"")</f>
        <v>Account 2</v>
      </c>
      <c r="D1249" s="99" t="str">
        <f t="array" ref="D1249">_xlfn.XLOOKUP(A1249,'Video Database'!L:L,'Video Database'!G:G,"")</f>
        <v>Medicube Kojic Accid Tumeric Pads</v>
      </c>
      <c r="E1249" s="100">
        <f t="array" ref="E1249">_xlfn.XLOOKUP(A1249,'Video Database'!L:L,'Video Database'!H:H,"")</f>
        <v>0.7337</v>
      </c>
      <c r="F1249" s="101"/>
      <c r="G1249" s="87"/>
      <c r="H1249" s="114">
        <f t="array" ref="H1249">_xlfn.XLOOKUP(A1249,'Video Database'!L:L,'Video Database'!A:A,"")</f>
        <v>46205</v>
      </c>
      <c r="I1249" s="103"/>
      <c r="J1249" s="104"/>
      <c r="K1249" s="105"/>
      <c r="L1249" s="105" t="str">
        <f t="shared" si="13"/>
        <v/>
      </c>
      <c r="O1249" s="106" t="str">
        <f t="shared" si="2"/>
        <v>#N/A</v>
      </c>
      <c r="P1249" s="106" t="str">
        <f t="shared" si="3"/>
        <v>#N/A</v>
      </c>
      <c r="Q1249" s="84" t="str">
        <f t="shared" si="4"/>
        <v>#N/A</v>
      </c>
      <c r="R1249" s="84" t="str">
        <f t="shared" si="5"/>
        <v>#N/A</v>
      </c>
      <c r="S1249" s="107">
        <f t="shared" si="6"/>
        <v>-0.7337</v>
      </c>
      <c r="T1249" s="108">
        <f t="shared" si="7"/>
        <v>-1</v>
      </c>
      <c r="U1249" s="106" t="str">
        <f t="shared" si="8"/>
        <v>#N/A</v>
      </c>
      <c r="V1249" s="84" t="str">
        <f t="shared" si="9"/>
        <v/>
      </c>
      <c r="W1249" s="109" t="str">
        <f t="shared" si="10"/>
        <v/>
      </c>
      <c r="X1249" s="109" t="str">
        <f t="shared" si="11"/>
        <v/>
      </c>
      <c r="Y1249" s="110" t="str">
        <f t="array" ref="Y1249">_xlfn.XLOOKUP(A1249,'Video Database'!L:L,'Video Database'!M:M,"")</f>
        <v>Bottom of Funnel</v>
      </c>
    </row>
    <row r="1250" ht="22.5" customHeight="1">
      <c r="A1250" s="113">
        <f t="shared" si="12"/>
        <v>1249</v>
      </c>
      <c r="B1250" s="98" t="str">
        <f t="array" ref="B1250">_xlfn.XLOOKUP(A1250,'Video Database'!L:L,'Video Database'!D:D,"")</f>
        <v>Erin</v>
      </c>
      <c r="C1250" s="98" t="str">
        <f t="array" ref="C1250">_xlfn.XLOOKUP(A1250,'Video Database'!L:L,'Video Database'!E:E,"")</f>
        <v>Account 2</v>
      </c>
      <c r="D1250" s="99" t="str">
        <f t="array" ref="D1250">_xlfn.XLOOKUP(A1250,'Video Database'!L:L,'Video Database'!G:G,"")</f>
        <v>XL Microfiber Towel</v>
      </c>
      <c r="E1250" s="100">
        <f t="array" ref="E1250">_xlfn.XLOOKUP(A1250,'Video Database'!L:L,'Video Database'!H:H,"")</f>
        <v>0.7337</v>
      </c>
      <c r="F1250" s="101"/>
      <c r="G1250" s="87"/>
      <c r="H1250" s="114">
        <f t="array" ref="H1250">_xlfn.XLOOKUP(A1250,'Video Database'!L:L,'Video Database'!A:A,"")</f>
        <v>46205</v>
      </c>
      <c r="I1250" s="103"/>
      <c r="J1250" s="104"/>
      <c r="K1250" s="105"/>
      <c r="L1250" s="105" t="str">
        <f t="shared" si="13"/>
        <v/>
      </c>
      <c r="O1250" s="106" t="str">
        <f t="shared" si="2"/>
        <v>#N/A</v>
      </c>
      <c r="P1250" s="106" t="str">
        <f t="shared" si="3"/>
        <v>#N/A</v>
      </c>
      <c r="Q1250" s="84" t="str">
        <f t="shared" si="4"/>
        <v>#N/A</v>
      </c>
      <c r="R1250" s="84" t="str">
        <f t="shared" si="5"/>
        <v>#N/A</v>
      </c>
      <c r="S1250" s="107">
        <f t="shared" si="6"/>
        <v>-0.7337</v>
      </c>
      <c r="T1250" s="108">
        <f t="shared" si="7"/>
        <v>-1</v>
      </c>
      <c r="U1250" s="106" t="str">
        <f t="shared" si="8"/>
        <v>#N/A</v>
      </c>
      <c r="V1250" s="84" t="str">
        <f t="shared" si="9"/>
        <v/>
      </c>
      <c r="W1250" s="109" t="str">
        <f t="shared" si="10"/>
        <v/>
      </c>
      <c r="X1250" s="109" t="str">
        <f t="shared" si="11"/>
        <v/>
      </c>
      <c r="Y1250" s="110" t="str">
        <f t="array" ref="Y1250">_xlfn.XLOOKUP(A1250,'Video Database'!L:L,'Video Database'!M:M,"")</f>
        <v>Bottom of Funnel</v>
      </c>
    </row>
    <row r="1251" ht="22.5" customHeight="1">
      <c r="A1251" s="113">
        <f t="shared" si="12"/>
        <v>1250</v>
      </c>
      <c r="B1251" s="98" t="str">
        <f t="array" ref="B1251">_xlfn.XLOOKUP(A1251,'Video Database'!L:L,'Video Database'!D:D,"")</f>
        <v>Brittney</v>
      </c>
      <c r="C1251" s="98" t="str">
        <f t="array" ref="C1251">_xlfn.XLOOKUP(A1251,'Video Database'!L:L,'Video Database'!E:E,"")</f>
        <v>Account 2</v>
      </c>
      <c r="D1251" s="99" t="str">
        <f t="array" ref="D1251">_xlfn.XLOOKUP(A1251,'Video Database'!L:L,'Video Database'!G:G,"")</f>
        <v>Gruns Greens Popsicle Firecracker Gummies</v>
      </c>
      <c r="E1251" s="100">
        <f t="array" ref="E1251">_xlfn.XLOOKUP(A1251,'Video Database'!L:L,'Video Database'!H:H,"")</f>
        <v>0.11</v>
      </c>
      <c r="F1251" s="101"/>
      <c r="G1251" s="87"/>
      <c r="H1251" s="114">
        <f t="array" ref="H1251">_xlfn.XLOOKUP(A1251,'Video Database'!L:L,'Video Database'!A:A,"")</f>
        <v>46205</v>
      </c>
      <c r="I1251" s="103"/>
      <c r="J1251" s="104"/>
      <c r="K1251" s="105"/>
      <c r="L1251" s="105" t="str">
        <f t="shared" si="13"/>
        <v/>
      </c>
      <c r="O1251" s="106" t="str">
        <f t="shared" si="2"/>
        <v>#N/A</v>
      </c>
      <c r="P1251" s="106" t="str">
        <f t="shared" si="3"/>
        <v>#N/A</v>
      </c>
      <c r="Q1251" s="84" t="str">
        <f t="shared" si="4"/>
        <v>#N/A</v>
      </c>
      <c r="R1251" s="84" t="str">
        <f t="shared" si="5"/>
        <v>#N/A</v>
      </c>
      <c r="S1251" s="107">
        <f t="shared" si="6"/>
        <v>-0.11</v>
      </c>
      <c r="T1251" s="108">
        <f t="shared" si="7"/>
        <v>-1</v>
      </c>
      <c r="U1251" s="106" t="str">
        <f t="shared" si="8"/>
        <v>#N/A</v>
      </c>
      <c r="V1251" s="84" t="str">
        <f t="shared" si="9"/>
        <v/>
      </c>
      <c r="W1251" s="109" t="str">
        <f t="shared" si="10"/>
        <v/>
      </c>
      <c r="X1251" s="109" t="str">
        <f t="shared" si="11"/>
        <v/>
      </c>
      <c r="Y1251" s="110" t="str">
        <f t="array" ref="Y1251">_xlfn.XLOOKUP(A1251,'Video Database'!L:L,'Video Database'!M:M,"")</f>
        <v>Bottom of Funnel</v>
      </c>
    </row>
    <row r="1252" ht="22.5" customHeight="1">
      <c r="A1252" s="113">
        <f t="shared" si="12"/>
        <v>1251</v>
      </c>
      <c r="B1252" s="98" t="str">
        <f t="array" ref="B1252">_xlfn.XLOOKUP(A1252,'Video Database'!L:L,'Video Database'!D:D,"")</f>
        <v>Erin</v>
      </c>
      <c r="C1252" s="98" t="str">
        <f t="array" ref="C1252">_xlfn.XLOOKUP(A1252,'Video Database'!L:L,'Video Database'!E:E,"")</f>
        <v>Account 2</v>
      </c>
      <c r="D1252" s="99" t="str">
        <f t="array" ref="D1252">_xlfn.XLOOKUP(A1252,'Video Database'!L:L,'Video Database'!G:G,"")</f>
        <v>Faux Pearl Decorated Link Bracelet</v>
      </c>
      <c r="E1252" s="100">
        <f t="array" ref="E1252">_xlfn.XLOOKUP(A1252,'Video Database'!L:L,'Video Database'!H:H,"")</f>
        <v>0.7337</v>
      </c>
      <c r="F1252" s="101"/>
      <c r="G1252" s="87"/>
      <c r="H1252" s="114">
        <f t="array" ref="H1252">_xlfn.XLOOKUP(A1252,'Video Database'!L:L,'Video Database'!A:A,"")</f>
        <v>46205</v>
      </c>
      <c r="I1252" s="103"/>
      <c r="J1252" s="104"/>
      <c r="K1252" s="105"/>
      <c r="L1252" s="105" t="str">
        <f t="shared" si="13"/>
        <v/>
      </c>
      <c r="O1252" s="106" t="str">
        <f t="shared" si="2"/>
        <v>#N/A</v>
      </c>
      <c r="P1252" s="106" t="str">
        <f t="shared" si="3"/>
        <v>#N/A</v>
      </c>
      <c r="Q1252" s="84" t="str">
        <f t="shared" si="4"/>
        <v>#N/A</v>
      </c>
      <c r="R1252" s="84" t="str">
        <f t="shared" si="5"/>
        <v>#N/A</v>
      </c>
      <c r="S1252" s="107">
        <f t="shared" si="6"/>
        <v>-0.7337</v>
      </c>
      <c r="T1252" s="108">
        <f t="shared" si="7"/>
        <v>-1</v>
      </c>
      <c r="U1252" s="106" t="str">
        <f t="shared" si="8"/>
        <v>#N/A</v>
      </c>
      <c r="V1252" s="84" t="str">
        <f t="shared" si="9"/>
        <v/>
      </c>
      <c r="W1252" s="109" t="str">
        <f t="shared" si="10"/>
        <v/>
      </c>
      <c r="X1252" s="109" t="str">
        <f t="shared" si="11"/>
        <v/>
      </c>
      <c r="Y1252" s="110" t="str">
        <f t="array" ref="Y1252">_xlfn.XLOOKUP(A1252,'Video Database'!L:L,'Video Database'!M:M,"")</f>
        <v>Bottom of Funnel</v>
      </c>
    </row>
    <row r="1253" ht="22.5" customHeight="1">
      <c r="A1253" s="113">
        <f t="shared" si="12"/>
        <v>1252</v>
      </c>
      <c r="B1253" s="98" t="str">
        <f t="array" ref="B1253">_xlfn.XLOOKUP(A1253,'Video Database'!L:L,'Video Database'!D:D,"")</f>
        <v>Brittney</v>
      </c>
      <c r="C1253" s="98" t="str">
        <f t="array" ref="C1253">_xlfn.XLOOKUP(A1253,'Video Database'!L:L,'Video Database'!E:E,"")</f>
        <v>Account 2</v>
      </c>
      <c r="D1253" s="99" t="str">
        <f t="array" ref="D1253">_xlfn.XLOOKUP(A1253,'Video Database'!L:L,'Video Database'!G:G,"")</f>
        <v>Gruns Greens Popsicle Firecracker Gummies</v>
      </c>
      <c r="E1253" s="100">
        <f t="array" ref="E1253">_xlfn.XLOOKUP(A1253,'Video Database'!L:L,'Video Database'!H:H,"")</f>
        <v>0.11</v>
      </c>
      <c r="F1253" s="101"/>
      <c r="G1253" s="87"/>
      <c r="H1253" s="114">
        <f t="array" ref="H1253">_xlfn.XLOOKUP(A1253,'Video Database'!L:L,'Video Database'!A:A,"")</f>
        <v>46205</v>
      </c>
      <c r="I1253" s="103"/>
      <c r="J1253" s="104"/>
      <c r="K1253" s="105"/>
      <c r="L1253" s="105" t="str">
        <f t="shared" si="13"/>
        <v/>
      </c>
      <c r="O1253" s="106" t="str">
        <f t="shared" si="2"/>
        <v>#N/A</v>
      </c>
      <c r="P1253" s="106" t="str">
        <f t="shared" si="3"/>
        <v>#N/A</v>
      </c>
      <c r="Q1253" s="84" t="str">
        <f t="shared" si="4"/>
        <v>#N/A</v>
      </c>
      <c r="R1253" s="84" t="str">
        <f t="shared" si="5"/>
        <v>#N/A</v>
      </c>
      <c r="S1253" s="107">
        <f t="shared" si="6"/>
        <v>-0.11</v>
      </c>
      <c r="T1253" s="108">
        <f t="shared" si="7"/>
        <v>-1</v>
      </c>
      <c r="U1253" s="106" t="str">
        <f t="shared" si="8"/>
        <v>#N/A</v>
      </c>
      <c r="V1253" s="84" t="str">
        <f t="shared" si="9"/>
        <v/>
      </c>
      <c r="W1253" s="109" t="str">
        <f t="shared" si="10"/>
        <v/>
      </c>
      <c r="X1253" s="109" t="str">
        <f t="shared" si="11"/>
        <v/>
      </c>
      <c r="Y1253" s="110" t="str">
        <f t="array" ref="Y1253">_xlfn.XLOOKUP(A1253,'Video Database'!L:L,'Video Database'!M:M,"")</f>
        <v>Bottom of Funnel</v>
      </c>
    </row>
    <row r="1254" ht="22.5" customHeight="1">
      <c r="A1254" s="113">
        <f t="shared" si="12"/>
        <v>1253</v>
      </c>
      <c r="B1254" s="98" t="str">
        <f t="array" ref="B1254">_xlfn.XLOOKUP(A1254,'Video Database'!L:L,'Video Database'!D:D,"")</f>
        <v>Erin</v>
      </c>
      <c r="C1254" s="98" t="str">
        <f t="array" ref="C1254">_xlfn.XLOOKUP(A1254,'Video Database'!L:L,'Video Database'!E:E,"")</f>
        <v>Account 3</v>
      </c>
      <c r="D1254" s="99" t="str">
        <f t="array" ref="D1254">_xlfn.XLOOKUP(A1254,'Video Database'!L:L,'Video Database'!G:G,"")</f>
        <v>XL Microfiber Towel</v>
      </c>
      <c r="E1254" s="100">
        <f t="array" ref="E1254">_xlfn.XLOOKUP(A1254,'Video Database'!L:L,'Video Database'!H:H,"")</f>
        <v>0.7337</v>
      </c>
      <c r="F1254" s="101"/>
      <c r="G1254" s="87"/>
      <c r="H1254" s="114">
        <f t="array" ref="H1254">_xlfn.XLOOKUP(A1254,'Video Database'!L:L,'Video Database'!A:A,"")</f>
        <v>46205</v>
      </c>
      <c r="I1254" s="103"/>
      <c r="J1254" s="104"/>
      <c r="K1254" s="105"/>
      <c r="L1254" s="105" t="str">
        <f t="shared" si="13"/>
        <v/>
      </c>
      <c r="O1254" s="106" t="str">
        <f t="shared" si="2"/>
        <v>#N/A</v>
      </c>
      <c r="P1254" s="106" t="str">
        <f t="shared" si="3"/>
        <v>#N/A</v>
      </c>
      <c r="Q1254" s="84" t="str">
        <f t="shared" si="4"/>
        <v>#N/A</v>
      </c>
      <c r="R1254" s="84" t="str">
        <f t="shared" si="5"/>
        <v>#N/A</v>
      </c>
      <c r="S1254" s="107">
        <f t="shared" si="6"/>
        <v>-0.7337</v>
      </c>
      <c r="T1254" s="108">
        <f t="shared" si="7"/>
        <v>-1</v>
      </c>
      <c r="U1254" s="106" t="str">
        <f t="shared" si="8"/>
        <v>#N/A</v>
      </c>
      <c r="V1254" s="84" t="str">
        <f t="shared" si="9"/>
        <v/>
      </c>
      <c r="W1254" s="109" t="str">
        <f t="shared" si="10"/>
        <v/>
      </c>
      <c r="X1254" s="109" t="str">
        <f t="shared" si="11"/>
        <v/>
      </c>
      <c r="Y1254" s="110" t="str">
        <f t="array" ref="Y1254">_xlfn.XLOOKUP(A1254,'Video Database'!L:L,'Video Database'!M:M,"")</f>
        <v>Bottom of Funnel</v>
      </c>
    </row>
    <row r="1255" ht="22.5" customHeight="1">
      <c r="A1255" s="113">
        <f t="shared" si="12"/>
        <v>1254</v>
      </c>
      <c r="B1255" s="98" t="str">
        <f t="array" ref="B1255">_xlfn.XLOOKUP(A1255,'Video Database'!L:L,'Video Database'!D:D,"")</f>
        <v>Erin</v>
      </c>
      <c r="C1255" s="98" t="str">
        <f t="array" ref="C1255">_xlfn.XLOOKUP(A1255,'Video Database'!L:L,'Video Database'!E:E,"")</f>
        <v>Account 3</v>
      </c>
      <c r="D1255" s="99" t="str">
        <f t="array" ref="D1255">_xlfn.XLOOKUP(A1255,'Video Database'!L:L,'Video Database'!G:G,"")</f>
        <v>Kaja Beauty 3-in-1 Eyeshadow Stack</v>
      </c>
      <c r="E1255" s="100">
        <f t="array" ref="E1255">_xlfn.XLOOKUP(A1255,'Video Database'!L:L,'Video Database'!H:H,"")</f>
        <v>0.7337</v>
      </c>
      <c r="F1255" s="101"/>
      <c r="G1255" s="87"/>
      <c r="H1255" s="114">
        <f t="array" ref="H1255">_xlfn.XLOOKUP(A1255,'Video Database'!L:L,'Video Database'!A:A,"")</f>
        <v>46205</v>
      </c>
      <c r="I1255" s="103"/>
      <c r="J1255" s="104"/>
      <c r="K1255" s="105"/>
      <c r="L1255" s="105" t="str">
        <f t="shared" si="13"/>
        <v/>
      </c>
      <c r="O1255" s="106" t="str">
        <f t="shared" si="2"/>
        <v>#N/A</v>
      </c>
      <c r="P1255" s="106" t="str">
        <f t="shared" si="3"/>
        <v>#N/A</v>
      </c>
      <c r="Q1255" s="84" t="str">
        <f t="shared" si="4"/>
        <v>#N/A</v>
      </c>
      <c r="R1255" s="84" t="str">
        <f t="shared" si="5"/>
        <v>#N/A</v>
      </c>
      <c r="S1255" s="107">
        <f t="shared" si="6"/>
        <v>-0.7337</v>
      </c>
      <c r="T1255" s="108">
        <f t="shared" si="7"/>
        <v>-1</v>
      </c>
      <c r="U1255" s="106" t="str">
        <f t="shared" si="8"/>
        <v>#N/A</v>
      </c>
      <c r="V1255" s="84" t="str">
        <f t="shared" si="9"/>
        <v/>
      </c>
      <c r="W1255" s="109" t="str">
        <f t="shared" si="10"/>
        <v/>
      </c>
      <c r="X1255" s="109" t="str">
        <f t="shared" si="11"/>
        <v/>
      </c>
      <c r="Y1255" s="110" t="str">
        <f t="array" ref="Y1255">_xlfn.XLOOKUP(A1255,'Video Database'!L:L,'Video Database'!M:M,"")</f>
        <v>Bottom of Funnel</v>
      </c>
    </row>
    <row r="1256" ht="22.5" customHeight="1">
      <c r="A1256" s="113">
        <f t="shared" si="12"/>
        <v>1255</v>
      </c>
      <c r="B1256" s="98" t="str">
        <f t="array" ref="B1256">_xlfn.XLOOKUP(A1256,'Video Database'!L:L,'Video Database'!D:D,"")</f>
        <v>Brittney</v>
      </c>
      <c r="C1256" s="98" t="str">
        <f t="array" ref="C1256">_xlfn.XLOOKUP(A1256,'Video Database'!L:L,'Video Database'!E:E,"")</f>
        <v>Account 3</v>
      </c>
      <c r="D1256" s="99" t="str">
        <f t="array" ref="D1256">_xlfn.XLOOKUP(A1256,'Video Database'!L:L,'Video Database'!G:G,"")</f>
        <v>Gruns Greens Popsicle Firecracker Gummies</v>
      </c>
      <c r="E1256" s="100">
        <f t="array" ref="E1256">_xlfn.XLOOKUP(A1256,'Video Database'!L:L,'Video Database'!H:H,"")</f>
        <v>0.11</v>
      </c>
      <c r="F1256" s="101"/>
      <c r="G1256" s="87"/>
      <c r="H1256" s="114">
        <f t="array" ref="H1256">_xlfn.XLOOKUP(A1256,'Video Database'!L:L,'Video Database'!A:A,"")</f>
        <v>46205</v>
      </c>
      <c r="I1256" s="103"/>
      <c r="J1256" s="104"/>
      <c r="K1256" s="105"/>
      <c r="L1256" s="105" t="str">
        <f t="shared" si="13"/>
        <v/>
      </c>
      <c r="O1256" s="106" t="str">
        <f t="shared" si="2"/>
        <v>#N/A</v>
      </c>
      <c r="P1256" s="106" t="str">
        <f t="shared" si="3"/>
        <v>#N/A</v>
      </c>
      <c r="Q1256" s="84" t="str">
        <f t="shared" si="4"/>
        <v>#N/A</v>
      </c>
      <c r="R1256" s="84" t="str">
        <f t="shared" si="5"/>
        <v>#N/A</v>
      </c>
      <c r="S1256" s="107">
        <f t="shared" si="6"/>
        <v>-0.11</v>
      </c>
      <c r="T1256" s="108">
        <f t="shared" si="7"/>
        <v>-1</v>
      </c>
      <c r="U1256" s="106" t="str">
        <f t="shared" si="8"/>
        <v>#N/A</v>
      </c>
      <c r="V1256" s="84" t="str">
        <f t="shared" si="9"/>
        <v/>
      </c>
      <c r="W1256" s="109" t="str">
        <f t="shared" si="10"/>
        <v/>
      </c>
      <c r="X1256" s="109" t="str">
        <f t="shared" si="11"/>
        <v/>
      </c>
      <c r="Y1256" s="110" t="str">
        <f t="array" ref="Y1256">_xlfn.XLOOKUP(A1256,'Video Database'!L:L,'Video Database'!M:M,"")</f>
        <v>Bottom of Funnel</v>
      </c>
    </row>
    <row r="1257" ht="22.5" customHeight="1">
      <c r="A1257" s="113">
        <f t="shared" si="12"/>
        <v>1256</v>
      </c>
      <c r="B1257" s="98" t="str">
        <f t="array" ref="B1257">_xlfn.XLOOKUP(A1257,'Video Database'!L:L,'Video Database'!D:D,"")</f>
        <v>Brittney</v>
      </c>
      <c r="C1257" s="98" t="str">
        <f t="array" ref="C1257">_xlfn.XLOOKUP(A1257,'Video Database'!L:L,'Video Database'!E:E,"")</f>
        <v>Account 3</v>
      </c>
      <c r="D1257" s="99" t="str">
        <f t="array" ref="D1257">_xlfn.XLOOKUP(A1257,'Video Database'!L:L,'Video Database'!G:G,"")</f>
        <v>Gruns Greens Popsicle Firecracker Gummies</v>
      </c>
      <c r="E1257" s="100">
        <f t="array" ref="E1257">_xlfn.XLOOKUP(A1257,'Video Database'!L:L,'Video Database'!H:H,"")</f>
        <v>0.11</v>
      </c>
      <c r="F1257" s="101"/>
      <c r="G1257" s="87"/>
      <c r="H1257" s="114">
        <f t="array" ref="H1257">_xlfn.XLOOKUP(A1257,'Video Database'!L:L,'Video Database'!A:A,"")</f>
        <v>46205</v>
      </c>
      <c r="I1257" s="103"/>
      <c r="J1257" s="104"/>
      <c r="K1257" s="105"/>
      <c r="L1257" s="105" t="str">
        <f t="shared" si="13"/>
        <v/>
      </c>
      <c r="O1257" s="106" t="str">
        <f t="shared" si="2"/>
        <v>#N/A</v>
      </c>
      <c r="P1257" s="106" t="str">
        <f t="shared" si="3"/>
        <v>#N/A</v>
      </c>
      <c r="Q1257" s="84" t="str">
        <f t="shared" si="4"/>
        <v>#N/A</v>
      </c>
      <c r="R1257" s="84" t="str">
        <f t="shared" si="5"/>
        <v>#N/A</v>
      </c>
      <c r="S1257" s="107">
        <f t="shared" si="6"/>
        <v>-0.11</v>
      </c>
      <c r="T1257" s="108">
        <f t="shared" si="7"/>
        <v>-1</v>
      </c>
      <c r="U1257" s="106" t="str">
        <f t="shared" si="8"/>
        <v>#N/A</v>
      </c>
      <c r="V1257" s="84" t="str">
        <f t="shared" si="9"/>
        <v/>
      </c>
      <c r="W1257" s="109" t="str">
        <f t="shared" si="10"/>
        <v/>
      </c>
      <c r="X1257" s="109" t="str">
        <f t="shared" si="11"/>
        <v/>
      </c>
      <c r="Y1257" s="110" t="str">
        <f t="array" ref="Y1257">_xlfn.XLOOKUP(A1257,'Video Database'!L:L,'Video Database'!M:M,"")</f>
        <v>Bottom of Funnel</v>
      </c>
    </row>
    <row r="1258" ht="22.5" customHeight="1">
      <c r="A1258" s="113">
        <f t="shared" si="12"/>
        <v>1257</v>
      </c>
      <c r="B1258" s="98" t="str">
        <f t="array" ref="B1258">_xlfn.XLOOKUP(A1258,'Video Database'!L:L,'Video Database'!D:D,"")</f>
        <v>Erin</v>
      </c>
      <c r="C1258" s="98" t="str">
        <f t="array" ref="C1258">_xlfn.XLOOKUP(A1258,'Video Database'!L:L,'Video Database'!E:E,"")</f>
        <v>Account 3</v>
      </c>
      <c r="D1258" s="99" t="str">
        <f t="array" ref="D1258">_xlfn.XLOOKUP(A1258,'Video Database'!L:L,'Video Database'!G:G,"")</f>
        <v>Carovo Hoop Earrings Set</v>
      </c>
      <c r="E1258" s="100">
        <f t="array" ref="E1258">_xlfn.XLOOKUP(A1258,'Video Database'!L:L,'Video Database'!H:H,"")</f>
        <v>0.7337</v>
      </c>
      <c r="F1258" s="101"/>
      <c r="G1258" s="87"/>
      <c r="H1258" s="114">
        <f t="array" ref="H1258">_xlfn.XLOOKUP(A1258,'Video Database'!L:L,'Video Database'!A:A,"")</f>
        <v>46205</v>
      </c>
      <c r="I1258" s="103"/>
      <c r="J1258" s="104"/>
      <c r="K1258" s="105"/>
      <c r="L1258" s="105" t="str">
        <f t="shared" si="13"/>
        <v/>
      </c>
      <c r="O1258" s="106" t="str">
        <f t="shared" si="2"/>
        <v>#N/A</v>
      </c>
      <c r="P1258" s="106" t="str">
        <f t="shared" si="3"/>
        <v>#N/A</v>
      </c>
      <c r="Q1258" s="84" t="str">
        <f t="shared" si="4"/>
        <v>#N/A</v>
      </c>
      <c r="R1258" s="84" t="str">
        <f t="shared" si="5"/>
        <v>#N/A</v>
      </c>
      <c r="S1258" s="107">
        <f t="shared" si="6"/>
        <v>-0.7337</v>
      </c>
      <c r="T1258" s="108">
        <f t="shared" si="7"/>
        <v>-1</v>
      </c>
      <c r="U1258" s="106" t="str">
        <f t="shared" si="8"/>
        <v>#N/A</v>
      </c>
      <c r="V1258" s="84" t="str">
        <f t="shared" si="9"/>
        <v/>
      </c>
      <c r="W1258" s="109" t="str">
        <f t="shared" si="10"/>
        <v/>
      </c>
      <c r="X1258" s="109" t="str">
        <f t="shared" si="11"/>
        <v/>
      </c>
      <c r="Y1258" s="110" t="str">
        <f t="array" ref="Y1258">_xlfn.XLOOKUP(A1258,'Video Database'!L:L,'Video Database'!M:M,"")</f>
        <v>Bottom of Funnel</v>
      </c>
    </row>
    <row r="1259" ht="22.5" customHeight="1">
      <c r="A1259" s="113">
        <f t="shared" si="12"/>
        <v>1258</v>
      </c>
      <c r="B1259" s="98" t="str">
        <f t="array" ref="B1259">_xlfn.XLOOKUP(A1259,'Video Database'!L:L,'Video Database'!D:D,"")</f>
        <v>Sierra</v>
      </c>
      <c r="C1259" s="98" t="str">
        <f t="array" ref="C1259">_xlfn.XLOOKUP(A1259,'Video Database'!L:L,'Video Database'!E:E,"")</f>
        <v>Account 3</v>
      </c>
      <c r="D1259" s="99" t="str">
        <f t="array" ref="D1259">_xlfn.XLOOKUP(A1259,'Video Database'!L:L,'Video Database'!G:G,"")</f>
        <v>Taste Salud Skin + Beauty Drink Mix</v>
      </c>
      <c r="E1259" s="100">
        <f t="array" ref="E1259">_xlfn.XLOOKUP(A1259,'Video Database'!L:L,'Video Database'!H:H,"")</f>
        <v>1.1</v>
      </c>
      <c r="F1259" s="101"/>
      <c r="G1259" s="87"/>
      <c r="H1259" s="114">
        <f t="array" ref="H1259">_xlfn.XLOOKUP(A1259,'Video Database'!L:L,'Video Database'!A:A,"")</f>
        <v>46205</v>
      </c>
      <c r="I1259" s="103"/>
      <c r="J1259" s="104"/>
      <c r="K1259" s="105"/>
      <c r="L1259" s="105" t="str">
        <f t="shared" si="13"/>
        <v/>
      </c>
      <c r="O1259" s="106" t="str">
        <f t="shared" si="2"/>
        <v>#N/A</v>
      </c>
      <c r="P1259" s="106" t="str">
        <f t="shared" si="3"/>
        <v>#N/A</v>
      </c>
      <c r="Q1259" s="84" t="str">
        <f t="shared" si="4"/>
        <v>#N/A</v>
      </c>
      <c r="R1259" s="84" t="str">
        <f t="shared" si="5"/>
        <v>#N/A</v>
      </c>
      <c r="S1259" s="107">
        <f t="shared" si="6"/>
        <v>-1.1</v>
      </c>
      <c r="T1259" s="108">
        <f t="shared" si="7"/>
        <v>-1</v>
      </c>
      <c r="U1259" s="106" t="str">
        <f t="shared" si="8"/>
        <v>#N/A</v>
      </c>
      <c r="V1259" s="84" t="str">
        <f t="shared" si="9"/>
        <v/>
      </c>
      <c r="W1259" s="109" t="str">
        <f t="shared" si="10"/>
        <v/>
      </c>
      <c r="X1259" s="109" t="str">
        <f t="shared" si="11"/>
        <v/>
      </c>
      <c r="Y1259" s="110" t="str">
        <f t="array" ref="Y1259">_xlfn.XLOOKUP(A1259,'Video Database'!L:L,'Video Database'!M:M,"")</f>
        <v>Middle of Funnel</v>
      </c>
    </row>
    <row r="1260" ht="22.5" customHeight="1">
      <c r="A1260" s="113">
        <f t="shared" si="12"/>
        <v>1259</v>
      </c>
      <c r="B1260" s="98" t="str">
        <f t="array" ref="B1260">_xlfn.XLOOKUP(A1260,'Video Database'!L:L,'Video Database'!D:D,"")</f>
        <v>Sierra</v>
      </c>
      <c r="C1260" s="98" t="str">
        <f t="array" ref="C1260">_xlfn.XLOOKUP(A1260,'Video Database'!L:L,'Video Database'!E:E,"")</f>
        <v>Account 3</v>
      </c>
      <c r="D1260" s="99" t="str">
        <f t="array" ref="D1260">_xlfn.XLOOKUP(A1260,'Video Database'!L:L,'Video Database'!G:G,"")</f>
        <v>SKIN1004 Hyla-Cica Water Fit Sunscreen</v>
      </c>
      <c r="E1260" s="100">
        <f t="array" ref="E1260">_xlfn.XLOOKUP(A1260,'Video Database'!L:L,'Video Database'!H:H,"")</f>
        <v>1.1</v>
      </c>
      <c r="F1260" s="101"/>
      <c r="G1260" s="87"/>
      <c r="H1260" s="114">
        <f t="array" ref="H1260">_xlfn.XLOOKUP(A1260,'Video Database'!L:L,'Video Database'!A:A,"")</f>
        <v>46205</v>
      </c>
      <c r="I1260" s="103"/>
      <c r="J1260" s="104"/>
      <c r="K1260" s="105"/>
      <c r="L1260" s="105" t="str">
        <f t="shared" si="13"/>
        <v/>
      </c>
      <c r="O1260" s="106" t="str">
        <f t="shared" si="2"/>
        <v>#N/A</v>
      </c>
      <c r="P1260" s="106" t="str">
        <f t="shared" si="3"/>
        <v>#N/A</v>
      </c>
      <c r="Q1260" s="84" t="str">
        <f t="shared" si="4"/>
        <v>#N/A</v>
      </c>
      <c r="R1260" s="84" t="str">
        <f t="shared" si="5"/>
        <v>#N/A</v>
      </c>
      <c r="S1260" s="107">
        <f t="shared" si="6"/>
        <v>-1.1</v>
      </c>
      <c r="T1260" s="108">
        <f t="shared" si="7"/>
        <v>-1</v>
      </c>
      <c r="U1260" s="106" t="str">
        <f t="shared" si="8"/>
        <v>#N/A</v>
      </c>
      <c r="V1260" s="84" t="str">
        <f t="shared" si="9"/>
        <v/>
      </c>
      <c r="W1260" s="109" t="str">
        <f t="shared" si="10"/>
        <v/>
      </c>
      <c r="X1260" s="109" t="str">
        <f t="shared" si="11"/>
        <v/>
      </c>
      <c r="Y1260" s="110" t="str">
        <f t="array" ref="Y1260">_xlfn.XLOOKUP(A1260,'Video Database'!L:L,'Video Database'!M:M,"")</f>
        <v>Middle of Funnel</v>
      </c>
    </row>
    <row r="1261" ht="22.5" customHeight="1">
      <c r="A1261" s="113">
        <f t="shared" si="12"/>
        <v>1260</v>
      </c>
      <c r="B1261" s="98" t="str">
        <f t="array" ref="B1261">_xlfn.XLOOKUP(A1261,'Video Database'!L:L,'Video Database'!D:D,"")</f>
        <v>Erin</v>
      </c>
      <c r="C1261" s="98" t="str">
        <f t="array" ref="C1261">_xlfn.XLOOKUP(A1261,'Video Database'!L:L,'Video Database'!E:E,"")</f>
        <v>Account 3</v>
      </c>
      <c r="D1261" s="99" t="str">
        <f t="array" ref="D1261">_xlfn.XLOOKUP(A1261,'Video Database'!L:L,'Video Database'!G:G,"")</f>
        <v>Faux Pearl Decorated Link Bracelet</v>
      </c>
      <c r="E1261" s="100">
        <f t="array" ref="E1261">_xlfn.XLOOKUP(A1261,'Video Database'!L:L,'Video Database'!H:H,"")</f>
        <v>0.7337</v>
      </c>
      <c r="F1261" s="101"/>
      <c r="G1261" s="87"/>
      <c r="H1261" s="114">
        <f t="array" ref="H1261">_xlfn.XLOOKUP(A1261,'Video Database'!L:L,'Video Database'!A:A,"")</f>
        <v>46205</v>
      </c>
      <c r="I1261" s="103"/>
      <c r="J1261" s="104"/>
      <c r="K1261" s="105"/>
      <c r="L1261" s="105" t="str">
        <f t="shared" si="13"/>
        <v/>
      </c>
      <c r="O1261" s="106" t="str">
        <f t="shared" si="2"/>
        <v>#N/A</v>
      </c>
      <c r="P1261" s="106" t="str">
        <f t="shared" si="3"/>
        <v>#N/A</v>
      </c>
      <c r="Q1261" s="84" t="str">
        <f t="shared" si="4"/>
        <v>#N/A</v>
      </c>
      <c r="R1261" s="84" t="str">
        <f t="shared" si="5"/>
        <v>#N/A</v>
      </c>
      <c r="S1261" s="107">
        <f t="shared" si="6"/>
        <v>-0.7337</v>
      </c>
      <c r="T1261" s="108">
        <f t="shared" si="7"/>
        <v>-1</v>
      </c>
      <c r="U1261" s="106" t="str">
        <f t="shared" si="8"/>
        <v>#N/A</v>
      </c>
      <c r="V1261" s="84" t="str">
        <f t="shared" si="9"/>
        <v/>
      </c>
      <c r="W1261" s="109" t="str">
        <f t="shared" si="10"/>
        <v/>
      </c>
      <c r="X1261" s="109" t="str">
        <f t="shared" si="11"/>
        <v/>
      </c>
      <c r="Y1261" s="110" t="str">
        <f t="array" ref="Y1261">_xlfn.XLOOKUP(A1261,'Video Database'!L:L,'Video Database'!M:M,"")</f>
        <v>Bottom of Funnel</v>
      </c>
    </row>
    <row r="1262" ht="22.5" customHeight="1">
      <c r="A1262" s="113">
        <f t="shared" si="12"/>
        <v>1261</v>
      </c>
      <c r="B1262" s="98" t="str">
        <f t="array" ref="B1262">_xlfn.XLOOKUP(A1262,'Video Database'!L:L,'Video Database'!D:D,"")</f>
        <v>Erin</v>
      </c>
      <c r="C1262" s="98" t="str">
        <f t="array" ref="C1262">_xlfn.XLOOKUP(A1262,'Video Database'!L:L,'Video Database'!E:E,"")</f>
        <v>Account 3</v>
      </c>
      <c r="D1262" s="99" t="str">
        <f t="array" ref="D1262">_xlfn.XLOOKUP(A1262,'Video Database'!L:L,'Video Database'!G:G,"")</f>
        <v>Medicube Kojic Accid Tumeric Pads</v>
      </c>
      <c r="E1262" s="100">
        <f t="array" ref="E1262">_xlfn.XLOOKUP(A1262,'Video Database'!L:L,'Video Database'!H:H,"")</f>
        <v>0.7337</v>
      </c>
      <c r="F1262" s="101"/>
      <c r="G1262" s="87"/>
      <c r="H1262" s="114">
        <f t="array" ref="H1262">_xlfn.XLOOKUP(A1262,'Video Database'!L:L,'Video Database'!A:A,"")</f>
        <v>46205</v>
      </c>
      <c r="I1262" s="103"/>
      <c r="J1262" s="104"/>
      <c r="K1262" s="105"/>
      <c r="L1262" s="105" t="str">
        <f t="shared" si="13"/>
        <v/>
      </c>
      <c r="O1262" s="106" t="str">
        <f t="shared" si="2"/>
        <v>#N/A</v>
      </c>
      <c r="P1262" s="106" t="str">
        <f t="shared" si="3"/>
        <v>#N/A</v>
      </c>
      <c r="Q1262" s="84" t="str">
        <f t="shared" si="4"/>
        <v>#N/A</v>
      </c>
      <c r="R1262" s="84" t="str">
        <f t="shared" si="5"/>
        <v>#N/A</v>
      </c>
      <c r="S1262" s="107">
        <f t="shared" si="6"/>
        <v>-0.7337</v>
      </c>
      <c r="T1262" s="108">
        <f t="shared" si="7"/>
        <v>-1</v>
      </c>
      <c r="U1262" s="106" t="str">
        <f t="shared" si="8"/>
        <v>#N/A</v>
      </c>
      <c r="V1262" s="84" t="str">
        <f t="shared" si="9"/>
        <v/>
      </c>
      <c r="W1262" s="109" t="str">
        <f t="shared" si="10"/>
        <v/>
      </c>
      <c r="X1262" s="109" t="str">
        <f t="shared" si="11"/>
        <v/>
      </c>
      <c r="Y1262" s="110" t="str">
        <f t="array" ref="Y1262">_xlfn.XLOOKUP(A1262,'Video Database'!L:L,'Video Database'!M:M,"")</f>
        <v>Bottom of Funnel</v>
      </c>
    </row>
    <row r="1263" ht="22.5" customHeight="1">
      <c r="A1263" s="113">
        <f t="shared" si="12"/>
        <v>1262</v>
      </c>
      <c r="B1263" s="98" t="str">
        <f t="array" ref="B1263">_xlfn.XLOOKUP(A1263,'Video Database'!L:L,'Video Database'!D:D,"")</f>
        <v>Brittney</v>
      </c>
      <c r="C1263" s="98" t="str">
        <f t="array" ref="C1263">_xlfn.XLOOKUP(A1263,'Video Database'!L:L,'Video Database'!E:E,"")</f>
        <v>Account 3</v>
      </c>
      <c r="D1263" s="99" t="str">
        <f t="array" ref="D1263">_xlfn.XLOOKUP(A1263,'Video Database'!L:L,'Video Database'!G:G,"")</f>
        <v>Gruns Greens Popsicle Firecracker Gummies</v>
      </c>
      <c r="E1263" s="100">
        <f t="array" ref="E1263">_xlfn.XLOOKUP(A1263,'Video Database'!L:L,'Video Database'!H:H,"")</f>
        <v>0.11</v>
      </c>
      <c r="F1263" s="101"/>
      <c r="G1263" s="87"/>
      <c r="H1263" s="114">
        <f t="array" ref="H1263">_xlfn.XLOOKUP(A1263,'Video Database'!L:L,'Video Database'!A:A,"")</f>
        <v>46205</v>
      </c>
      <c r="I1263" s="103"/>
      <c r="J1263" s="104"/>
      <c r="K1263" s="105"/>
      <c r="L1263" s="105" t="str">
        <f t="shared" si="13"/>
        <v/>
      </c>
      <c r="O1263" s="106" t="str">
        <f t="shared" si="2"/>
        <v>#N/A</v>
      </c>
      <c r="P1263" s="106" t="str">
        <f t="shared" si="3"/>
        <v>#N/A</v>
      </c>
      <c r="Q1263" s="84" t="str">
        <f t="shared" si="4"/>
        <v>#N/A</v>
      </c>
      <c r="R1263" s="84" t="str">
        <f t="shared" si="5"/>
        <v>#N/A</v>
      </c>
      <c r="S1263" s="107">
        <f t="shared" si="6"/>
        <v>-0.11</v>
      </c>
      <c r="T1263" s="108">
        <f t="shared" si="7"/>
        <v>-1</v>
      </c>
      <c r="U1263" s="106" t="str">
        <f t="shared" si="8"/>
        <v>#N/A</v>
      </c>
      <c r="V1263" s="84" t="str">
        <f t="shared" si="9"/>
        <v/>
      </c>
      <c r="W1263" s="109" t="str">
        <f t="shared" si="10"/>
        <v/>
      </c>
      <c r="X1263" s="109" t="str">
        <f t="shared" si="11"/>
        <v/>
      </c>
      <c r="Y1263" s="110" t="str">
        <f t="array" ref="Y1263">_xlfn.XLOOKUP(A1263,'Video Database'!L:L,'Video Database'!M:M,"")</f>
        <v>Bottom of Funnel</v>
      </c>
    </row>
    <row r="1264" ht="22.5" customHeight="1">
      <c r="A1264" s="113">
        <f t="shared" si="12"/>
        <v>1263</v>
      </c>
      <c r="B1264" s="98" t="str">
        <f t="array" ref="B1264">_xlfn.XLOOKUP(A1264,'Video Database'!L:L,'Video Database'!D:D,"")</f>
        <v>Erin</v>
      </c>
      <c r="C1264" s="98" t="str">
        <f t="array" ref="C1264">_xlfn.XLOOKUP(A1264,'Video Database'!L:L,'Video Database'!E:E,"")</f>
        <v>Account 4</v>
      </c>
      <c r="D1264" s="99" t="str">
        <f t="array" ref="D1264">_xlfn.XLOOKUP(A1264,'Video Database'!L:L,'Video Database'!G:G,"")</f>
        <v>Kaja Beauty 3-in-1 Eyeshadow Stack</v>
      </c>
      <c r="E1264" s="100">
        <f t="array" ref="E1264">_xlfn.XLOOKUP(A1264,'Video Database'!L:L,'Video Database'!H:H,"")</f>
        <v>0.7337</v>
      </c>
      <c r="F1264" s="101"/>
      <c r="G1264" s="87"/>
      <c r="H1264" s="114">
        <f t="array" ref="H1264">_xlfn.XLOOKUP(A1264,'Video Database'!L:L,'Video Database'!A:A,"")</f>
        <v>46205</v>
      </c>
      <c r="I1264" s="103"/>
      <c r="J1264" s="104"/>
      <c r="K1264" s="105"/>
      <c r="L1264" s="105" t="str">
        <f t="shared" si="13"/>
        <v/>
      </c>
      <c r="O1264" s="106" t="str">
        <f t="shared" si="2"/>
        <v>#N/A</v>
      </c>
      <c r="P1264" s="106" t="str">
        <f t="shared" si="3"/>
        <v>#N/A</v>
      </c>
      <c r="Q1264" s="84" t="str">
        <f t="shared" si="4"/>
        <v>#N/A</v>
      </c>
      <c r="R1264" s="84" t="str">
        <f t="shared" si="5"/>
        <v>#N/A</v>
      </c>
      <c r="S1264" s="107">
        <f t="shared" si="6"/>
        <v>-0.7337</v>
      </c>
      <c r="T1264" s="108">
        <f t="shared" si="7"/>
        <v>-1</v>
      </c>
      <c r="U1264" s="106" t="str">
        <f t="shared" si="8"/>
        <v>#N/A</v>
      </c>
      <c r="V1264" s="84" t="str">
        <f t="shared" si="9"/>
        <v/>
      </c>
      <c r="W1264" s="109" t="str">
        <f t="shared" si="10"/>
        <v/>
      </c>
      <c r="X1264" s="109" t="str">
        <f t="shared" si="11"/>
        <v/>
      </c>
      <c r="Y1264" s="110" t="str">
        <f t="array" ref="Y1264">_xlfn.XLOOKUP(A1264,'Video Database'!L:L,'Video Database'!M:M,"")</f>
        <v>Bottom of Funnel</v>
      </c>
    </row>
    <row r="1265" ht="22.5" customHeight="1">
      <c r="A1265" s="113">
        <f t="shared" si="12"/>
        <v>1264</v>
      </c>
      <c r="B1265" s="98" t="str">
        <f t="array" ref="B1265">_xlfn.XLOOKUP(A1265,'Video Database'!L:L,'Video Database'!D:D,"")</f>
        <v>Brittney</v>
      </c>
      <c r="C1265" s="98" t="str">
        <f t="array" ref="C1265">_xlfn.XLOOKUP(A1265,'Video Database'!L:L,'Video Database'!E:E,"")</f>
        <v>Account 4</v>
      </c>
      <c r="D1265" s="99" t="str">
        <f t="array" ref="D1265">_xlfn.XLOOKUP(A1265,'Video Database'!L:L,'Video Database'!G:G,"")</f>
        <v>Gruns Greens Popsicle Firecracker Gummies</v>
      </c>
      <c r="E1265" s="100">
        <f t="array" ref="E1265">_xlfn.XLOOKUP(A1265,'Video Database'!L:L,'Video Database'!H:H,"")</f>
        <v>0.11</v>
      </c>
      <c r="F1265" s="101"/>
      <c r="G1265" s="87"/>
      <c r="H1265" s="114">
        <f t="array" ref="H1265">_xlfn.XLOOKUP(A1265,'Video Database'!L:L,'Video Database'!A:A,"")</f>
        <v>46205</v>
      </c>
      <c r="I1265" s="103"/>
      <c r="J1265" s="104"/>
      <c r="K1265" s="105"/>
      <c r="L1265" s="105" t="str">
        <f t="shared" si="13"/>
        <v/>
      </c>
      <c r="O1265" s="106" t="str">
        <f t="shared" si="2"/>
        <v>#N/A</v>
      </c>
      <c r="P1265" s="106" t="str">
        <f t="shared" si="3"/>
        <v>#N/A</v>
      </c>
      <c r="Q1265" s="84" t="str">
        <f t="shared" si="4"/>
        <v>#N/A</v>
      </c>
      <c r="R1265" s="84" t="str">
        <f t="shared" si="5"/>
        <v>#N/A</v>
      </c>
      <c r="S1265" s="107">
        <f t="shared" si="6"/>
        <v>-0.11</v>
      </c>
      <c r="T1265" s="108">
        <f t="shared" si="7"/>
        <v>-1</v>
      </c>
      <c r="U1265" s="106" t="str">
        <f t="shared" si="8"/>
        <v>#N/A</v>
      </c>
      <c r="V1265" s="84" t="str">
        <f t="shared" si="9"/>
        <v/>
      </c>
      <c r="W1265" s="109" t="str">
        <f t="shared" si="10"/>
        <v/>
      </c>
      <c r="X1265" s="109" t="str">
        <f t="shared" si="11"/>
        <v/>
      </c>
      <c r="Y1265" s="110" t="str">
        <f t="array" ref="Y1265">_xlfn.XLOOKUP(A1265,'Video Database'!L:L,'Video Database'!M:M,"")</f>
        <v>Bottom of Funnel</v>
      </c>
    </row>
    <row r="1266" ht="22.5" customHeight="1">
      <c r="A1266" s="113">
        <f t="shared" si="12"/>
        <v>1265</v>
      </c>
      <c r="B1266" s="98" t="str">
        <f t="array" ref="B1266">_xlfn.XLOOKUP(A1266,'Video Database'!L:L,'Video Database'!D:D,"")</f>
        <v>Erin</v>
      </c>
      <c r="C1266" s="98" t="str">
        <f t="array" ref="C1266">_xlfn.XLOOKUP(A1266,'Video Database'!L:L,'Video Database'!E:E,"")</f>
        <v>Account 4</v>
      </c>
      <c r="D1266" s="99" t="str">
        <f t="array" ref="D1266">_xlfn.XLOOKUP(A1266,'Video Database'!L:L,'Video Database'!G:G,"")</f>
        <v>Carovo Hoop Earrings Set</v>
      </c>
      <c r="E1266" s="100">
        <f t="array" ref="E1266">_xlfn.XLOOKUP(A1266,'Video Database'!L:L,'Video Database'!H:H,"")</f>
        <v>0.7337</v>
      </c>
      <c r="F1266" s="101"/>
      <c r="G1266" s="87"/>
      <c r="H1266" s="114">
        <f t="array" ref="H1266">_xlfn.XLOOKUP(A1266,'Video Database'!L:L,'Video Database'!A:A,"")</f>
        <v>46205</v>
      </c>
      <c r="I1266" s="103"/>
      <c r="J1266" s="104"/>
      <c r="K1266" s="105"/>
      <c r="L1266" s="105" t="str">
        <f t="shared" si="13"/>
        <v/>
      </c>
      <c r="O1266" s="106" t="str">
        <f t="shared" si="2"/>
        <v>#N/A</v>
      </c>
      <c r="P1266" s="106" t="str">
        <f t="shared" si="3"/>
        <v>#N/A</v>
      </c>
      <c r="Q1266" s="84" t="str">
        <f t="shared" si="4"/>
        <v>#N/A</v>
      </c>
      <c r="R1266" s="84" t="str">
        <f t="shared" si="5"/>
        <v>#N/A</v>
      </c>
      <c r="S1266" s="107">
        <f t="shared" si="6"/>
        <v>-0.7337</v>
      </c>
      <c r="T1266" s="108">
        <f t="shared" si="7"/>
        <v>-1</v>
      </c>
      <c r="U1266" s="106" t="str">
        <f t="shared" si="8"/>
        <v>#N/A</v>
      </c>
      <c r="V1266" s="84" t="str">
        <f t="shared" si="9"/>
        <v/>
      </c>
      <c r="W1266" s="109" t="str">
        <f t="shared" si="10"/>
        <v/>
      </c>
      <c r="X1266" s="109" t="str">
        <f t="shared" si="11"/>
        <v/>
      </c>
      <c r="Y1266" s="110" t="str">
        <f t="array" ref="Y1266">_xlfn.XLOOKUP(A1266,'Video Database'!L:L,'Video Database'!M:M,"")</f>
        <v>Bottom of Funnel</v>
      </c>
    </row>
    <row r="1267" ht="22.5" customHeight="1">
      <c r="A1267" s="113">
        <f t="shared" si="12"/>
        <v>1266</v>
      </c>
      <c r="B1267" s="98" t="str">
        <f t="array" ref="B1267">_xlfn.XLOOKUP(A1267,'Video Database'!L:L,'Video Database'!D:D,"")</f>
        <v>Sierra</v>
      </c>
      <c r="C1267" s="98" t="str">
        <f t="array" ref="C1267">_xlfn.XLOOKUP(A1267,'Video Database'!L:L,'Video Database'!E:E,"")</f>
        <v>Account 4</v>
      </c>
      <c r="D1267" s="99" t="str">
        <f t="array" ref="D1267">_xlfn.XLOOKUP(A1267,'Video Database'!L:L,'Video Database'!G:G,"")</f>
        <v>Taste Salud Skin + Beauty Drink Mix</v>
      </c>
      <c r="E1267" s="100">
        <f t="array" ref="E1267">_xlfn.XLOOKUP(A1267,'Video Database'!L:L,'Video Database'!H:H,"")</f>
        <v>1.1</v>
      </c>
      <c r="F1267" s="101"/>
      <c r="G1267" s="87"/>
      <c r="H1267" s="114">
        <f t="array" ref="H1267">_xlfn.XLOOKUP(A1267,'Video Database'!L:L,'Video Database'!A:A,"")</f>
        <v>46205</v>
      </c>
      <c r="I1267" s="103"/>
      <c r="J1267" s="104"/>
      <c r="K1267" s="105"/>
      <c r="L1267" s="105" t="str">
        <f t="shared" si="13"/>
        <v/>
      </c>
      <c r="O1267" s="106" t="str">
        <f t="shared" si="2"/>
        <v>#N/A</v>
      </c>
      <c r="P1267" s="106" t="str">
        <f t="shared" si="3"/>
        <v>#N/A</v>
      </c>
      <c r="Q1267" s="84" t="str">
        <f t="shared" si="4"/>
        <v>#N/A</v>
      </c>
      <c r="R1267" s="84" t="str">
        <f t="shared" si="5"/>
        <v>#N/A</v>
      </c>
      <c r="S1267" s="107">
        <f t="shared" si="6"/>
        <v>-1.1</v>
      </c>
      <c r="T1267" s="108">
        <f t="shared" si="7"/>
        <v>-1</v>
      </c>
      <c r="U1267" s="106" t="str">
        <f t="shared" si="8"/>
        <v>#N/A</v>
      </c>
      <c r="V1267" s="84" t="str">
        <f t="shared" si="9"/>
        <v/>
      </c>
      <c r="W1267" s="109" t="str">
        <f t="shared" si="10"/>
        <v/>
      </c>
      <c r="X1267" s="109" t="str">
        <f t="shared" si="11"/>
        <v/>
      </c>
      <c r="Y1267" s="110" t="str">
        <f t="array" ref="Y1267">_xlfn.XLOOKUP(A1267,'Video Database'!L:L,'Video Database'!M:M,"")</f>
        <v>Middle of Funnel</v>
      </c>
    </row>
    <row r="1268" ht="22.5" customHeight="1">
      <c r="A1268" s="113">
        <f t="shared" si="12"/>
        <v>1267</v>
      </c>
      <c r="B1268" s="98" t="str">
        <f t="array" ref="B1268">_xlfn.XLOOKUP(A1268,'Video Database'!L:L,'Video Database'!D:D,"")</f>
        <v>Sierra</v>
      </c>
      <c r="C1268" s="98" t="str">
        <f t="array" ref="C1268">_xlfn.XLOOKUP(A1268,'Video Database'!L:L,'Video Database'!E:E,"")</f>
        <v>Account 4</v>
      </c>
      <c r="D1268" s="99" t="str">
        <f t="array" ref="D1268">_xlfn.XLOOKUP(A1268,'Video Database'!L:L,'Video Database'!G:G,"")</f>
        <v>SKIN1004 Hyla-Cica Water Fit Sunscreen</v>
      </c>
      <c r="E1268" s="100">
        <f t="array" ref="E1268">_xlfn.XLOOKUP(A1268,'Video Database'!L:L,'Video Database'!H:H,"")</f>
        <v>1.1</v>
      </c>
      <c r="F1268" s="101"/>
      <c r="G1268" s="87"/>
      <c r="H1268" s="114">
        <f t="array" ref="H1268">_xlfn.XLOOKUP(A1268,'Video Database'!L:L,'Video Database'!A:A,"")</f>
        <v>46205</v>
      </c>
      <c r="I1268" s="103"/>
      <c r="J1268" s="104"/>
      <c r="K1268" s="105"/>
      <c r="L1268" s="105" t="str">
        <f t="shared" si="13"/>
        <v/>
      </c>
      <c r="O1268" s="106" t="str">
        <f t="shared" si="2"/>
        <v>#N/A</v>
      </c>
      <c r="P1268" s="106" t="str">
        <f t="shared" si="3"/>
        <v>#N/A</v>
      </c>
      <c r="Q1268" s="84" t="str">
        <f t="shared" si="4"/>
        <v>#N/A</v>
      </c>
      <c r="R1268" s="84" t="str">
        <f t="shared" si="5"/>
        <v>#N/A</v>
      </c>
      <c r="S1268" s="107">
        <f t="shared" si="6"/>
        <v>-1.1</v>
      </c>
      <c r="T1268" s="108">
        <f t="shared" si="7"/>
        <v>-1</v>
      </c>
      <c r="U1268" s="106" t="str">
        <f t="shared" si="8"/>
        <v>#N/A</v>
      </c>
      <c r="V1268" s="84" t="str">
        <f t="shared" si="9"/>
        <v/>
      </c>
      <c r="W1268" s="109" t="str">
        <f t="shared" si="10"/>
        <v/>
      </c>
      <c r="X1268" s="109" t="str">
        <f t="shared" si="11"/>
        <v/>
      </c>
      <c r="Y1268" s="110" t="str">
        <f t="array" ref="Y1268">_xlfn.XLOOKUP(A1268,'Video Database'!L:L,'Video Database'!M:M,"")</f>
        <v>Middle of Funnel</v>
      </c>
    </row>
    <row r="1269" ht="22.5" customHeight="1">
      <c r="A1269" s="113">
        <f t="shared" si="12"/>
        <v>1268</v>
      </c>
      <c r="B1269" s="98" t="str">
        <f t="array" ref="B1269">_xlfn.XLOOKUP(A1269,'Video Database'!L:L,'Video Database'!D:D,"")</f>
        <v>Erin</v>
      </c>
      <c r="C1269" s="98" t="str">
        <f t="array" ref="C1269">_xlfn.XLOOKUP(A1269,'Video Database'!L:L,'Video Database'!E:E,"")</f>
        <v>Account 4</v>
      </c>
      <c r="D1269" s="99" t="str">
        <f t="array" ref="D1269">_xlfn.XLOOKUP(A1269,'Video Database'!L:L,'Video Database'!G:G,"")</f>
        <v>XL Microfiber Towel</v>
      </c>
      <c r="E1269" s="100">
        <f t="array" ref="E1269">_xlfn.XLOOKUP(A1269,'Video Database'!L:L,'Video Database'!H:H,"")</f>
        <v>0.7337</v>
      </c>
      <c r="F1269" s="101"/>
      <c r="G1269" s="87"/>
      <c r="H1269" s="114">
        <f t="array" ref="H1269">_xlfn.XLOOKUP(A1269,'Video Database'!L:L,'Video Database'!A:A,"")</f>
        <v>46205</v>
      </c>
      <c r="I1269" s="103"/>
      <c r="J1269" s="104"/>
      <c r="K1269" s="105"/>
      <c r="L1269" s="105" t="str">
        <f t="shared" si="13"/>
        <v/>
      </c>
      <c r="O1269" s="106" t="str">
        <f t="shared" si="2"/>
        <v>#N/A</v>
      </c>
      <c r="P1269" s="106" t="str">
        <f t="shared" si="3"/>
        <v>#N/A</v>
      </c>
      <c r="Q1269" s="84" t="str">
        <f t="shared" si="4"/>
        <v>#N/A</v>
      </c>
      <c r="R1269" s="84" t="str">
        <f t="shared" si="5"/>
        <v>#N/A</v>
      </c>
      <c r="S1269" s="107">
        <f t="shared" si="6"/>
        <v>-0.7337</v>
      </c>
      <c r="T1269" s="108">
        <f t="shared" si="7"/>
        <v>-1</v>
      </c>
      <c r="U1269" s="106" t="str">
        <f t="shared" si="8"/>
        <v>#N/A</v>
      </c>
      <c r="V1269" s="84" t="str">
        <f t="shared" si="9"/>
        <v/>
      </c>
      <c r="W1269" s="109" t="str">
        <f t="shared" si="10"/>
        <v/>
      </c>
      <c r="X1269" s="109" t="str">
        <f t="shared" si="11"/>
        <v/>
      </c>
      <c r="Y1269" s="110" t="str">
        <f t="array" ref="Y1269">_xlfn.XLOOKUP(A1269,'Video Database'!L:L,'Video Database'!M:M,"")</f>
        <v>Bottom of Funnel</v>
      </c>
    </row>
    <row r="1270" ht="22.5" customHeight="1">
      <c r="A1270" s="113">
        <f t="shared" si="12"/>
        <v>1269</v>
      </c>
      <c r="B1270" s="98" t="str">
        <f t="array" ref="B1270">_xlfn.XLOOKUP(A1270,'Video Database'!L:L,'Video Database'!D:D,"")</f>
        <v>Erin</v>
      </c>
      <c r="C1270" s="98" t="str">
        <f t="array" ref="C1270">_xlfn.XLOOKUP(A1270,'Video Database'!L:L,'Video Database'!E:E,"")</f>
        <v>Account 4</v>
      </c>
      <c r="D1270" s="99" t="str">
        <f t="array" ref="D1270">_xlfn.XLOOKUP(A1270,'Video Database'!L:L,'Video Database'!G:G,"")</f>
        <v>Faux Pearl Decorated Link Bracelet</v>
      </c>
      <c r="E1270" s="100">
        <f t="array" ref="E1270">_xlfn.XLOOKUP(A1270,'Video Database'!L:L,'Video Database'!H:H,"")</f>
        <v>0.7337</v>
      </c>
      <c r="F1270" s="101"/>
      <c r="G1270" s="87"/>
      <c r="H1270" s="114">
        <f t="array" ref="H1270">_xlfn.XLOOKUP(A1270,'Video Database'!L:L,'Video Database'!A:A,"")</f>
        <v>46205</v>
      </c>
      <c r="I1270" s="103"/>
      <c r="J1270" s="104"/>
      <c r="K1270" s="105"/>
      <c r="L1270" s="105" t="str">
        <f t="shared" si="13"/>
        <v/>
      </c>
      <c r="O1270" s="106" t="str">
        <f t="shared" si="2"/>
        <v>#N/A</v>
      </c>
      <c r="P1270" s="106" t="str">
        <f t="shared" si="3"/>
        <v>#N/A</v>
      </c>
      <c r="Q1270" s="84" t="str">
        <f t="shared" si="4"/>
        <v>#N/A</v>
      </c>
      <c r="R1270" s="84" t="str">
        <f t="shared" si="5"/>
        <v>#N/A</v>
      </c>
      <c r="S1270" s="107">
        <f t="shared" si="6"/>
        <v>-0.7337</v>
      </c>
      <c r="T1270" s="108">
        <f t="shared" si="7"/>
        <v>-1</v>
      </c>
      <c r="U1270" s="106" t="str">
        <f t="shared" si="8"/>
        <v>#N/A</v>
      </c>
      <c r="V1270" s="84" t="str">
        <f t="shared" si="9"/>
        <v/>
      </c>
      <c r="W1270" s="109" t="str">
        <f t="shared" si="10"/>
        <v/>
      </c>
      <c r="X1270" s="109" t="str">
        <f t="shared" si="11"/>
        <v/>
      </c>
      <c r="Y1270" s="110" t="str">
        <f t="array" ref="Y1270">_xlfn.XLOOKUP(A1270,'Video Database'!L:L,'Video Database'!M:M,"")</f>
        <v>Bottom of Funnel</v>
      </c>
    </row>
    <row r="1271" ht="22.5" customHeight="1">
      <c r="A1271" s="113">
        <f t="shared" si="12"/>
        <v>1270</v>
      </c>
      <c r="B1271" s="98" t="str">
        <f t="array" ref="B1271">_xlfn.XLOOKUP(A1271,'Video Database'!L:L,'Video Database'!D:D,"")</f>
        <v>Brittney</v>
      </c>
      <c r="C1271" s="98" t="str">
        <f t="array" ref="C1271">_xlfn.XLOOKUP(A1271,'Video Database'!L:L,'Video Database'!E:E,"")</f>
        <v>Account 4</v>
      </c>
      <c r="D1271" s="99" t="str">
        <f t="array" ref="D1271">_xlfn.XLOOKUP(A1271,'Video Database'!L:L,'Video Database'!G:G,"")</f>
        <v>Gruns Greens Popsicle Firecracker Gummies</v>
      </c>
      <c r="E1271" s="100">
        <f t="array" ref="E1271">_xlfn.XLOOKUP(A1271,'Video Database'!L:L,'Video Database'!H:H,"")</f>
        <v>0.11</v>
      </c>
      <c r="F1271" s="101"/>
      <c r="G1271" s="87"/>
      <c r="H1271" s="114">
        <f t="array" ref="H1271">_xlfn.XLOOKUP(A1271,'Video Database'!L:L,'Video Database'!A:A,"")</f>
        <v>46205</v>
      </c>
      <c r="I1271" s="103"/>
      <c r="J1271" s="104"/>
      <c r="K1271" s="105"/>
      <c r="L1271" s="105" t="str">
        <f t="shared" si="13"/>
        <v/>
      </c>
      <c r="O1271" s="106" t="str">
        <f t="shared" si="2"/>
        <v>#N/A</v>
      </c>
      <c r="P1271" s="106" t="str">
        <f t="shared" si="3"/>
        <v>#N/A</v>
      </c>
      <c r="Q1271" s="84" t="str">
        <f t="shared" si="4"/>
        <v>#N/A</v>
      </c>
      <c r="R1271" s="84" t="str">
        <f t="shared" si="5"/>
        <v>#N/A</v>
      </c>
      <c r="S1271" s="107">
        <f t="shared" si="6"/>
        <v>-0.11</v>
      </c>
      <c r="T1271" s="108">
        <f t="shared" si="7"/>
        <v>-1</v>
      </c>
      <c r="U1271" s="106" t="str">
        <f t="shared" si="8"/>
        <v>#N/A</v>
      </c>
      <c r="V1271" s="84" t="str">
        <f t="shared" si="9"/>
        <v/>
      </c>
      <c r="W1271" s="109" t="str">
        <f t="shared" si="10"/>
        <v/>
      </c>
      <c r="X1271" s="109" t="str">
        <f t="shared" si="11"/>
        <v/>
      </c>
      <c r="Y1271" s="110" t="str">
        <f t="array" ref="Y1271">_xlfn.XLOOKUP(A1271,'Video Database'!L:L,'Video Database'!M:M,"")</f>
        <v>Bottom of Funnel</v>
      </c>
    </row>
    <row r="1272" ht="22.5" customHeight="1">
      <c r="A1272" s="113">
        <f t="shared" si="12"/>
        <v>1271</v>
      </c>
      <c r="B1272" s="98" t="str">
        <f t="array" ref="B1272">_xlfn.XLOOKUP(A1272,'Video Database'!L:L,'Video Database'!D:D,"")</f>
        <v>Erin</v>
      </c>
      <c r="C1272" s="98" t="str">
        <f t="array" ref="C1272">_xlfn.XLOOKUP(A1272,'Video Database'!L:L,'Video Database'!E:E,"")</f>
        <v>Account 4</v>
      </c>
      <c r="D1272" s="99" t="str">
        <f t="array" ref="D1272">_xlfn.XLOOKUP(A1272,'Video Database'!L:L,'Video Database'!G:G,"")</f>
        <v>Medicube Kojic Accid Tumeric Pads</v>
      </c>
      <c r="E1272" s="100">
        <f t="array" ref="E1272">_xlfn.XLOOKUP(A1272,'Video Database'!L:L,'Video Database'!H:H,"")</f>
        <v>0.7337</v>
      </c>
      <c r="F1272" s="101"/>
      <c r="G1272" s="87"/>
      <c r="H1272" s="114">
        <f t="array" ref="H1272">_xlfn.XLOOKUP(A1272,'Video Database'!L:L,'Video Database'!A:A,"")</f>
        <v>46205</v>
      </c>
      <c r="I1272" s="103"/>
      <c r="J1272" s="104"/>
      <c r="K1272" s="105"/>
      <c r="L1272" s="105" t="str">
        <f t="shared" si="13"/>
        <v/>
      </c>
      <c r="O1272" s="106" t="str">
        <f t="shared" si="2"/>
        <v>#N/A</v>
      </c>
      <c r="P1272" s="106" t="str">
        <f t="shared" si="3"/>
        <v>#N/A</v>
      </c>
      <c r="Q1272" s="84" t="str">
        <f t="shared" si="4"/>
        <v>#N/A</v>
      </c>
      <c r="R1272" s="84" t="str">
        <f t="shared" si="5"/>
        <v>#N/A</v>
      </c>
      <c r="S1272" s="107">
        <f t="shared" si="6"/>
        <v>-0.7337</v>
      </c>
      <c r="T1272" s="108">
        <f t="shared" si="7"/>
        <v>-1</v>
      </c>
      <c r="U1272" s="106" t="str">
        <f t="shared" si="8"/>
        <v>#N/A</v>
      </c>
      <c r="V1272" s="84" t="str">
        <f t="shared" si="9"/>
        <v/>
      </c>
      <c r="W1272" s="109" t="str">
        <f t="shared" si="10"/>
        <v/>
      </c>
      <c r="X1272" s="109" t="str">
        <f t="shared" si="11"/>
        <v/>
      </c>
      <c r="Y1272" s="110" t="str">
        <f t="array" ref="Y1272">_xlfn.XLOOKUP(A1272,'Video Database'!L:L,'Video Database'!M:M,"")</f>
        <v>Bottom of Funnel</v>
      </c>
    </row>
    <row r="1273" ht="22.5" customHeight="1">
      <c r="A1273" s="113">
        <f t="shared" si="12"/>
        <v>1272</v>
      </c>
      <c r="B1273" s="98" t="str">
        <f t="array" ref="B1273">_xlfn.XLOOKUP(A1273,'Video Database'!L:L,'Video Database'!D:D,"")</f>
        <v>Brittney</v>
      </c>
      <c r="C1273" s="98" t="str">
        <f t="array" ref="C1273">_xlfn.XLOOKUP(A1273,'Video Database'!L:L,'Video Database'!E:E,"")</f>
        <v>Account 4</v>
      </c>
      <c r="D1273" s="99" t="str">
        <f t="array" ref="D1273">_xlfn.XLOOKUP(A1273,'Video Database'!L:L,'Video Database'!G:G,"")</f>
        <v>Gruns Greens Popsicle Firecracker Gummies</v>
      </c>
      <c r="E1273" s="100">
        <f t="array" ref="E1273">_xlfn.XLOOKUP(A1273,'Video Database'!L:L,'Video Database'!H:H,"")</f>
        <v>0.11</v>
      </c>
      <c r="F1273" s="101"/>
      <c r="G1273" s="87"/>
      <c r="H1273" s="114">
        <f t="array" ref="H1273">_xlfn.XLOOKUP(A1273,'Video Database'!L:L,'Video Database'!A:A,"")</f>
        <v>46205</v>
      </c>
      <c r="I1273" s="103"/>
      <c r="J1273" s="104"/>
      <c r="K1273" s="105"/>
      <c r="L1273" s="105" t="str">
        <f t="shared" si="13"/>
        <v/>
      </c>
      <c r="O1273" s="106" t="str">
        <f t="shared" si="2"/>
        <v>#N/A</v>
      </c>
      <c r="P1273" s="106" t="str">
        <f t="shared" si="3"/>
        <v>#N/A</v>
      </c>
      <c r="Q1273" s="84" t="str">
        <f t="shared" si="4"/>
        <v>#N/A</v>
      </c>
      <c r="R1273" s="84" t="str">
        <f t="shared" si="5"/>
        <v>#N/A</v>
      </c>
      <c r="S1273" s="107">
        <f t="shared" si="6"/>
        <v>-0.11</v>
      </c>
      <c r="T1273" s="108">
        <f t="shared" si="7"/>
        <v>-1</v>
      </c>
      <c r="U1273" s="106" t="str">
        <f t="shared" si="8"/>
        <v>#N/A</v>
      </c>
      <c r="V1273" s="84" t="str">
        <f t="shared" si="9"/>
        <v/>
      </c>
      <c r="W1273" s="109" t="str">
        <f t="shared" si="10"/>
        <v/>
      </c>
      <c r="X1273" s="109" t="str">
        <f t="shared" si="11"/>
        <v/>
      </c>
      <c r="Y1273" s="110" t="str">
        <f t="array" ref="Y1273">_xlfn.XLOOKUP(A1273,'Video Database'!L:L,'Video Database'!M:M,"")</f>
        <v>Bottom of Funnel</v>
      </c>
    </row>
    <row r="1274" ht="22.5" customHeight="1">
      <c r="A1274" s="113">
        <f t="shared" si="12"/>
        <v>1273</v>
      </c>
      <c r="B1274" s="98" t="str">
        <f t="array" ref="B1274">_xlfn.XLOOKUP(A1274,'Video Database'!L:L,'Video Database'!D:D,"")</f>
        <v>Erin</v>
      </c>
      <c r="C1274" s="98" t="str">
        <f t="array" ref="C1274">_xlfn.XLOOKUP(A1274,'Video Database'!L:L,'Video Database'!E:E,"")</f>
        <v>Account 1</v>
      </c>
      <c r="D1274" s="99" t="str">
        <f t="array" ref="D1274">_xlfn.XLOOKUP(A1274,'Video Database'!L:L,'Video Database'!G:G,"")</f>
        <v>Carovo Hoop Earrings Set</v>
      </c>
      <c r="E1274" s="100">
        <f t="array" ref="E1274">_xlfn.XLOOKUP(A1274,'Video Database'!L:L,'Video Database'!H:H,"")</f>
        <v>0.7337</v>
      </c>
      <c r="F1274" s="101"/>
      <c r="G1274" s="87"/>
      <c r="H1274" s="114">
        <f t="array" ref="H1274">_xlfn.XLOOKUP(A1274,'Video Database'!L:L,'Video Database'!A:A,"")</f>
        <v>46206</v>
      </c>
      <c r="I1274" s="103"/>
      <c r="J1274" s="104"/>
      <c r="K1274" s="105"/>
      <c r="L1274" s="105" t="str">
        <f t="shared" si="13"/>
        <v/>
      </c>
      <c r="O1274" s="106" t="str">
        <f t="shared" si="2"/>
        <v>#N/A</v>
      </c>
      <c r="P1274" s="106" t="str">
        <f t="shared" si="3"/>
        <v>#N/A</v>
      </c>
      <c r="Q1274" s="84" t="str">
        <f t="shared" si="4"/>
        <v>#N/A</v>
      </c>
      <c r="R1274" s="84" t="str">
        <f t="shared" si="5"/>
        <v>#N/A</v>
      </c>
      <c r="S1274" s="107">
        <f t="shared" si="6"/>
        <v>-0.7337</v>
      </c>
      <c r="T1274" s="108">
        <f t="shared" si="7"/>
        <v>-1</v>
      </c>
      <c r="U1274" s="106" t="str">
        <f t="shared" si="8"/>
        <v>#N/A</v>
      </c>
      <c r="V1274" s="84" t="str">
        <f t="shared" si="9"/>
        <v/>
      </c>
      <c r="W1274" s="109" t="str">
        <f t="shared" si="10"/>
        <v/>
      </c>
      <c r="X1274" s="109" t="str">
        <f t="shared" si="11"/>
        <v/>
      </c>
      <c r="Y1274" s="110" t="str">
        <f t="array" ref="Y1274">_xlfn.XLOOKUP(A1274,'Video Database'!L:L,'Video Database'!M:M,"")</f>
        <v>Bottom of Funnel</v>
      </c>
    </row>
    <row r="1275" ht="22.5" customHeight="1">
      <c r="A1275" s="113">
        <f t="shared" si="12"/>
        <v>1274</v>
      </c>
      <c r="B1275" s="98" t="str">
        <f t="array" ref="B1275">_xlfn.XLOOKUP(A1275,'Video Database'!L:L,'Video Database'!D:D,"")</f>
        <v>Brittney</v>
      </c>
      <c r="C1275" s="98" t="str">
        <f t="array" ref="C1275">_xlfn.XLOOKUP(A1275,'Video Database'!L:L,'Video Database'!E:E,"")</f>
        <v>Account 1</v>
      </c>
      <c r="D1275" s="99" t="str">
        <f t="array" ref="D1275">_xlfn.XLOOKUP(A1275,'Video Database'!L:L,'Video Database'!G:G,"")</f>
        <v>Gruns Greens Popsicle Firecracker Gummies</v>
      </c>
      <c r="E1275" s="100">
        <f t="array" ref="E1275">_xlfn.XLOOKUP(A1275,'Video Database'!L:L,'Video Database'!H:H,"")</f>
        <v>0.11</v>
      </c>
      <c r="F1275" s="101"/>
      <c r="G1275" s="87"/>
      <c r="H1275" s="114">
        <f t="array" ref="H1275">_xlfn.XLOOKUP(A1275,'Video Database'!L:L,'Video Database'!A:A,"")</f>
        <v>46206</v>
      </c>
      <c r="I1275" s="103"/>
      <c r="J1275" s="104"/>
      <c r="K1275" s="105"/>
      <c r="L1275" s="105" t="str">
        <f t="shared" si="13"/>
        <v/>
      </c>
      <c r="O1275" s="106" t="str">
        <f t="shared" si="2"/>
        <v>#N/A</v>
      </c>
      <c r="P1275" s="106" t="str">
        <f t="shared" si="3"/>
        <v>#N/A</v>
      </c>
      <c r="Q1275" s="84" t="str">
        <f t="shared" si="4"/>
        <v>#N/A</v>
      </c>
      <c r="R1275" s="84" t="str">
        <f t="shared" si="5"/>
        <v>#N/A</v>
      </c>
      <c r="S1275" s="107">
        <f t="shared" si="6"/>
        <v>-0.11</v>
      </c>
      <c r="T1275" s="108">
        <f t="shared" si="7"/>
        <v>-1</v>
      </c>
      <c r="U1275" s="106" t="str">
        <f t="shared" si="8"/>
        <v>#N/A</v>
      </c>
      <c r="V1275" s="84" t="str">
        <f t="shared" si="9"/>
        <v/>
      </c>
      <c r="W1275" s="109" t="str">
        <f t="shared" si="10"/>
        <v/>
      </c>
      <c r="X1275" s="109" t="str">
        <f t="shared" si="11"/>
        <v/>
      </c>
      <c r="Y1275" s="110" t="str">
        <f t="array" ref="Y1275">_xlfn.XLOOKUP(A1275,'Video Database'!L:L,'Video Database'!M:M,"")</f>
        <v>Bottom of Funnel</v>
      </c>
    </row>
    <row r="1276" ht="22.5" customHeight="1">
      <c r="A1276" s="113">
        <f t="shared" si="12"/>
        <v>1275</v>
      </c>
      <c r="B1276" s="98" t="str">
        <f t="array" ref="B1276">_xlfn.XLOOKUP(A1276,'Video Database'!L:L,'Video Database'!D:D,"")</f>
        <v>Charley</v>
      </c>
      <c r="C1276" s="98" t="str">
        <f t="array" ref="C1276">_xlfn.XLOOKUP(A1276,'Video Database'!L:L,'Video Database'!E:E,"")</f>
        <v>Account 1</v>
      </c>
      <c r="D1276" s="99" t="str">
        <f t="array" ref="D1276">_xlfn.XLOOKUP(A1276,'Video Database'!L:L,'Video Database'!G:G,"")</f>
        <v>COSRX US Vitamin E Sunscreen</v>
      </c>
      <c r="E1276" s="100">
        <f t="array" ref="E1276">_xlfn.XLOOKUP(A1276,'Video Database'!L:L,'Video Database'!H:H,"")</f>
        <v>1.1</v>
      </c>
      <c r="F1276" s="101"/>
      <c r="G1276" s="87"/>
      <c r="H1276" s="114">
        <f t="array" ref="H1276">_xlfn.XLOOKUP(A1276,'Video Database'!L:L,'Video Database'!A:A,"")</f>
        <v>46206</v>
      </c>
      <c r="I1276" s="103"/>
      <c r="J1276" s="104"/>
      <c r="K1276" s="105"/>
      <c r="L1276" s="105" t="str">
        <f t="shared" si="13"/>
        <v/>
      </c>
      <c r="O1276" s="106" t="str">
        <f t="shared" si="2"/>
        <v>#N/A</v>
      </c>
      <c r="P1276" s="106" t="str">
        <f t="shared" si="3"/>
        <v>#N/A</v>
      </c>
      <c r="Q1276" s="84" t="str">
        <f t="shared" si="4"/>
        <v>#N/A</v>
      </c>
      <c r="R1276" s="84" t="str">
        <f t="shared" si="5"/>
        <v>#N/A</v>
      </c>
      <c r="S1276" s="107">
        <f t="shared" si="6"/>
        <v>-1.1</v>
      </c>
      <c r="T1276" s="108">
        <f t="shared" si="7"/>
        <v>-1</v>
      </c>
      <c r="U1276" s="106" t="str">
        <f t="shared" si="8"/>
        <v>#N/A</v>
      </c>
      <c r="V1276" s="84" t="str">
        <f t="shared" si="9"/>
        <v/>
      </c>
      <c r="W1276" s="109" t="str">
        <f t="shared" si="10"/>
        <v/>
      </c>
      <c r="X1276" s="109" t="str">
        <f t="shared" si="11"/>
        <v/>
      </c>
      <c r="Y1276" s="110" t="str">
        <f t="array" ref="Y1276">_xlfn.XLOOKUP(A1276,'Video Database'!L:L,'Video Database'!M:M,"")</f>
        <v>Middle of Funnel</v>
      </c>
    </row>
    <row r="1277" ht="22.5" customHeight="1">
      <c r="A1277" s="113">
        <f t="shared" si="12"/>
        <v>1276</v>
      </c>
      <c r="B1277" s="98" t="str">
        <f t="array" ref="B1277">_xlfn.XLOOKUP(A1277,'Video Database'!L:L,'Video Database'!D:D,"")</f>
        <v>Erin</v>
      </c>
      <c r="C1277" s="98" t="str">
        <f t="array" ref="C1277">_xlfn.XLOOKUP(A1277,'Video Database'!L:L,'Video Database'!E:E,"")</f>
        <v>Account 1</v>
      </c>
      <c r="D1277" s="99" t="str">
        <f t="array" ref="D1277">_xlfn.XLOOKUP(A1277,'Video Database'!L:L,'Video Database'!G:G,"")</f>
        <v>Medicube Kojic Accid Tumeric Pads</v>
      </c>
      <c r="E1277" s="100">
        <f t="array" ref="E1277">_xlfn.XLOOKUP(A1277,'Video Database'!L:L,'Video Database'!H:H,"")</f>
        <v>0.7337</v>
      </c>
      <c r="F1277" s="101"/>
      <c r="G1277" s="87"/>
      <c r="H1277" s="114">
        <f t="array" ref="H1277">_xlfn.XLOOKUP(A1277,'Video Database'!L:L,'Video Database'!A:A,"")</f>
        <v>46206</v>
      </c>
      <c r="I1277" s="103"/>
      <c r="J1277" s="104"/>
      <c r="K1277" s="105"/>
      <c r="L1277" s="105" t="str">
        <f t="shared" si="13"/>
        <v/>
      </c>
      <c r="O1277" s="106" t="str">
        <f t="shared" si="2"/>
        <v>#N/A</v>
      </c>
      <c r="P1277" s="106" t="str">
        <f t="shared" si="3"/>
        <v>#N/A</v>
      </c>
      <c r="Q1277" s="84" t="str">
        <f t="shared" si="4"/>
        <v>#N/A</v>
      </c>
      <c r="R1277" s="84" t="str">
        <f t="shared" si="5"/>
        <v>#N/A</v>
      </c>
      <c r="S1277" s="107">
        <f t="shared" si="6"/>
        <v>-0.7337</v>
      </c>
      <c r="T1277" s="108">
        <f t="shared" si="7"/>
        <v>-1</v>
      </c>
      <c r="U1277" s="106" t="str">
        <f t="shared" si="8"/>
        <v>#N/A</v>
      </c>
      <c r="V1277" s="84" t="str">
        <f t="shared" si="9"/>
        <v/>
      </c>
      <c r="W1277" s="109" t="str">
        <f t="shared" si="10"/>
        <v/>
      </c>
      <c r="X1277" s="109" t="str">
        <f t="shared" si="11"/>
        <v/>
      </c>
      <c r="Y1277" s="110" t="str">
        <f t="array" ref="Y1277">_xlfn.XLOOKUP(A1277,'Video Database'!L:L,'Video Database'!M:M,"")</f>
        <v>Bottom of Funnel</v>
      </c>
    </row>
    <row r="1278" ht="22.5" customHeight="1">
      <c r="A1278" s="113">
        <f t="shared" si="12"/>
        <v>1277</v>
      </c>
      <c r="B1278" s="98" t="str">
        <f t="array" ref="B1278">_xlfn.XLOOKUP(A1278,'Video Database'!L:L,'Video Database'!D:D,"")</f>
        <v>Sierra</v>
      </c>
      <c r="C1278" s="98" t="str">
        <f t="array" ref="C1278">_xlfn.XLOOKUP(A1278,'Video Database'!L:L,'Video Database'!E:E,"")</f>
        <v>Account 1</v>
      </c>
      <c r="D1278" s="99" t="str">
        <f t="array" ref="D1278">_xlfn.XLOOKUP(A1278,'Video Database'!L:L,'Video Database'!G:G,"")</f>
        <v>SKIN1004 Hyla-Cica Water Fit Sunscreen</v>
      </c>
      <c r="E1278" s="100">
        <f t="array" ref="E1278">_xlfn.XLOOKUP(A1278,'Video Database'!L:L,'Video Database'!H:H,"")</f>
        <v>1.1</v>
      </c>
      <c r="F1278" s="101"/>
      <c r="G1278" s="87"/>
      <c r="H1278" s="114">
        <f t="array" ref="H1278">_xlfn.XLOOKUP(A1278,'Video Database'!L:L,'Video Database'!A:A,"")</f>
        <v>46206</v>
      </c>
      <c r="I1278" s="103"/>
      <c r="J1278" s="104"/>
      <c r="K1278" s="105"/>
      <c r="L1278" s="105" t="str">
        <f t="shared" si="13"/>
        <v/>
      </c>
      <c r="O1278" s="106" t="str">
        <f t="shared" si="2"/>
        <v>#N/A</v>
      </c>
      <c r="P1278" s="106" t="str">
        <f t="shared" si="3"/>
        <v>#N/A</v>
      </c>
      <c r="Q1278" s="84" t="str">
        <f t="shared" si="4"/>
        <v>#N/A</v>
      </c>
      <c r="R1278" s="84" t="str">
        <f t="shared" si="5"/>
        <v>#N/A</v>
      </c>
      <c r="S1278" s="107">
        <f t="shared" si="6"/>
        <v>-1.1</v>
      </c>
      <c r="T1278" s="108">
        <f t="shared" si="7"/>
        <v>-1</v>
      </c>
      <c r="U1278" s="106" t="str">
        <f t="shared" si="8"/>
        <v>#N/A</v>
      </c>
      <c r="V1278" s="84" t="str">
        <f t="shared" si="9"/>
        <v/>
      </c>
      <c r="W1278" s="109" t="str">
        <f t="shared" si="10"/>
        <v/>
      </c>
      <c r="X1278" s="109" t="str">
        <f t="shared" si="11"/>
        <v/>
      </c>
      <c r="Y1278" s="110" t="str">
        <f t="array" ref="Y1278">_xlfn.XLOOKUP(A1278,'Video Database'!L:L,'Video Database'!M:M,"")</f>
        <v>Middle of Funnel</v>
      </c>
    </row>
    <row r="1279" ht="22.5" customHeight="1">
      <c r="A1279" s="113">
        <f t="shared" si="12"/>
        <v>1278</v>
      </c>
      <c r="B1279" s="98" t="str">
        <f t="array" ref="B1279">_xlfn.XLOOKUP(A1279,'Video Database'!L:L,'Video Database'!D:D,"")</f>
        <v>Erin</v>
      </c>
      <c r="C1279" s="98" t="str">
        <f t="array" ref="C1279">_xlfn.XLOOKUP(A1279,'Video Database'!L:L,'Video Database'!E:E,"")</f>
        <v>Account 1</v>
      </c>
      <c r="D1279" s="99" t="str">
        <f t="array" ref="D1279">_xlfn.XLOOKUP(A1279,'Video Database'!L:L,'Video Database'!G:G,"")</f>
        <v>Faux Pearl Decorated Link Bracelet</v>
      </c>
      <c r="E1279" s="100">
        <f t="array" ref="E1279">_xlfn.XLOOKUP(A1279,'Video Database'!L:L,'Video Database'!H:H,"")</f>
        <v>0.7337</v>
      </c>
      <c r="F1279" s="101"/>
      <c r="G1279" s="87"/>
      <c r="H1279" s="114">
        <f t="array" ref="H1279">_xlfn.XLOOKUP(A1279,'Video Database'!L:L,'Video Database'!A:A,"")</f>
        <v>46206</v>
      </c>
      <c r="I1279" s="103"/>
      <c r="J1279" s="104"/>
      <c r="K1279" s="105"/>
      <c r="L1279" s="105" t="str">
        <f t="shared" si="13"/>
        <v/>
      </c>
      <c r="O1279" s="106" t="str">
        <f t="shared" si="2"/>
        <v>#N/A</v>
      </c>
      <c r="P1279" s="106" t="str">
        <f t="shared" si="3"/>
        <v>#N/A</v>
      </c>
      <c r="Q1279" s="84" t="str">
        <f t="shared" si="4"/>
        <v>#N/A</v>
      </c>
      <c r="R1279" s="84" t="str">
        <f t="shared" si="5"/>
        <v>#N/A</v>
      </c>
      <c r="S1279" s="107">
        <f t="shared" si="6"/>
        <v>-0.7337</v>
      </c>
      <c r="T1279" s="108">
        <f t="shared" si="7"/>
        <v>-1</v>
      </c>
      <c r="U1279" s="106" t="str">
        <f t="shared" si="8"/>
        <v>#N/A</v>
      </c>
      <c r="V1279" s="84" t="str">
        <f t="shared" si="9"/>
        <v/>
      </c>
      <c r="W1279" s="109" t="str">
        <f t="shared" si="10"/>
        <v/>
      </c>
      <c r="X1279" s="109" t="str">
        <f t="shared" si="11"/>
        <v/>
      </c>
      <c r="Y1279" s="110" t="str">
        <f t="array" ref="Y1279">_xlfn.XLOOKUP(A1279,'Video Database'!L:L,'Video Database'!M:M,"")</f>
        <v>Bottom of Funnel</v>
      </c>
    </row>
    <row r="1280" ht="22.5" customHeight="1">
      <c r="A1280" s="113">
        <f t="shared" si="12"/>
        <v>1279</v>
      </c>
      <c r="B1280" s="98" t="str">
        <f t="array" ref="B1280">_xlfn.XLOOKUP(A1280,'Video Database'!L:L,'Video Database'!D:D,"")</f>
        <v>Sierra</v>
      </c>
      <c r="C1280" s="98" t="str">
        <f t="array" ref="C1280">_xlfn.XLOOKUP(A1280,'Video Database'!L:L,'Video Database'!E:E,"")</f>
        <v>Account 1</v>
      </c>
      <c r="D1280" s="99" t="str">
        <f t="array" ref="D1280">_xlfn.XLOOKUP(A1280,'Video Database'!L:L,'Video Database'!G:G,"")</f>
        <v>Taste Salud Skin + Beauty Drink Mix</v>
      </c>
      <c r="E1280" s="100">
        <f t="array" ref="E1280">_xlfn.XLOOKUP(A1280,'Video Database'!L:L,'Video Database'!H:H,"")</f>
        <v>1.1</v>
      </c>
      <c r="F1280" s="101"/>
      <c r="G1280" s="87"/>
      <c r="H1280" s="114">
        <f t="array" ref="H1280">_xlfn.XLOOKUP(A1280,'Video Database'!L:L,'Video Database'!A:A,"")</f>
        <v>46206</v>
      </c>
      <c r="I1280" s="103"/>
      <c r="J1280" s="104"/>
      <c r="K1280" s="105"/>
      <c r="L1280" s="105" t="str">
        <f t="shared" si="13"/>
        <v/>
      </c>
      <c r="O1280" s="106" t="str">
        <f t="shared" si="2"/>
        <v>#N/A</v>
      </c>
      <c r="P1280" s="106" t="str">
        <f t="shared" si="3"/>
        <v>#N/A</v>
      </c>
      <c r="Q1280" s="84" t="str">
        <f t="shared" si="4"/>
        <v>#N/A</v>
      </c>
      <c r="R1280" s="84" t="str">
        <f t="shared" si="5"/>
        <v>#N/A</v>
      </c>
      <c r="S1280" s="107">
        <f t="shared" si="6"/>
        <v>-1.1</v>
      </c>
      <c r="T1280" s="108">
        <f t="shared" si="7"/>
        <v>-1</v>
      </c>
      <c r="U1280" s="106" t="str">
        <f t="shared" si="8"/>
        <v>#N/A</v>
      </c>
      <c r="V1280" s="84" t="str">
        <f t="shared" si="9"/>
        <v/>
      </c>
      <c r="W1280" s="109" t="str">
        <f t="shared" si="10"/>
        <v/>
      </c>
      <c r="X1280" s="109" t="str">
        <f t="shared" si="11"/>
        <v/>
      </c>
      <c r="Y1280" s="110" t="str">
        <f t="array" ref="Y1280">_xlfn.XLOOKUP(A1280,'Video Database'!L:L,'Video Database'!M:M,"")</f>
        <v>Middle of Funnel</v>
      </c>
    </row>
    <row r="1281" ht="22.5" customHeight="1">
      <c r="A1281" s="113">
        <f t="shared" si="12"/>
        <v>1280</v>
      </c>
      <c r="B1281" s="98" t="str">
        <f t="array" ref="B1281">_xlfn.XLOOKUP(A1281,'Video Database'!L:L,'Video Database'!D:D,"")</f>
        <v>Brittney</v>
      </c>
      <c r="C1281" s="98" t="str">
        <f t="array" ref="C1281">_xlfn.XLOOKUP(A1281,'Video Database'!L:L,'Video Database'!E:E,"")</f>
        <v>Account 1</v>
      </c>
      <c r="D1281" s="99" t="str">
        <f t="array" ref="D1281">_xlfn.XLOOKUP(A1281,'Video Database'!L:L,'Video Database'!G:G,"")</f>
        <v>Gruns Greens Popsicle Firecracker Gummies</v>
      </c>
      <c r="E1281" s="100">
        <f t="array" ref="E1281">_xlfn.XLOOKUP(A1281,'Video Database'!L:L,'Video Database'!H:H,"")</f>
        <v>0.11</v>
      </c>
      <c r="F1281" s="101"/>
      <c r="G1281" s="87"/>
      <c r="H1281" s="114">
        <f t="array" ref="H1281">_xlfn.XLOOKUP(A1281,'Video Database'!L:L,'Video Database'!A:A,"")</f>
        <v>46206</v>
      </c>
      <c r="I1281" s="103"/>
      <c r="J1281" s="104"/>
      <c r="K1281" s="105"/>
      <c r="L1281" s="105" t="str">
        <f t="shared" si="13"/>
        <v/>
      </c>
      <c r="O1281" s="106" t="str">
        <f t="shared" si="2"/>
        <v>#N/A</v>
      </c>
      <c r="P1281" s="106" t="str">
        <f t="shared" si="3"/>
        <v>#N/A</v>
      </c>
      <c r="Q1281" s="84" t="str">
        <f t="shared" si="4"/>
        <v>#N/A</v>
      </c>
      <c r="R1281" s="84" t="str">
        <f t="shared" si="5"/>
        <v>#N/A</v>
      </c>
      <c r="S1281" s="107">
        <f t="shared" si="6"/>
        <v>-0.11</v>
      </c>
      <c r="T1281" s="108">
        <f t="shared" si="7"/>
        <v>-1</v>
      </c>
      <c r="U1281" s="106" t="str">
        <f t="shared" si="8"/>
        <v>#N/A</v>
      </c>
      <c r="V1281" s="84" t="str">
        <f t="shared" si="9"/>
        <v/>
      </c>
      <c r="W1281" s="109" t="str">
        <f t="shared" si="10"/>
        <v/>
      </c>
      <c r="X1281" s="109" t="str">
        <f t="shared" si="11"/>
        <v/>
      </c>
      <c r="Y1281" s="110" t="str">
        <f t="array" ref="Y1281">_xlfn.XLOOKUP(A1281,'Video Database'!L:L,'Video Database'!M:M,"")</f>
        <v>Bottom of Funnel</v>
      </c>
    </row>
    <row r="1282" ht="22.5" customHeight="1">
      <c r="A1282" s="113">
        <f t="shared" si="12"/>
        <v>1281</v>
      </c>
      <c r="B1282" s="98" t="str">
        <f t="array" ref="B1282">_xlfn.XLOOKUP(A1282,'Video Database'!L:L,'Video Database'!D:D,"")</f>
        <v>Brittney</v>
      </c>
      <c r="C1282" s="98" t="str">
        <f t="array" ref="C1282">_xlfn.XLOOKUP(A1282,'Video Database'!L:L,'Video Database'!E:E,"")</f>
        <v>Account 1</v>
      </c>
      <c r="D1282" s="99" t="str">
        <f t="array" ref="D1282">_xlfn.XLOOKUP(A1282,'Video Database'!L:L,'Video Database'!G:G,"")</f>
        <v>Gruns Greens Popsicle Firecracker Gummies</v>
      </c>
      <c r="E1282" s="100">
        <f t="array" ref="E1282">_xlfn.XLOOKUP(A1282,'Video Database'!L:L,'Video Database'!H:H,"")</f>
        <v>0.11</v>
      </c>
      <c r="F1282" s="101"/>
      <c r="G1282" s="87"/>
      <c r="H1282" s="114">
        <f t="array" ref="H1282">_xlfn.XLOOKUP(A1282,'Video Database'!L:L,'Video Database'!A:A,"")</f>
        <v>46206</v>
      </c>
      <c r="I1282" s="103"/>
      <c r="J1282" s="104"/>
      <c r="K1282" s="105"/>
      <c r="L1282" s="105" t="str">
        <f t="shared" si="13"/>
        <v/>
      </c>
      <c r="O1282" s="106" t="str">
        <f t="shared" si="2"/>
        <v>#N/A</v>
      </c>
      <c r="P1282" s="106" t="str">
        <f t="shared" si="3"/>
        <v>#N/A</v>
      </c>
      <c r="Q1282" s="84" t="str">
        <f t="shared" si="4"/>
        <v>#N/A</v>
      </c>
      <c r="R1282" s="84" t="str">
        <f t="shared" si="5"/>
        <v>#N/A</v>
      </c>
      <c r="S1282" s="107">
        <f t="shared" si="6"/>
        <v>-0.11</v>
      </c>
      <c r="T1282" s="108">
        <f t="shared" si="7"/>
        <v>-1</v>
      </c>
      <c r="U1282" s="106" t="str">
        <f t="shared" si="8"/>
        <v>#N/A</v>
      </c>
      <c r="V1282" s="84" t="str">
        <f t="shared" si="9"/>
        <v/>
      </c>
      <c r="W1282" s="109" t="str">
        <f t="shared" si="10"/>
        <v/>
      </c>
      <c r="X1282" s="109" t="str">
        <f t="shared" si="11"/>
        <v/>
      </c>
      <c r="Y1282" s="110" t="str">
        <f t="array" ref="Y1282">_xlfn.XLOOKUP(A1282,'Video Database'!L:L,'Video Database'!M:M,"")</f>
        <v>Bottom of Funnel</v>
      </c>
    </row>
    <row r="1283" ht="22.5" customHeight="1">
      <c r="A1283" s="113">
        <f t="shared" si="12"/>
        <v>1282</v>
      </c>
      <c r="B1283" s="98" t="str">
        <f t="array" ref="B1283">_xlfn.XLOOKUP(A1283,'Video Database'!L:L,'Video Database'!D:D,"")</f>
        <v>Erin</v>
      </c>
      <c r="C1283" s="98" t="str">
        <f t="array" ref="C1283">_xlfn.XLOOKUP(A1283,'Video Database'!L:L,'Video Database'!E:E,"")</f>
        <v>Account 1</v>
      </c>
      <c r="D1283" s="99" t="str">
        <f t="array" ref="D1283">_xlfn.XLOOKUP(A1283,'Video Database'!L:L,'Video Database'!G:G,"")</f>
        <v>XL Microfiber Towel</v>
      </c>
      <c r="E1283" s="100">
        <f t="array" ref="E1283">_xlfn.XLOOKUP(A1283,'Video Database'!L:L,'Video Database'!H:H,"")</f>
        <v>0.7337</v>
      </c>
      <c r="F1283" s="101"/>
      <c r="G1283" s="87"/>
      <c r="H1283" s="114">
        <f t="array" ref="H1283">_xlfn.XLOOKUP(A1283,'Video Database'!L:L,'Video Database'!A:A,"")</f>
        <v>46206</v>
      </c>
      <c r="I1283" s="103"/>
      <c r="J1283" s="104"/>
      <c r="K1283" s="105"/>
      <c r="L1283" s="105" t="str">
        <f t="shared" si="13"/>
        <v/>
      </c>
      <c r="O1283" s="106" t="str">
        <f t="shared" si="2"/>
        <v>#N/A</v>
      </c>
      <c r="P1283" s="106" t="str">
        <f t="shared" si="3"/>
        <v>#N/A</v>
      </c>
      <c r="Q1283" s="84" t="str">
        <f t="shared" si="4"/>
        <v>#N/A</v>
      </c>
      <c r="R1283" s="84" t="str">
        <f t="shared" si="5"/>
        <v>#N/A</v>
      </c>
      <c r="S1283" s="107">
        <f t="shared" si="6"/>
        <v>-0.7337</v>
      </c>
      <c r="T1283" s="108">
        <f t="shared" si="7"/>
        <v>-1</v>
      </c>
      <c r="U1283" s="106" t="str">
        <f t="shared" si="8"/>
        <v>#N/A</v>
      </c>
      <c r="V1283" s="84" t="str">
        <f t="shared" si="9"/>
        <v/>
      </c>
      <c r="W1283" s="109" t="str">
        <f t="shared" si="10"/>
        <v/>
      </c>
      <c r="X1283" s="109" t="str">
        <f t="shared" si="11"/>
        <v/>
      </c>
      <c r="Y1283" s="110" t="str">
        <f t="array" ref="Y1283">_xlfn.XLOOKUP(A1283,'Video Database'!L:L,'Video Database'!M:M,"")</f>
        <v>Bottom of Funnel</v>
      </c>
    </row>
    <row r="1284" ht="22.5" customHeight="1">
      <c r="A1284" s="113">
        <f t="shared" si="12"/>
        <v>1283</v>
      </c>
      <c r="B1284" s="98" t="str">
        <f t="array" ref="B1284">_xlfn.XLOOKUP(A1284,'Video Database'!L:L,'Video Database'!D:D,"")</f>
        <v>Sierra</v>
      </c>
      <c r="C1284" s="98" t="str">
        <f t="array" ref="C1284">_xlfn.XLOOKUP(A1284,'Video Database'!L:L,'Video Database'!E:E,"")</f>
        <v>Account 2</v>
      </c>
      <c r="D1284" s="99" t="str">
        <f t="array" ref="D1284">_xlfn.XLOOKUP(A1284,'Video Database'!L:L,'Video Database'!G:G,"")</f>
        <v>Taste Salud Skin + Beauty Drink Mix</v>
      </c>
      <c r="E1284" s="100">
        <f t="array" ref="E1284">_xlfn.XLOOKUP(A1284,'Video Database'!L:L,'Video Database'!H:H,"")</f>
        <v>1.1</v>
      </c>
      <c r="F1284" s="101"/>
      <c r="G1284" s="87"/>
      <c r="H1284" s="114">
        <f t="array" ref="H1284">_xlfn.XLOOKUP(A1284,'Video Database'!L:L,'Video Database'!A:A,"")</f>
        <v>46206</v>
      </c>
      <c r="I1284" s="103"/>
      <c r="J1284" s="104"/>
      <c r="K1284" s="105"/>
      <c r="L1284" s="105" t="str">
        <f t="shared" si="13"/>
        <v/>
      </c>
      <c r="O1284" s="106" t="str">
        <f t="shared" si="2"/>
        <v>#N/A</v>
      </c>
      <c r="P1284" s="106" t="str">
        <f t="shared" si="3"/>
        <v>#N/A</v>
      </c>
      <c r="Q1284" s="84" t="str">
        <f t="shared" si="4"/>
        <v>#N/A</v>
      </c>
      <c r="R1284" s="84" t="str">
        <f t="shared" si="5"/>
        <v>#N/A</v>
      </c>
      <c r="S1284" s="107">
        <f t="shared" si="6"/>
        <v>-1.1</v>
      </c>
      <c r="T1284" s="108">
        <f t="shared" si="7"/>
        <v>-1</v>
      </c>
      <c r="U1284" s="106" t="str">
        <f t="shared" si="8"/>
        <v>#N/A</v>
      </c>
      <c r="V1284" s="84" t="str">
        <f t="shared" si="9"/>
        <v/>
      </c>
      <c r="W1284" s="109" t="str">
        <f t="shared" si="10"/>
        <v/>
      </c>
      <c r="X1284" s="109" t="str">
        <f t="shared" si="11"/>
        <v/>
      </c>
      <c r="Y1284" s="110" t="str">
        <f t="array" ref="Y1284">_xlfn.XLOOKUP(A1284,'Video Database'!L:L,'Video Database'!M:M,"")</f>
        <v>Middle of Funnel</v>
      </c>
    </row>
    <row r="1285" ht="22.5" customHeight="1">
      <c r="A1285" s="113">
        <f t="shared" si="12"/>
        <v>1284</v>
      </c>
      <c r="B1285" s="98" t="str">
        <f t="array" ref="B1285">_xlfn.XLOOKUP(A1285,'Video Database'!L:L,'Video Database'!D:D,"")</f>
        <v>Erin</v>
      </c>
      <c r="C1285" s="98" t="str">
        <f t="array" ref="C1285">_xlfn.XLOOKUP(A1285,'Video Database'!L:L,'Video Database'!E:E,"")</f>
        <v>Account 2</v>
      </c>
      <c r="D1285" s="99" t="str">
        <f t="array" ref="D1285">_xlfn.XLOOKUP(A1285,'Video Database'!L:L,'Video Database'!G:G,"")</f>
        <v>Medicube Kojic Accid Tumeric Pads</v>
      </c>
      <c r="E1285" s="100">
        <f t="array" ref="E1285">_xlfn.XLOOKUP(A1285,'Video Database'!L:L,'Video Database'!H:H,"")</f>
        <v>0.7337</v>
      </c>
      <c r="F1285" s="101"/>
      <c r="G1285" s="87"/>
      <c r="H1285" s="114">
        <f t="array" ref="H1285">_xlfn.XLOOKUP(A1285,'Video Database'!L:L,'Video Database'!A:A,"")</f>
        <v>46206</v>
      </c>
      <c r="I1285" s="103"/>
      <c r="J1285" s="104"/>
      <c r="K1285" s="105"/>
      <c r="L1285" s="105" t="str">
        <f t="shared" si="13"/>
        <v/>
      </c>
      <c r="O1285" s="106" t="str">
        <f t="shared" si="2"/>
        <v>#N/A</v>
      </c>
      <c r="P1285" s="106" t="str">
        <f t="shared" si="3"/>
        <v>#N/A</v>
      </c>
      <c r="Q1285" s="84" t="str">
        <f t="shared" si="4"/>
        <v>#N/A</v>
      </c>
      <c r="R1285" s="84" t="str">
        <f t="shared" si="5"/>
        <v>#N/A</v>
      </c>
      <c r="S1285" s="107">
        <f t="shared" si="6"/>
        <v>-0.7337</v>
      </c>
      <c r="T1285" s="108">
        <f t="shared" si="7"/>
        <v>-1</v>
      </c>
      <c r="U1285" s="106" t="str">
        <f t="shared" si="8"/>
        <v>#N/A</v>
      </c>
      <c r="V1285" s="84" t="str">
        <f t="shared" si="9"/>
        <v/>
      </c>
      <c r="W1285" s="109" t="str">
        <f t="shared" si="10"/>
        <v/>
      </c>
      <c r="X1285" s="109" t="str">
        <f t="shared" si="11"/>
        <v/>
      </c>
      <c r="Y1285" s="110" t="str">
        <f t="array" ref="Y1285">_xlfn.XLOOKUP(A1285,'Video Database'!L:L,'Video Database'!M:M,"")</f>
        <v>Bottom of Funnel</v>
      </c>
    </row>
    <row r="1286" ht="22.5" customHeight="1">
      <c r="A1286" s="113">
        <f t="shared" si="12"/>
        <v>1285</v>
      </c>
      <c r="B1286" s="98" t="str">
        <f t="array" ref="B1286">_xlfn.XLOOKUP(A1286,'Video Database'!L:L,'Video Database'!D:D,"")</f>
        <v>Brittney</v>
      </c>
      <c r="C1286" s="98" t="str">
        <f t="array" ref="C1286">_xlfn.XLOOKUP(A1286,'Video Database'!L:L,'Video Database'!E:E,"")</f>
        <v>Account 2</v>
      </c>
      <c r="D1286" s="99" t="str">
        <f t="array" ref="D1286">_xlfn.XLOOKUP(A1286,'Video Database'!L:L,'Video Database'!G:G,"")</f>
        <v>Gruns Greens Popsicle Firecracker Gummies</v>
      </c>
      <c r="E1286" s="100">
        <f t="array" ref="E1286">_xlfn.XLOOKUP(A1286,'Video Database'!L:L,'Video Database'!H:H,"")</f>
        <v>0.11</v>
      </c>
      <c r="F1286" s="101"/>
      <c r="G1286" s="87"/>
      <c r="H1286" s="114">
        <f t="array" ref="H1286">_xlfn.XLOOKUP(A1286,'Video Database'!L:L,'Video Database'!A:A,"")</f>
        <v>46206</v>
      </c>
      <c r="I1286" s="103"/>
      <c r="J1286" s="104"/>
      <c r="K1286" s="105"/>
      <c r="L1286" s="105" t="str">
        <f t="shared" si="13"/>
        <v/>
      </c>
      <c r="O1286" s="106" t="str">
        <f t="shared" si="2"/>
        <v>#N/A</v>
      </c>
      <c r="P1286" s="106" t="str">
        <f t="shared" si="3"/>
        <v>#N/A</v>
      </c>
      <c r="Q1286" s="84" t="str">
        <f t="shared" si="4"/>
        <v>#N/A</v>
      </c>
      <c r="R1286" s="84" t="str">
        <f t="shared" si="5"/>
        <v>#N/A</v>
      </c>
      <c r="S1286" s="107">
        <f t="shared" si="6"/>
        <v>-0.11</v>
      </c>
      <c r="T1286" s="108">
        <f t="shared" si="7"/>
        <v>-1</v>
      </c>
      <c r="U1286" s="106" t="str">
        <f t="shared" si="8"/>
        <v>#N/A</v>
      </c>
      <c r="V1286" s="84" t="str">
        <f t="shared" si="9"/>
        <v/>
      </c>
      <c r="W1286" s="109" t="str">
        <f t="shared" si="10"/>
        <v/>
      </c>
      <c r="X1286" s="109" t="str">
        <f t="shared" si="11"/>
        <v/>
      </c>
      <c r="Y1286" s="110" t="str">
        <f t="array" ref="Y1286">_xlfn.XLOOKUP(A1286,'Video Database'!L:L,'Video Database'!M:M,"")</f>
        <v>Bottom of Funnel</v>
      </c>
    </row>
    <row r="1287" ht="22.5" customHeight="1">
      <c r="A1287" s="113">
        <f t="shared" si="12"/>
        <v>1286</v>
      </c>
      <c r="B1287" s="98" t="str">
        <f t="array" ref="B1287">_xlfn.XLOOKUP(A1287,'Video Database'!L:L,'Video Database'!D:D,"")</f>
        <v>Erin</v>
      </c>
      <c r="C1287" s="98" t="str">
        <f t="array" ref="C1287">_xlfn.XLOOKUP(A1287,'Video Database'!L:L,'Video Database'!E:E,"")</f>
        <v>Account 2</v>
      </c>
      <c r="D1287" s="99" t="str">
        <f t="array" ref="D1287">_xlfn.XLOOKUP(A1287,'Video Database'!L:L,'Video Database'!G:G,"")</f>
        <v>Carovo Hoop Earrings Set</v>
      </c>
      <c r="E1287" s="100">
        <f t="array" ref="E1287">_xlfn.XLOOKUP(A1287,'Video Database'!L:L,'Video Database'!H:H,"")</f>
        <v>0.7337</v>
      </c>
      <c r="F1287" s="101"/>
      <c r="G1287" s="87"/>
      <c r="H1287" s="114">
        <f t="array" ref="H1287">_xlfn.XLOOKUP(A1287,'Video Database'!L:L,'Video Database'!A:A,"")</f>
        <v>46206</v>
      </c>
      <c r="I1287" s="103"/>
      <c r="J1287" s="104"/>
      <c r="K1287" s="105"/>
      <c r="L1287" s="105" t="str">
        <f t="shared" si="13"/>
        <v/>
      </c>
      <c r="O1287" s="106" t="str">
        <f t="shared" si="2"/>
        <v>#N/A</v>
      </c>
      <c r="P1287" s="106" t="str">
        <f t="shared" si="3"/>
        <v>#N/A</v>
      </c>
      <c r="Q1287" s="84" t="str">
        <f t="shared" si="4"/>
        <v>#N/A</v>
      </c>
      <c r="R1287" s="84" t="str">
        <f t="shared" si="5"/>
        <v>#N/A</v>
      </c>
      <c r="S1287" s="107">
        <f t="shared" si="6"/>
        <v>-0.7337</v>
      </c>
      <c r="T1287" s="108">
        <f t="shared" si="7"/>
        <v>-1</v>
      </c>
      <c r="U1287" s="106" t="str">
        <f t="shared" si="8"/>
        <v>#N/A</v>
      </c>
      <c r="V1287" s="84" t="str">
        <f t="shared" si="9"/>
        <v/>
      </c>
      <c r="W1287" s="109" t="str">
        <f t="shared" si="10"/>
        <v/>
      </c>
      <c r="X1287" s="109" t="str">
        <f t="shared" si="11"/>
        <v/>
      </c>
      <c r="Y1287" s="110" t="str">
        <f t="array" ref="Y1287">_xlfn.XLOOKUP(A1287,'Video Database'!L:L,'Video Database'!M:M,"")</f>
        <v>Bottom of Funnel</v>
      </c>
    </row>
    <row r="1288" ht="22.5" customHeight="1">
      <c r="A1288" s="113">
        <f t="shared" si="12"/>
        <v>1287</v>
      </c>
      <c r="B1288" s="98" t="str">
        <f t="array" ref="B1288">_xlfn.XLOOKUP(A1288,'Video Database'!L:L,'Video Database'!D:D,"")</f>
        <v>Erin</v>
      </c>
      <c r="C1288" s="98" t="str">
        <f t="array" ref="C1288">_xlfn.XLOOKUP(A1288,'Video Database'!L:L,'Video Database'!E:E,"")</f>
        <v>Account 2</v>
      </c>
      <c r="D1288" s="99" t="str">
        <f t="array" ref="D1288">_xlfn.XLOOKUP(A1288,'Video Database'!L:L,'Video Database'!G:G,"")</f>
        <v>Kaja Beauty 3-in-1 Eyeshadow Stack</v>
      </c>
      <c r="E1288" s="100">
        <f t="array" ref="E1288">_xlfn.XLOOKUP(A1288,'Video Database'!L:L,'Video Database'!H:H,"")</f>
        <v>0.7337</v>
      </c>
      <c r="F1288" s="101"/>
      <c r="G1288" s="87"/>
      <c r="H1288" s="114">
        <f t="array" ref="H1288">_xlfn.XLOOKUP(A1288,'Video Database'!L:L,'Video Database'!A:A,"")</f>
        <v>46206</v>
      </c>
      <c r="I1288" s="103"/>
      <c r="J1288" s="104"/>
      <c r="K1288" s="105"/>
      <c r="L1288" s="105" t="str">
        <f t="shared" si="13"/>
        <v/>
      </c>
      <c r="O1288" s="106" t="str">
        <f t="shared" si="2"/>
        <v>#N/A</v>
      </c>
      <c r="P1288" s="106" t="str">
        <f t="shared" si="3"/>
        <v>#N/A</v>
      </c>
      <c r="Q1288" s="84" t="str">
        <f t="shared" si="4"/>
        <v>#N/A</v>
      </c>
      <c r="R1288" s="84" t="str">
        <f t="shared" si="5"/>
        <v>#N/A</v>
      </c>
      <c r="S1288" s="107">
        <f t="shared" si="6"/>
        <v>-0.7337</v>
      </c>
      <c r="T1288" s="108">
        <f t="shared" si="7"/>
        <v>-1</v>
      </c>
      <c r="U1288" s="106" t="str">
        <f t="shared" si="8"/>
        <v>#N/A</v>
      </c>
      <c r="V1288" s="84" t="str">
        <f t="shared" si="9"/>
        <v/>
      </c>
      <c r="W1288" s="109" t="str">
        <f t="shared" si="10"/>
        <v/>
      </c>
      <c r="X1288" s="109" t="str">
        <f t="shared" si="11"/>
        <v/>
      </c>
      <c r="Y1288" s="110" t="str">
        <f t="array" ref="Y1288">_xlfn.XLOOKUP(A1288,'Video Database'!L:L,'Video Database'!M:M,"")</f>
        <v>Bottom of Funnel</v>
      </c>
    </row>
    <row r="1289" ht="22.5" customHeight="1">
      <c r="A1289" s="113">
        <f t="shared" si="12"/>
        <v>1288</v>
      </c>
      <c r="B1289" s="98" t="str">
        <f t="array" ref="B1289">_xlfn.XLOOKUP(A1289,'Video Database'!L:L,'Video Database'!D:D,"")</f>
        <v>Sierra</v>
      </c>
      <c r="C1289" s="98" t="str">
        <f t="array" ref="C1289">_xlfn.XLOOKUP(A1289,'Video Database'!L:L,'Video Database'!E:E,"")</f>
        <v>Account 2</v>
      </c>
      <c r="D1289" s="99" t="str">
        <f t="array" ref="D1289">_xlfn.XLOOKUP(A1289,'Video Database'!L:L,'Video Database'!G:G,"")</f>
        <v>SKIN1004 Hyla-Cica Water Fit Sunscreen</v>
      </c>
      <c r="E1289" s="100">
        <f t="array" ref="E1289">_xlfn.XLOOKUP(A1289,'Video Database'!L:L,'Video Database'!H:H,"")</f>
        <v>1.1</v>
      </c>
      <c r="F1289" s="101"/>
      <c r="G1289" s="87"/>
      <c r="H1289" s="114">
        <f t="array" ref="H1289">_xlfn.XLOOKUP(A1289,'Video Database'!L:L,'Video Database'!A:A,"")</f>
        <v>46206</v>
      </c>
      <c r="I1289" s="103"/>
      <c r="J1289" s="104"/>
      <c r="K1289" s="105"/>
      <c r="L1289" s="105" t="str">
        <f t="shared" si="13"/>
        <v/>
      </c>
      <c r="O1289" s="106" t="str">
        <f t="shared" si="2"/>
        <v>#N/A</v>
      </c>
      <c r="P1289" s="106" t="str">
        <f t="shared" si="3"/>
        <v>#N/A</v>
      </c>
      <c r="Q1289" s="84" t="str">
        <f t="shared" si="4"/>
        <v>#N/A</v>
      </c>
      <c r="R1289" s="84" t="str">
        <f t="shared" si="5"/>
        <v>#N/A</v>
      </c>
      <c r="S1289" s="107">
        <f t="shared" si="6"/>
        <v>-1.1</v>
      </c>
      <c r="T1289" s="108">
        <f t="shared" si="7"/>
        <v>-1</v>
      </c>
      <c r="U1289" s="106" t="str">
        <f t="shared" si="8"/>
        <v>#N/A</v>
      </c>
      <c r="V1289" s="84" t="str">
        <f t="shared" si="9"/>
        <v/>
      </c>
      <c r="W1289" s="109" t="str">
        <f t="shared" si="10"/>
        <v/>
      </c>
      <c r="X1289" s="109" t="str">
        <f t="shared" si="11"/>
        <v/>
      </c>
      <c r="Y1289" s="110" t="str">
        <f t="array" ref="Y1289">_xlfn.XLOOKUP(A1289,'Video Database'!L:L,'Video Database'!M:M,"")</f>
        <v>Middle of Funnel</v>
      </c>
    </row>
    <row r="1290" ht="22.5" customHeight="1">
      <c r="A1290" s="113">
        <f t="shared" si="12"/>
        <v>1289</v>
      </c>
      <c r="B1290" s="98" t="str">
        <f t="array" ref="B1290">_xlfn.XLOOKUP(A1290,'Video Database'!L:L,'Video Database'!D:D,"")</f>
        <v>Brittney</v>
      </c>
      <c r="C1290" s="98" t="str">
        <f t="array" ref="C1290">_xlfn.XLOOKUP(A1290,'Video Database'!L:L,'Video Database'!E:E,"")</f>
        <v>Account 2</v>
      </c>
      <c r="D1290" s="99" t="str">
        <f t="array" ref="D1290">_xlfn.XLOOKUP(A1290,'Video Database'!L:L,'Video Database'!G:G,"")</f>
        <v>Gruns Greens Popsicle Firecracker Gummies</v>
      </c>
      <c r="E1290" s="100">
        <f t="array" ref="E1290">_xlfn.XLOOKUP(A1290,'Video Database'!L:L,'Video Database'!H:H,"")</f>
        <v>0.11</v>
      </c>
      <c r="F1290" s="101"/>
      <c r="G1290" s="87"/>
      <c r="H1290" s="114">
        <f t="array" ref="H1290">_xlfn.XLOOKUP(A1290,'Video Database'!L:L,'Video Database'!A:A,"")</f>
        <v>46206</v>
      </c>
      <c r="I1290" s="103"/>
      <c r="J1290" s="104"/>
      <c r="K1290" s="105"/>
      <c r="L1290" s="105" t="str">
        <f t="shared" si="13"/>
        <v/>
      </c>
      <c r="O1290" s="106" t="str">
        <f t="shared" si="2"/>
        <v>#N/A</v>
      </c>
      <c r="P1290" s="106" t="str">
        <f t="shared" si="3"/>
        <v>#N/A</v>
      </c>
      <c r="Q1290" s="84" t="str">
        <f t="shared" si="4"/>
        <v>#N/A</v>
      </c>
      <c r="R1290" s="84" t="str">
        <f t="shared" si="5"/>
        <v>#N/A</v>
      </c>
      <c r="S1290" s="107">
        <f t="shared" si="6"/>
        <v>-0.11</v>
      </c>
      <c r="T1290" s="108">
        <f t="shared" si="7"/>
        <v>-1</v>
      </c>
      <c r="U1290" s="106" t="str">
        <f t="shared" si="8"/>
        <v>#N/A</v>
      </c>
      <c r="V1290" s="84" t="str">
        <f t="shared" si="9"/>
        <v/>
      </c>
      <c r="W1290" s="109" t="str">
        <f t="shared" si="10"/>
        <v/>
      </c>
      <c r="X1290" s="109" t="str">
        <f t="shared" si="11"/>
        <v/>
      </c>
      <c r="Y1290" s="110" t="str">
        <f t="array" ref="Y1290">_xlfn.XLOOKUP(A1290,'Video Database'!L:L,'Video Database'!M:M,"")</f>
        <v>Bottom of Funnel</v>
      </c>
    </row>
    <row r="1291" ht="22.5" customHeight="1">
      <c r="A1291" s="113">
        <f t="shared" si="12"/>
        <v>1290</v>
      </c>
      <c r="B1291" s="98" t="str">
        <f t="array" ref="B1291">_xlfn.XLOOKUP(A1291,'Video Database'!L:L,'Video Database'!D:D,"")</f>
        <v>Erin</v>
      </c>
      <c r="C1291" s="98" t="str">
        <f t="array" ref="C1291">_xlfn.XLOOKUP(A1291,'Video Database'!L:L,'Video Database'!E:E,"")</f>
        <v>Account 2</v>
      </c>
      <c r="D1291" s="99" t="str">
        <f t="array" ref="D1291">_xlfn.XLOOKUP(A1291,'Video Database'!L:L,'Video Database'!G:G,"")</f>
        <v>Faux Pearl Decorated Link Bracelet</v>
      </c>
      <c r="E1291" s="100">
        <f t="array" ref="E1291">_xlfn.XLOOKUP(A1291,'Video Database'!L:L,'Video Database'!H:H,"")</f>
        <v>0.7337</v>
      </c>
      <c r="F1291" s="101"/>
      <c r="G1291" s="87"/>
      <c r="H1291" s="114">
        <f t="array" ref="H1291">_xlfn.XLOOKUP(A1291,'Video Database'!L:L,'Video Database'!A:A,"")</f>
        <v>46206</v>
      </c>
      <c r="I1291" s="103"/>
      <c r="J1291" s="104"/>
      <c r="K1291" s="105"/>
      <c r="L1291" s="105" t="str">
        <f t="shared" si="13"/>
        <v/>
      </c>
      <c r="O1291" s="106" t="str">
        <f t="shared" si="2"/>
        <v>#N/A</v>
      </c>
      <c r="P1291" s="106" t="str">
        <f t="shared" si="3"/>
        <v>#N/A</v>
      </c>
      <c r="Q1291" s="84" t="str">
        <f t="shared" si="4"/>
        <v>#N/A</v>
      </c>
      <c r="R1291" s="84" t="str">
        <f t="shared" si="5"/>
        <v>#N/A</v>
      </c>
      <c r="S1291" s="107">
        <f t="shared" si="6"/>
        <v>-0.7337</v>
      </c>
      <c r="T1291" s="108">
        <f t="shared" si="7"/>
        <v>-1</v>
      </c>
      <c r="U1291" s="106" t="str">
        <f t="shared" si="8"/>
        <v>#N/A</v>
      </c>
      <c r="V1291" s="84" t="str">
        <f t="shared" si="9"/>
        <v/>
      </c>
      <c r="W1291" s="109" t="str">
        <f t="shared" si="10"/>
        <v/>
      </c>
      <c r="X1291" s="109" t="str">
        <f t="shared" si="11"/>
        <v/>
      </c>
      <c r="Y1291" s="110" t="str">
        <f t="array" ref="Y1291">_xlfn.XLOOKUP(A1291,'Video Database'!L:L,'Video Database'!M:M,"")</f>
        <v>Bottom of Funnel</v>
      </c>
    </row>
    <row r="1292" ht="22.5" customHeight="1">
      <c r="A1292" s="113">
        <f t="shared" si="12"/>
        <v>1291</v>
      </c>
      <c r="B1292" s="98" t="str">
        <f t="array" ref="B1292">_xlfn.XLOOKUP(A1292,'Video Database'!L:L,'Video Database'!D:D,"")</f>
        <v>Brittney</v>
      </c>
      <c r="C1292" s="98" t="str">
        <f t="array" ref="C1292">_xlfn.XLOOKUP(A1292,'Video Database'!L:L,'Video Database'!E:E,"")</f>
        <v>Account 2</v>
      </c>
      <c r="D1292" s="99" t="str">
        <f t="array" ref="D1292">_xlfn.XLOOKUP(A1292,'Video Database'!L:L,'Video Database'!G:G,"")</f>
        <v>Gruns Greens Popsicle Firecracker Gummies</v>
      </c>
      <c r="E1292" s="100">
        <f t="array" ref="E1292">_xlfn.XLOOKUP(A1292,'Video Database'!L:L,'Video Database'!H:H,"")</f>
        <v>0.11</v>
      </c>
      <c r="F1292" s="101"/>
      <c r="G1292" s="87"/>
      <c r="H1292" s="114">
        <f t="array" ref="H1292">_xlfn.XLOOKUP(A1292,'Video Database'!L:L,'Video Database'!A:A,"")</f>
        <v>46206</v>
      </c>
      <c r="I1292" s="103"/>
      <c r="J1292" s="104"/>
      <c r="K1292" s="105"/>
      <c r="L1292" s="105" t="str">
        <f t="shared" si="13"/>
        <v/>
      </c>
      <c r="O1292" s="106" t="str">
        <f t="shared" si="2"/>
        <v>#N/A</v>
      </c>
      <c r="P1292" s="106" t="str">
        <f t="shared" si="3"/>
        <v>#N/A</v>
      </c>
      <c r="Q1292" s="84" t="str">
        <f t="shared" si="4"/>
        <v>#N/A</v>
      </c>
      <c r="R1292" s="84" t="str">
        <f t="shared" si="5"/>
        <v>#N/A</v>
      </c>
      <c r="S1292" s="107">
        <f t="shared" si="6"/>
        <v>-0.11</v>
      </c>
      <c r="T1292" s="108">
        <f t="shared" si="7"/>
        <v>-1</v>
      </c>
      <c r="U1292" s="106" t="str">
        <f t="shared" si="8"/>
        <v>#N/A</v>
      </c>
      <c r="V1292" s="84" t="str">
        <f t="shared" si="9"/>
        <v/>
      </c>
      <c r="W1292" s="109" t="str">
        <f t="shared" si="10"/>
        <v/>
      </c>
      <c r="X1292" s="109" t="str">
        <f t="shared" si="11"/>
        <v/>
      </c>
      <c r="Y1292" s="110" t="str">
        <f t="array" ref="Y1292">_xlfn.XLOOKUP(A1292,'Video Database'!L:L,'Video Database'!M:M,"")</f>
        <v>Bottom of Funnel</v>
      </c>
    </row>
    <row r="1293" ht="22.5" customHeight="1">
      <c r="A1293" s="113">
        <f t="shared" si="12"/>
        <v>1292</v>
      </c>
      <c r="B1293" s="98" t="str">
        <f t="array" ref="B1293">_xlfn.XLOOKUP(A1293,'Video Database'!L:L,'Video Database'!D:D,"")</f>
        <v>Erin</v>
      </c>
      <c r="C1293" s="98" t="str">
        <f t="array" ref="C1293">_xlfn.XLOOKUP(A1293,'Video Database'!L:L,'Video Database'!E:E,"")</f>
        <v>Account 2</v>
      </c>
      <c r="D1293" s="99" t="str">
        <f t="array" ref="D1293">_xlfn.XLOOKUP(A1293,'Video Database'!L:L,'Video Database'!G:G,"")</f>
        <v>XL Microfiber Towel</v>
      </c>
      <c r="E1293" s="100">
        <f t="array" ref="E1293">_xlfn.XLOOKUP(A1293,'Video Database'!L:L,'Video Database'!H:H,"")</f>
        <v>0.7337</v>
      </c>
      <c r="F1293" s="101"/>
      <c r="G1293" s="87"/>
      <c r="H1293" s="114">
        <f t="array" ref="H1293">_xlfn.XLOOKUP(A1293,'Video Database'!L:L,'Video Database'!A:A,"")</f>
        <v>46206</v>
      </c>
      <c r="I1293" s="103"/>
      <c r="J1293" s="104"/>
      <c r="K1293" s="105"/>
      <c r="L1293" s="105" t="str">
        <f t="shared" si="13"/>
        <v/>
      </c>
      <c r="O1293" s="106" t="str">
        <f t="shared" si="2"/>
        <v>#N/A</v>
      </c>
      <c r="P1293" s="106" t="str">
        <f t="shared" si="3"/>
        <v>#N/A</v>
      </c>
      <c r="Q1293" s="84" t="str">
        <f t="shared" si="4"/>
        <v>#N/A</v>
      </c>
      <c r="R1293" s="84" t="str">
        <f t="shared" si="5"/>
        <v>#N/A</v>
      </c>
      <c r="S1293" s="107">
        <f t="shared" si="6"/>
        <v>-0.7337</v>
      </c>
      <c r="T1293" s="108">
        <f t="shared" si="7"/>
        <v>-1</v>
      </c>
      <c r="U1293" s="106" t="str">
        <f t="shared" si="8"/>
        <v>#N/A</v>
      </c>
      <c r="V1293" s="84" t="str">
        <f t="shared" si="9"/>
        <v/>
      </c>
      <c r="W1293" s="109" t="str">
        <f t="shared" si="10"/>
        <v/>
      </c>
      <c r="X1293" s="109" t="str">
        <f t="shared" si="11"/>
        <v/>
      </c>
      <c r="Y1293" s="110" t="str">
        <f t="array" ref="Y1293">_xlfn.XLOOKUP(A1293,'Video Database'!L:L,'Video Database'!M:M,"")</f>
        <v>Bottom of Funnel</v>
      </c>
    </row>
    <row r="1294" ht="22.5" customHeight="1">
      <c r="A1294" s="113">
        <f t="shared" si="12"/>
        <v>1293</v>
      </c>
      <c r="B1294" s="98" t="str">
        <f t="array" ref="B1294">_xlfn.XLOOKUP(A1294,'Video Database'!L:L,'Video Database'!D:D,"")</f>
        <v>Erin</v>
      </c>
      <c r="C1294" s="98" t="str">
        <f t="array" ref="C1294">_xlfn.XLOOKUP(A1294,'Video Database'!L:L,'Video Database'!E:E,"")</f>
        <v>Account 3</v>
      </c>
      <c r="D1294" s="99" t="str">
        <f t="array" ref="D1294">_xlfn.XLOOKUP(A1294,'Video Database'!L:L,'Video Database'!G:G,"")</f>
        <v>Kaja Beauty 3-in-1 Eyeshadow Stack</v>
      </c>
      <c r="E1294" s="100">
        <f t="array" ref="E1294">_xlfn.XLOOKUP(A1294,'Video Database'!L:L,'Video Database'!H:H,"")</f>
        <v>0.7337</v>
      </c>
      <c r="F1294" s="101"/>
      <c r="G1294" s="87"/>
      <c r="H1294" s="114">
        <f t="array" ref="H1294">_xlfn.XLOOKUP(A1294,'Video Database'!L:L,'Video Database'!A:A,"")</f>
        <v>46206</v>
      </c>
      <c r="I1294" s="103"/>
      <c r="J1294" s="104"/>
      <c r="K1294" s="105"/>
      <c r="L1294" s="105" t="str">
        <f t="shared" si="13"/>
        <v/>
      </c>
      <c r="O1294" s="106" t="str">
        <f t="shared" si="2"/>
        <v>#N/A</v>
      </c>
      <c r="P1294" s="106" t="str">
        <f t="shared" si="3"/>
        <v>#N/A</v>
      </c>
      <c r="Q1294" s="84" t="str">
        <f t="shared" si="4"/>
        <v>#N/A</v>
      </c>
      <c r="R1294" s="84" t="str">
        <f t="shared" si="5"/>
        <v>#N/A</v>
      </c>
      <c r="S1294" s="107">
        <f t="shared" si="6"/>
        <v>-0.7337</v>
      </c>
      <c r="T1294" s="108">
        <f t="shared" si="7"/>
        <v>-1</v>
      </c>
      <c r="U1294" s="106" t="str">
        <f t="shared" si="8"/>
        <v>#N/A</v>
      </c>
      <c r="V1294" s="84" t="str">
        <f t="shared" si="9"/>
        <v/>
      </c>
      <c r="W1294" s="109" t="str">
        <f t="shared" si="10"/>
        <v/>
      </c>
      <c r="X1294" s="109" t="str">
        <f t="shared" si="11"/>
        <v/>
      </c>
      <c r="Y1294" s="110" t="str">
        <f t="array" ref="Y1294">_xlfn.XLOOKUP(A1294,'Video Database'!L:L,'Video Database'!M:M,"")</f>
        <v>Bottom of Funnel</v>
      </c>
    </row>
    <row r="1295" ht="22.5" customHeight="1">
      <c r="A1295" s="113">
        <f t="shared" si="12"/>
        <v>1294</v>
      </c>
      <c r="B1295" s="98" t="str">
        <f t="array" ref="B1295">_xlfn.XLOOKUP(A1295,'Video Database'!L:L,'Video Database'!D:D,"")</f>
        <v>Erin</v>
      </c>
      <c r="C1295" s="98" t="str">
        <f t="array" ref="C1295">_xlfn.XLOOKUP(A1295,'Video Database'!L:L,'Video Database'!E:E,"")</f>
        <v>Account 3</v>
      </c>
      <c r="D1295" s="99" t="str">
        <f t="array" ref="D1295">_xlfn.XLOOKUP(A1295,'Video Database'!L:L,'Video Database'!G:G,"")</f>
        <v>Carovo Hoop Earrings Set</v>
      </c>
      <c r="E1295" s="100">
        <f t="array" ref="E1295">_xlfn.XLOOKUP(A1295,'Video Database'!L:L,'Video Database'!H:H,"")</f>
        <v>0.7337</v>
      </c>
      <c r="F1295" s="101"/>
      <c r="G1295" s="87"/>
      <c r="H1295" s="114">
        <f t="array" ref="H1295">_xlfn.XLOOKUP(A1295,'Video Database'!L:L,'Video Database'!A:A,"")</f>
        <v>46206</v>
      </c>
      <c r="I1295" s="103"/>
      <c r="J1295" s="104"/>
      <c r="K1295" s="105"/>
      <c r="L1295" s="105" t="str">
        <f t="shared" si="13"/>
        <v/>
      </c>
      <c r="O1295" s="106" t="str">
        <f t="shared" si="2"/>
        <v>#N/A</v>
      </c>
      <c r="P1295" s="106" t="str">
        <f t="shared" si="3"/>
        <v>#N/A</v>
      </c>
      <c r="Q1295" s="84" t="str">
        <f t="shared" si="4"/>
        <v>#N/A</v>
      </c>
      <c r="R1295" s="84" t="str">
        <f t="shared" si="5"/>
        <v>#N/A</v>
      </c>
      <c r="S1295" s="107">
        <f t="shared" si="6"/>
        <v>-0.7337</v>
      </c>
      <c r="T1295" s="108">
        <f t="shared" si="7"/>
        <v>-1</v>
      </c>
      <c r="U1295" s="106" t="str">
        <f t="shared" si="8"/>
        <v>#N/A</v>
      </c>
      <c r="V1295" s="84" t="str">
        <f t="shared" si="9"/>
        <v/>
      </c>
      <c r="W1295" s="109" t="str">
        <f t="shared" si="10"/>
        <v/>
      </c>
      <c r="X1295" s="109" t="str">
        <f t="shared" si="11"/>
        <v/>
      </c>
      <c r="Y1295" s="110" t="str">
        <f t="array" ref="Y1295">_xlfn.XLOOKUP(A1295,'Video Database'!L:L,'Video Database'!M:M,"")</f>
        <v>Bottom of Funnel</v>
      </c>
    </row>
    <row r="1296" ht="22.5" customHeight="1">
      <c r="A1296" s="113">
        <f t="shared" si="12"/>
        <v>1295</v>
      </c>
      <c r="B1296" s="98" t="str">
        <f t="array" ref="B1296">_xlfn.XLOOKUP(A1296,'Video Database'!L:L,'Video Database'!D:D,"")</f>
        <v>Erin</v>
      </c>
      <c r="C1296" s="98" t="str">
        <f t="array" ref="C1296">_xlfn.XLOOKUP(A1296,'Video Database'!L:L,'Video Database'!E:E,"")</f>
        <v>Account 3</v>
      </c>
      <c r="D1296" s="99" t="str">
        <f t="array" ref="D1296">_xlfn.XLOOKUP(A1296,'Video Database'!L:L,'Video Database'!G:G,"")</f>
        <v>Medicube Kojic Accid Tumeric Pads</v>
      </c>
      <c r="E1296" s="100">
        <f t="array" ref="E1296">_xlfn.XLOOKUP(A1296,'Video Database'!L:L,'Video Database'!H:H,"")</f>
        <v>0.7337</v>
      </c>
      <c r="F1296" s="101"/>
      <c r="G1296" s="87"/>
      <c r="H1296" s="114">
        <f t="array" ref="H1296">_xlfn.XLOOKUP(A1296,'Video Database'!L:L,'Video Database'!A:A,"")</f>
        <v>46206</v>
      </c>
      <c r="I1296" s="103"/>
      <c r="J1296" s="104"/>
      <c r="K1296" s="105"/>
      <c r="L1296" s="105" t="str">
        <f t="shared" si="13"/>
        <v/>
      </c>
      <c r="O1296" s="106" t="str">
        <f t="shared" si="2"/>
        <v>#N/A</v>
      </c>
      <c r="P1296" s="106" t="str">
        <f t="shared" si="3"/>
        <v>#N/A</v>
      </c>
      <c r="Q1296" s="84" t="str">
        <f t="shared" si="4"/>
        <v>#N/A</v>
      </c>
      <c r="R1296" s="84" t="str">
        <f t="shared" si="5"/>
        <v>#N/A</v>
      </c>
      <c r="S1296" s="107">
        <f t="shared" si="6"/>
        <v>-0.7337</v>
      </c>
      <c r="T1296" s="108">
        <f t="shared" si="7"/>
        <v>-1</v>
      </c>
      <c r="U1296" s="106" t="str">
        <f t="shared" si="8"/>
        <v>#N/A</v>
      </c>
      <c r="V1296" s="84" t="str">
        <f t="shared" si="9"/>
        <v/>
      </c>
      <c r="W1296" s="109" t="str">
        <f t="shared" si="10"/>
        <v/>
      </c>
      <c r="X1296" s="109" t="str">
        <f t="shared" si="11"/>
        <v/>
      </c>
      <c r="Y1296" s="110" t="str">
        <f t="array" ref="Y1296">_xlfn.XLOOKUP(A1296,'Video Database'!L:L,'Video Database'!M:M,"")</f>
        <v>Bottom of Funnel</v>
      </c>
    </row>
    <row r="1297" ht="22.5" customHeight="1">
      <c r="A1297" s="113">
        <f t="shared" si="12"/>
        <v>1296</v>
      </c>
      <c r="B1297" s="98" t="str">
        <f t="array" ref="B1297">_xlfn.XLOOKUP(A1297,'Video Database'!L:L,'Video Database'!D:D,"")</f>
        <v>Brittney</v>
      </c>
      <c r="C1297" s="98" t="str">
        <f t="array" ref="C1297">_xlfn.XLOOKUP(A1297,'Video Database'!L:L,'Video Database'!E:E,"")</f>
        <v>Account 3</v>
      </c>
      <c r="D1297" s="99" t="str">
        <f t="array" ref="D1297">_xlfn.XLOOKUP(A1297,'Video Database'!L:L,'Video Database'!G:G,"")</f>
        <v>Gruns Greens Popsicle Firecracker Gummies</v>
      </c>
      <c r="E1297" s="100">
        <f t="array" ref="E1297">_xlfn.XLOOKUP(A1297,'Video Database'!L:L,'Video Database'!H:H,"")</f>
        <v>0.11</v>
      </c>
      <c r="F1297" s="101"/>
      <c r="G1297" s="87"/>
      <c r="H1297" s="114">
        <f t="array" ref="H1297">_xlfn.XLOOKUP(A1297,'Video Database'!L:L,'Video Database'!A:A,"")</f>
        <v>46206</v>
      </c>
      <c r="I1297" s="103"/>
      <c r="J1297" s="104"/>
      <c r="K1297" s="105"/>
      <c r="L1297" s="105" t="str">
        <f t="shared" si="13"/>
        <v/>
      </c>
      <c r="O1297" s="106" t="str">
        <f t="shared" si="2"/>
        <v>#N/A</v>
      </c>
      <c r="P1297" s="106" t="str">
        <f t="shared" si="3"/>
        <v>#N/A</v>
      </c>
      <c r="Q1297" s="84" t="str">
        <f t="shared" si="4"/>
        <v>#N/A</v>
      </c>
      <c r="R1297" s="84" t="str">
        <f t="shared" si="5"/>
        <v>#N/A</v>
      </c>
      <c r="S1297" s="107">
        <f t="shared" si="6"/>
        <v>-0.11</v>
      </c>
      <c r="T1297" s="108">
        <f t="shared" si="7"/>
        <v>-1</v>
      </c>
      <c r="U1297" s="106" t="str">
        <f t="shared" si="8"/>
        <v>#N/A</v>
      </c>
      <c r="V1297" s="84" t="str">
        <f t="shared" si="9"/>
        <v/>
      </c>
      <c r="W1297" s="109" t="str">
        <f t="shared" si="10"/>
        <v/>
      </c>
      <c r="X1297" s="109" t="str">
        <f t="shared" si="11"/>
        <v/>
      </c>
      <c r="Y1297" s="110" t="str">
        <f t="array" ref="Y1297">_xlfn.XLOOKUP(A1297,'Video Database'!L:L,'Video Database'!M:M,"")</f>
        <v>Bottom of Funnel</v>
      </c>
    </row>
    <row r="1298" ht="22.5" customHeight="1">
      <c r="A1298" s="113">
        <f t="shared" si="12"/>
        <v>1297</v>
      </c>
      <c r="B1298" s="98" t="str">
        <f t="array" ref="B1298">_xlfn.XLOOKUP(A1298,'Video Database'!L:L,'Video Database'!D:D,"")</f>
        <v>Erin</v>
      </c>
      <c r="C1298" s="98" t="str">
        <f t="array" ref="C1298">_xlfn.XLOOKUP(A1298,'Video Database'!L:L,'Video Database'!E:E,"")</f>
        <v>Account 3</v>
      </c>
      <c r="D1298" s="99" t="str">
        <f t="array" ref="D1298">_xlfn.XLOOKUP(A1298,'Video Database'!L:L,'Video Database'!G:G,"")</f>
        <v>Faux Pearl Decorated Link Bracelet</v>
      </c>
      <c r="E1298" s="100">
        <f t="array" ref="E1298">_xlfn.XLOOKUP(A1298,'Video Database'!L:L,'Video Database'!H:H,"")</f>
        <v>0.7337</v>
      </c>
      <c r="F1298" s="101"/>
      <c r="G1298" s="87"/>
      <c r="H1298" s="114">
        <f t="array" ref="H1298">_xlfn.XLOOKUP(A1298,'Video Database'!L:L,'Video Database'!A:A,"")</f>
        <v>46206</v>
      </c>
      <c r="I1298" s="103"/>
      <c r="J1298" s="104"/>
      <c r="K1298" s="105"/>
      <c r="L1298" s="105" t="str">
        <f t="shared" si="13"/>
        <v/>
      </c>
      <c r="O1298" s="106" t="str">
        <f t="shared" si="2"/>
        <v>#N/A</v>
      </c>
      <c r="P1298" s="106" t="str">
        <f t="shared" si="3"/>
        <v>#N/A</v>
      </c>
      <c r="Q1298" s="84" t="str">
        <f t="shared" si="4"/>
        <v>#N/A</v>
      </c>
      <c r="R1298" s="84" t="str">
        <f t="shared" si="5"/>
        <v>#N/A</v>
      </c>
      <c r="S1298" s="107">
        <f t="shared" si="6"/>
        <v>-0.7337</v>
      </c>
      <c r="T1298" s="108">
        <f t="shared" si="7"/>
        <v>-1</v>
      </c>
      <c r="U1298" s="106" t="str">
        <f t="shared" si="8"/>
        <v>#N/A</v>
      </c>
      <c r="V1298" s="84" t="str">
        <f t="shared" si="9"/>
        <v/>
      </c>
      <c r="W1298" s="109" t="str">
        <f t="shared" si="10"/>
        <v/>
      </c>
      <c r="X1298" s="109" t="str">
        <f t="shared" si="11"/>
        <v/>
      </c>
      <c r="Y1298" s="110" t="str">
        <f t="array" ref="Y1298">_xlfn.XLOOKUP(A1298,'Video Database'!L:L,'Video Database'!M:M,"")</f>
        <v>Bottom of Funnel</v>
      </c>
    </row>
    <row r="1299" ht="22.5" customHeight="1">
      <c r="A1299" s="113">
        <f t="shared" si="12"/>
        <v>1298</v>
      </c>
      <c r="B1299" s="98" t="str">
        <f t="array" ref="B1299">_xlfn.XLOOKUP(A1299,'Video Database'!L:L,'Video Database'!D:D,"")</f>
        <v>Sierra</v>
      </c>
      <c r="C1299" s="98" t="str">
        <f t="array" ref="C1299">_xlfn.XLOOKUP(A1299,'Video Database'!L:L,'Video Database'!E:E,"")</f>
        <v>Account 3</v>
      </c>
      <c r="D1299" s="99" t="str">
        <f t="array" ref="D1299">_xlfn.XLOOKUP(A1299,'Video Database'!L:L,'Video Database'!G:G,"")</f>
        <v>SKIN1004 Hyla-Cica Water Fit Sunscreen</v>
      </c>
      <c r="E1299" s="100">
        <f t="array" ref="E1299">_xlfn.XLOOKUP(A1299,'Video Database'!L:L,'Video Database'!H:H,"")</f>
        <v>1.1</v>
      </c>
      <c r="F1299" s="101"/>
      <c r="G1299" s="87"/>
      <c r="H1299" s="114">
        <f t="array" ref="H1299">_xlfn.XLOOKUP(A1299,'Video Database'!L:L,'Video Database'!A:A,"")</f>
        <v>46206</v>
      </c>
      <c r="I1299" s="103"/>
      <c r="J1299" s="104"/>
      <c r="K1299" s="105"/>
      <c r="L1299" s="105" t="str">
        <f t="shared" si="13"/>
        <v/>
      </c>
      <c r="O1299" s="106" t="str">
        <f t="shared" si="2"/>
        <v>#N/A</v>
      </c>
      <c r="P1299" s="106" t="str">
        <f t="shared" si="3"/>
        <v>#N/A</v>
      </c>
      <c r="Q1299" s="84" t="str">
        <f t="shared" si="4"/>
        <v>#N/A</v>
      </c>
      <c r="R1299" s="84" t="str">
        <f t="shared" si="5"/>
        <v>#N/A</v>
      </c>
      <c r="S1299" s="107">
        <f t="shared" si="6"/>
        <v>-1.1</v>
      </c>
      <c r="T1299" s="108">
        <f t="shared" si="7"/>
        <v>-1</v>
      </c>
      <c r="U1299" s="106" t="str">
        <f t="shared" si="8"/>
        <v>#N/A</v>
      </c>
      <c r="V1299" s="84" t="str">
        <f t="shared" si="9"/>
        <v/>
      </c>
      <c r="W1299" s="109" t="str">
        <f t="shared" si="10"/>
        <v/>
      </c>
      <c r="X1299" s="109" t="str">
        <f t="shared" si="11"/>
        <v/>
      </c>
      <c r="Y1299" s="110" t="str">
        <f t="array" ref="Y1299">_xlfn.XLOOKUP(A1299,'Video Database'!L:L,'Video Database'!M:M,"")</f>
        <v>Middle of Funnel</v>
      </c>
    </row>
    <row r="1300" ht="22.5" customHeight="1">
      <c r="A1300" s="113">
        <f t="shared" si="12"/>
        <v>1299</v>
      </c>
      <c r="B1300" s="98" t="str">
        <f t="array" ref="B1300">_xlfn.XLOOKUP(A1300,'Video Database'!L:L,'Video Database'!D:D,"")</f>
        <v>Sierra</v>
      </c>
      <c r="C1300" s="98" t="str">
        <f t="array" ref="C1300">_xlfn.XLOOKUP(A1300,'Video Database'!L:L,'Video Database'!E:E,"")</f>
        <v>Account 3</v>
      </c>
      <c r="D1300" s="99" t="str">
        <f t="array" ref="D1300">_xlfn.XLOOKUP(A1300,'Video Database'!L:L,'Video Database'!G:G,"")</f>
        <v>Taste Salud Skin + Beauty Drink Mix</v>
      </c>
      <c r="E1300" s="100">
        <f t="array" ref="E1300">_xlfn.XLOOKUP(A1300,'Video Database'!L:L,'Video Database'!H:H,"")</f>
        <v>1.1</v>
      </c>
      <c r="F1300" s="101"/>
      <c r="G1300" s="87"/>
      <c r="H1300" s="114">
        <f t="array" ref="H1300">_xlfn.XLOOKUP(A1300,'Video Database'!L:L,'Video Database'!A:A,"")</f>
        <v>46206</v>
      </c>
      <c r="I1300" s="103"/>
      <c r="J1300" s="104"/>
      <c r="K1300" s="105"/>
      <c r="L1300" s="105" t="str">
        <f t="shared" si="13"/>
        <v/>
      </c>
      <c r="O1300" s="106" t="str">
        <f t="shared" si="2"/>
        <v>#N/A</v>
      </c>
      <c r="P1300" s="106" t="str">
        <f t="shared" si="3"/>
        <v>#N/A</v>
      </c>
      <c r="Q1300" s="84" t="str">
        <f t="shared" si="4"/>
        <v>#N/A</v>
      </c>
      <c r="R1300" s="84" t="str">
        <f t="shared" si="5"/>
        <v>#N/A</v>
      </c>
      <c r="S1300" s="107">
        <f t="shared" si="6"/>
        <v>-1.1</v>
      </c>
      <c r="T1300" s="108">
        <f t="shared" si="7"/>
        <v>-1</v>
      </c>
      <c r="U1300" s="106" t="str">
        <f t="shared" si="8"/>
        <v>#N/A</v>
      </c>
      <c r="V1300" s="84" t="str">
        <f t="shared" si="9"/>
        <v/>
      </c>
      <c r="W1300" s="109" t="str">
        <f t="shared" si="10"/>
        <v/>
      </c>
      <c r="X1300" s="109" t="str">
        <f t="shared" si="11"/>
        <v/>
      </c>
      <c r="Y1300" s="110" t="str">
        <f t="array" ref="Y1300">_xlfn.XLOOKUP(A1300,'Video Database'!L:L,'Video Database'!M:M,"")</f>
        <v>Middle of Funnel</v>
      </c>
    </row>
    <row r="1301" ht="22.5" customHeight="1">
      <c r="A1301" s="113">
        <f t="shared" si="12"/>
        <v>1300</v>
      </c>
      <c r="B1301" s="98" t="str">
        <f t="array" ref="B1301">_xlfn.XLOOKUP(A1301,'Video Database'!L:L,'Video Database'!D:D,"")</f>
        <v>Brittney</v>
      </c>
      <c r="C1301" s="98" t="str">
        <f t="array" ref="C1301">_xlfn.XLOOKUP(A1301,'Video Database'!L:L,'Video Database'!E:E,"")</f>
        <v>Account 3</v>
      </c>
      <c r="D1301" s="99" t="str">
        <f t="array" ref="D1301">_xlfn.XLOOKUP(A1301,'Video Database'!L:L,'Video Database'!G:G,"")</f>
        <v>Gruns Greens Popsicle Firecracker Gummies</v>
      </c>
      <c r="E1301" s="100">
        <f t="array" ref="E1301">_xlfn.XLOOKUP(A1301,'Video Database'!L:L,'Video Database'!H:H,"")</f>
        <v>0.11</v>
      </c>
      <c r="F1301" s="101"/>
      <c r="G1301" s="87"/>
      <c r="H1301" s="114">
        <f t="array" ref="H1301">_xlfn.XLOOKUP(A1301,'Video Database'!L:L,'Video Database'!A:A,"")</f>
        <v>46206</v>
      </c>
      <c r="I1301" s="103"/>
      <c r="J1301" s="104"/>
      <c r="K1301" s="105"/>
      <c r="L1301" s="105" t="str">
        <f t="shared" si="13"/>
        <v/>
      </c>
      <c r="O1301" s="106" t="str">
        <f t="shared" si="2"/>
        <v>#N/A</v>
      </c>
      <c r="P1301" s="106" t="str">
        <f t="shared" si="3"/>
        <v>#N/A</v>
      </c>
      <c r="Q1301" s="84" t="str">
        <f t="shared" si="4"/>
        <v>#N/A</v>
      </c>
      <c r="R1301" s="84" t="str">
        <f t="shared" si="5"/>
        <v>#N/A</v>
      </c>
      <c r="S1301" s="107">
        <f t="shared" si="6"/>
        <v>-0.11</v>
      </c>
      <c r="T1301" s="108">
        <f t="shared" si="7"/>
        <v>-1</v>
      </c>
      <c r="U1301" s="106" t="str">
        <f t="shared" si="8"/>
        <v>#N/A</v>
      </c>
      <c r="V1301" s="84" t="str">
        <f t="shared" si="9"/>
        <v/>
      </c>
      <c r="W1301" s="109" t="str">
        <f t="shared" si="10"/>
        <v/>
      </c>
      <c r="X1301" s="109" t="str">
        <f t="shared" si="11"/>
        <v/>
      </c>
      <c r="Y1301" s="110" t="str">
        <f t="array" ref="Y1301">_xlfn.XLOOKUP(A1301,'Video Database'!L:L,'Video Database'!M:M,"")</f>
        <v>Bottom of Funnel</v>
      </c>
    </row>
    <row r="1302" ht="22.5" customHeight="1">
      <c r="A1302" s="113">
        <f t="shared" si="12"/>
        <v>1301</v>
      </c>
      <c r="B1302" s="98" t="str">
        <f t="array" ref="B1302">_xlfn.XLOOKUP(A1302,'Video Database'!L:L,'Video Database'!D:D,"")</f>
        <v>Erin</v>
      </c>
      <c r="C1302" s="98" t="str">
        <f t="array" ref="C1302">_xlfn.XLOOKUP(A1302,'Video Database'!L:L,'Video Database'!E:E,"")</f>
        <v>Account 3</v>
      </c>
      <c r="D1302" s="99" t="str">
        <f t="array" ref="D1302">_xlfn.XLOOKUP(A1302,'Video Database'!L:L,'Video Database'!G:G,"")</f>
        <v>XL Microfiber Towel</v>
      </c>
      <c r="E1302" s="100">
        <f t="array" ref="E1302">_xlfn.XLOOKUP(A1302,'Video Database'!L:L,'Video Database'!H:H,"")</f>
        <v>0.7337</v>
      </c>
      <c r="F1302" s="101"/>
      <c r="G1302" s="87"/>
      <c r="H1302" s="114">
        <f t="array" ref="H1302">_xlfn.XLOOKUP(A1302,'Video Database'!L:L,'Video Database'!A:A,"")</f>
        <v>46206</v>
      </c>
      <c r="I1302" s="103"/>
      <c r="J1302" s="104"/>
      <c r="K1302" s="105"/>
      <c r="L1302" s="105" t="str">
        <f t="shared" si="13"/>
        <v/>
      </c>
      <c r="O1302" s="106" t="str">
        <f t="shared" si="2"/>
        <v>#N/A</v>
      </c>
      <c r="P1302" s="106" t="str">
        <f t="shared" si="3"/>
        <v>#N/A</v>
      </c>
      <c r="Q1302" s="84" t="str">
        <f t="shared" si="4"/>
        <v>#N/A</v>
      </c>
      <c r="R1302" s="84" t="str">
        <f t="shared" si="5"/>
        <v>#N/A</v>
      </c>
      <c r="S1302" s="107">
        <f t="shared" si="6"/>
        <v>-0.7337</v>
      </c>
      <c r="T1302" s="108">
        <f t="shared" si="7"/>
        <v>-1</v>
      </c>
      <c r="U1302" s="106" t="str">
        <f t="shared" si="8"/>
        <v>#N/A</v>
      </c>
      <c r="V1302" s="84" t="str">
        <f t="shared" si="9"/>
        <v/>
      </c>
      <c r="W1302" s="109" t="str">
        <f t="shared" si="10"/>
        <v/>
      </c>
      <c r="X1302" s="109" t="str">
        <f t="shared" si="11"/>
        <v/>
      </c>
      <c r="Y1302" s="110" t="str">
        <f t="array" ref="Y1302">_xlfn.XLOOKUP(A1302,'Video Database'!L:L,'Video Database'!M:M,"")</f>
        <v>Bottom of Funnel</v>
      </c>
    </row>
    <row r="1303" ht="22.5" customHeight="1">
      <c r="A1303" s="113">
        <f t="shared" si="12"/>
        <v>1302</v>
      </c>
      <c r="B1303" s="98" t="str">
        <f t="array" ref="B1303">_xlfn.XLOOKUP(A1303,'Video Database'!L:L,'Video Database'!D:D,"")</f>
        <v>Brittney</v>
      </c>
      <c r="C1303" s="98" t="str">
        <f t="array" ref="C1303">_xlfn.XLOOKUP(A1303,'Video Database'!L:L,'Video Database'!E:E,"")</f>
        <v>Account 3</v>
      </c>
      <c r="D1303" s="99" t="str">
        <f t="array" ref="D1303">_xlfn.XLOOKUP(A1303,'Video Database'!L:L,'Video Database'!G:G,"")</f>
        <v>Gruns Greens Popsicle Firecracker Gummies</v>
      </c>
      <c r="E1303" s="100">
        <f t="array" ref="E1303">_xlfn.XLOOKUP(A1303,'Video Database'!L:L,'Video Database'!H:H,"")</f>
        <v>0.11</v>
      </c>
      <c r="F1303" s="101"/>
      <c r="G1303" s="87"/>
      <c r="H1303" s="114">
        <f t="array" ref="H1303">_xlfn.XLOOKUP(A1303,'Video Database'!L:L,'Video Database'!A:A,"")</f>
        <v>46206</v>
      </c>
      <c r="I1303" s="103"/>
      <c r="J1303" s="104"/>
      <c r="K1303" s="105"/>
      <c r="L1303" s="105" t="str">
        <f t="shared" si="13"/>
        <v/>
      </c>
      <c r="O1303" s="106" t="str">
        <f t="shared" si="2"/>
        <v>#N/A</v>
      </c>
      <c r="P1303" s="106" t="str">
        <f t="shared" si="3"/>
        <v>#N/A</v>
      </c>
      <c r="Q1303" s="84" t="str">
        <f t="shared" si="4"/>
        <v>#N/A</v>
      </c>
      <c r="R1303" s="84" t="str">
        <f t="shared" si="5"/>
        <v>#N/A</v>
      </c>
      <c r="S1303" s="107">
        <f t="shared" si="6"/>
        <v>-0.11</v>
      </c>
      <c r="T1303" s="108">
        <f t="shared" si="7"/>
        <v>-1</v>
      </c>
      <c r="U1303" s="106" t="str">
        <f t="shared" si="8"/>
        <v>#N/A</v>
      </c>
      <c r="V1303" s="84" t="str">
        <f t="shared" si="9"/>
        <v/>
      </c>
      <c r="W1303" s="109" t="str">
        <f t="shared" si="10"/>
        <v/>
      </c>
      <c r="X1303" s="109" t="str">
        <f t="shared" si="11"/>
        <v/>
      </c>
      <c r="Y1303" s="110" t="str">
        <f t="array" ref="Y1303">_xlfn.XLOOKUP(A1303,'Video Database'!L:L,'Video Database'!M:M,"")</f>
        <v>Bottom of Funnel</v>
      </c>
    </row>
    <row r="1304" ht="22.5" customHeight="1">
      <c r="A1304" s="113">
        <f t="shared" si="12"/>
        <v>1303</v>
      </c>
      <c r="B1304" s="98" t="str">
        <f t="array" ref="B1304">_xlfn.XLOOKUP(A1304,'Video Database'!L:L,'Video Database'!D:D,"")</f>
        <v>Brittney</v>
      </c>
      <c r="C1304" s="98" t="str">
        <f t="array" ref="C1304">_xlfn.XLOOKUP(A1304,'Video Database'!L:L,'Video Database'!E:E,"")</f>
        <v>Account 4</v>
      </c>
      <c r="D1304" s="99" t="str">
        <f t="array" ref="D1304">_xlfn.XLOOKUP(A1304,'Video Database'!L:L,'Video Database'!G:G,"")</f>
        <v>Gruns Greens Popsicle Firecracker Gummies</v>
      </c>
      <c r="E1304" s="100">
        <f t="array" ref="E1304">_xlfn.XLOOKUP(A1304,'Video Database'!L:L,'Video Database'!H:H,"")</f>
        <v>0.11</v>
      </c>
      <c r="F1304" s="101"/>
      <c r="G1304" s="87"/>
      <c r="H1304" s="114">
        <f t="array" ref="H1304">_xlfn.XLOOKUP(A1304,'Video Database'!L:L,'Video Database'!A:A,"")</f>
        <v>46206</v>
      </c>
      <c r="I1304" s="103"/>
      <c r="J1304" s="104"/>
      <c r="K1304" s="105"/>
      <c r="L1304" s="105" t="str">
        <f t="shared" si="13"/>
        <v/>
      </c>
      <c r="O1304" s="106" t="str">
        <f t="shared" si="2"/>
        <v>#N/A</v>
      </c>
      <c r="P1304" s="106" t="str">
        <f t="shared" si="3"/>
        <v>#N/A</v>
      </c>
      <c r="Q1304" s="84" t="str">
        <f t="shared" si="4"/>
        <v>#N/A</v>
      </c>
      <c r="R1304" s="84" t="str">
        <f t="shared" si="5"/>
        <v>#N/A</v>
      </c>
      <c r="S1304" s="107">
        <f t="shared" si="6"/>
        <v>-0.11</v>
      </c>
      <c r="T1304" s="108">
        <f t="shared" si="7"/>
        <v>-1</v>
      </c>
      <c r="U1304" s="106" t="str">
        <f t="shared" si="8"/>
        <v>#N/A</v>
      </c>
      <c r="V1304" s="84" t="str">
        <f t="shared" si="9"/>
        <v/>
      </c>
      <c r="W1304" s="109" t="str">
        <f t="shared" si="10"/>
        <v/>
      </c>
      <c r="X1304" s="109" t="str">
        <f t="shared" si="11"/>
        <v/>
      </c>
      <c r="Y1304" s="110" t="str">
        <f t="array" ref="Y1304">_xlfn.XLOOKUP(A1304,'Video Database'!L:L,'Video Database'!M:M,"")</f>
        <v>Bottom of Funnel</v>
      </c>
    </row>
    <row r="1305" ht="22.5" customHeight="1">
      <c r="A1305" s="113">
        <f t="shared" si="12"/>
        <v>1304</v>
      </c>
      <c r="B1305" s="98" t="str">
        <f t="array" ref="B1305">_xlfn.XLOOKUP(A1305,'Video Database'!L:L,'Video Database'!D:D,"")</f>
        <v>Erin</v>
      </c>
      <c r="C1305" s="98" t="str">
        <f t="array" ref="C1305">_xlfn.XLOOKUP(A1305,'Video Database'!L:L,'Video Database'!E:E,"")</f>
        <v>Account 4</v>
      </c>
      <c r="D1305" s="99" t="str">
        <f t="array" ref="D1305">_xlfn.XLOOKUP(A1305,'Video Database'!L:L,'Video Database'!G:G,"")</f>
        <v>Carovo Hoop Earrings Set</v>
      </c>
      <c r="E1305" s="100">
        <f t="array" ref="E1305">_xlfn.XLOOKUP(A1305,'Video Database'!L:L,'Video Database'!H:H,"")</f>
        <v>0.7337</v>
      </c>
      <c r="F1305" s="101"/>
      <c r="G1305" s="87"/>
      <c r="H1305" s="114">
        <f t="array" ref="H1305">_xlfn.XLOOKUP(A1305,'Video Database'!L:L,'Video Database'!A:A,"")</f>
        <v>46206</v>
      </c>
      <c r="I1305" s="103"/>
      <c r="J1305" s="104"/>
      <c r="K1305" s="105"/>
      <c r="L1305" s="105" t="str">
        <f t="shared" si="13"/>
        <v/>
      </c>
      <c r="O1305" s="106" t="str">
        <f t="shared" si="2"/>
        <v>#N/A</v>
      </c>
      <c r="P1305" s="106" t="str">
        <f t="shared" si="3"/>
        <v>#N/A</v>
      </c>
      <c r="Q1305" s="84" t="str">
        <f t="shared" si="4"/>
        <v>#N/A</v>
      </c>
      <c r="R1305" s="84" t="str">
        <f t="shared" si="5"/>
        <v>#N/A</v>
      </c>
      <c r="S1305" s="107">
        <f t="shared" si="6"/>
        <v>-0.7337</v>
      </c>
      <c r="T1305" s="108">
        <f t="shared" si="7"/>
        <v>-1</v>
      </c>
      <c r="U1305" s="106" t="str">
        <f t="shared" si="8"/>
        <v>#N/A</v>
      </c>
      <c r="V1305" s="84" t="str">
        <f t="shared" si="9"/>
        <v/>
      </c>
      <c r="W1305" s="109" t="str">
        <f t="shared" si="10"/>
        <v/>
      </c>
      <c r="X1305" s="109" t="str">
        <f t="shared" si="11"/>
        <v/>
      </c>
      <c r="Y1305" s="110" t="str">
        <f t="array" ref="Y1305">_xlfn.XLOOKUP(A1305,'Video Database'!L:L,'Video Database'!M:M,"")</f>
        <v>Bottom of Funnel</v>
      </c>
    </row>
    <row r="1306" ht="22.5" customHeight="1">
      <c r="A1306" s="113">
        <f t="shared" si="12"/>
        <v>1305</v>
      </c>
      <c r="B1306" s="98" t="str">
        <f t="array" ref="B1306">_xlfn.XLOOKUP(A1306,'Video Database'!L:L,'Video Database'!D:D,"")</f>
        <v>Charley</v>
      </c>
      <c r="C1306" s="98" t="str">
        <f t="array" ref="C1306">_xlfn.XLOOKUP(A1306,'Video Database'!L:L,'Video Database'!E:E,"")</f>
        <v>Account 4</v>
      </c>
      <c r="D1306" s="99" t="str">
        <f t="array" ref="D1306">_xlfn.XLOOKUP(A1306,'Video Database'!L:L,'Video Database'!G:G,"")</f>
        <v>COSRX US Vitamin E Sunscreen</v>
      </c>
      <c r="E1306" s="100">
        <f t="array" ref="E1306">_xlfn.XLOOKUP(A1306,'Video Database'!L:L,'Video Database'!H:H,"")</f>
        <v>1.1</v>
      </c>
      <c r="F1306" s="101"/>
      <c r="G1306" s="87"/>
      <c r="H1306" s="114">
        <f t="array" ref="H1306">_xlfn.XLOOKUP(A1306,'Video Database'!L:L,'Video Database'!A:A,"")</f>
        <v>46206</v>
      </c>
      <c r="I1306" s="103"/>
      <c r="J1306" s="104"/>
      <c r="K1306" s="105"/>
      <c r="L1306" s="105" t="str">
        <f t="shared" si="13"/>
        <v/>
      </c>
      <c r="O1306" s="106" t="str">
        <f t="shared" si="2"/>
        <v>#N/A</v>
      </c>
      <c r="P1306" s="106" t="str">
        <f t="shared" si="3"/>
        <v>#N/A</v>
      </c>
      <c r="Q1306" s="84" t="str">
        <f t="shared" si="4"/>
        <v>#N/A</v>
      </c>
      <c r="R1306" s="84" t="str">
        <f t="shared" si="5"/>
        <v>#N/A</v>
      </c>
      <c r="S1306" s="107">
        <f t="shared" si="6"/>
        <v>-1.1</v>
      </c>
      <c r="T1306" s="108">
        <f t="shared" si="7"/>
        <v>-1</v>
      </c>
      <c r="U1306" s="106" t="str">
        <f t="shared" si="8"/>
        <v>#N/A</v>
      </c>
      <c r="V1306" s="84" t="str">
        <f t="shared" si="9"/>
        <v/>
      </c>
      <c r="W1306" s="109" t="str">
        <f t="shared" si="10"/>
        <v/>
      </c>
      <c r="X1306" s="109" t="str">
        <f t="shared" si="11"/>
        <v/>
      </c>
      <c r="Y1306" s="110" t="str">
        <f t="array" ref="Y1306">_xlfn.XLOOKUP(A1306,'Video Database'!L:L,'Video Database'!M:M,"")</f>
        <v>Middle of Funnel</v>
      </c>
    </row>
    <row r="1307" ht="22.5" customHeight="1">
      <c r="A1307" s="113">
        <f t="shared" si="12"/>
        <v>1306</v>
      </c>
      <c r="B1307" s="98" t="str">
        <f t="array" ref="B1307">_xlfn.XLOOKUP(A1307,'Video Database'!L:L,'Video Database'!D:D,"")</f>
        <v>Erin</v>
      </c>
      <c r="C1307" s="98" t="str">
        <f t="array" ref="C1307">_xlfn.XLOOKUP(A1307,'Video Database'!L:L,'Video Database'!E:E,"")</f>
        <v>Account 4</v>
      </c>
      <c r="D1307" s="99" t="str">
        <f t="array" ref="D1307">_xlfn.XLOOKUP(A1307,'Video Database'!L:L,'Video Database'!G:G,"")</f>
        <v>Faux Pearl Decorated Link Bracelet</v>
      </c>
      <c r="E1307" s="100">
        <f t="array" ref="E1307">_xlfn.XLOOKUP(A1307,'Video Database'!L:L,'Video Database'!H:H,"")</f>
        <v>0.7337</v>
      </c>
      <c r="F1307" s="101"/>
      <c r="G1307" s="87"/>
      <c r="H1307" s="114">
        <f t="array" ref="H1307">_xlfn.XLOOKUP(A1307,'Video Database'!L:L,'Video Database'!A:A,"")</f>
        <v>46206</v>
      </c>
      <c r="I1307" s="103"/>
      <c r="J1307" s="104"/>
      <c r="K1307" s="105"/>
      <c r="L1307" s="105" t="str">
        <f t="shared" si="13"/>
        <v/>
      </c>
      <c r="O1307" s="106" t="str">
        <f t="shared" si="2"/>
        <v>#N/A</v>
      </c>
      <c r="P1307" s="106" t="str">
        <f t="shared" si="3"/>
        <v>#N/A</v>
      </c>
      <c r="Q1307" s="84" t="str">
        <f t="shared" si="4"/>
        <v>#N/A</v>
      </c>
      <c r="R1307" s="84" t="str">
        <f t="shared" si="5"/>
        <v>#N/A</v>
      </c>
      <c r="S1307" s="107">
        <f t="shared" si="6"/>
        <v>-0.7337</v>
      </c>
      <c r="T1307" s="108">
        <f t="shared" si="7"/>
        <v>-1</v>
      </c>
      <c r="U1307" s="106" t="str">
        <f t="shared" si="8"/>
        <v>#N/A</v>
      </c>
      <c r="V1307" s="84" t="str">
        <f t="shared" si="9"/>
        <v/>
      </c>
      <c r="W1307" s="109" t="str">
        <f t="shared" si="10"/>
        <v/>
      </c>
      <c r="X1307" s="109" t="str">
        <f t="shared" si="11"/>
        <v/>
      </c>
      <c r="Y1307" s="110" t="str">
        <f t="array" ref="Y1307">_xlfn.XLOOKUP(A1307,'Video Database'!L:L,'Video Database'!M:M,"")</f>
        <v>Bottom of Funnel</v>
      </c>
    </row>
    <row r="1308" ht="22.5" customHeight="1">
      <c r="A1308" s="113">
        <f t="shared" si="12"/>
        <v>1307</v>
      </c>
      <c r="B1308" s="98" t="str">
        <f t="array" ref="B1308">_xlfn.XLOOKUP(A1308,'Video Database'!L:L,'Video Database'!D:D,"")</f>
        <v>Brittney</v>
      </c>
      <c r="C1308" s="98" t="str">
        <f t="array" ref="C1308">_xlfn.XLOOKUP(A1308,'Video Database'!L:L,'Video Database'!E:E,"")</f>
        <v>Account 4</v>
      </c>
      <c r="D1308" s="99" t="str">
        <f t="array" ref="D1308">_xlfn.XLOOKUP(A1308,'Video Database'!L:L,'Video Database'!G:G,"")</f>
        <v>Gruns Greens Popsicle Firecracker Gummies</v>
      </c>
      <c r="E1308" s="100">
        <f t="array" ref="E1308">_xlfn.XLOOKUP(A1308,'Video Database'!L:L,'Video Database'!H:H,"")</f>
        <v>0.11</v>
      </c>
      <c r="F1308" s="101"/>
      <c r="G1308" s="87"/>
      <c r="H1308" s="114">
        <f t="array" ref="H1308">_xlfn.XLOOKUP(A1308,'Video Database'!L:L,'Video Database'!A:A,"")</f>
        <v>46206</v>
      </c>
      <c r="I1308" s="103"/>
      <c r="J1308" s="104"/>
      <c r="K1308" s="105"/>
      <c r="L1308" s="105" t="str">
        <f t="shared" si="13"/>
        <v/>
      </c>
      <c r="O1308" s="106" t="str">
        <f t="shared" si="2"/>
        <v>#N/A</v>
      </c>
      <c r="P1308" s="106" t="str">
        <f t="shared" si="3"/>
        <v>#N/A</v>
      </c>
      <c r="Q1308" s="84" t="str">
        <f t="shared" si="4"/>
        <v>#N/A</v>
      </c>
      <c r="R1308" s="84" t="str">
        <f t="shared" si="5"/>
        <v>#N/A</v>
      </c>
      <c r="S1308" s="107">
        <f t="shared" si="6"/>
        <v>-0.11</v>
      </c>
      <c r="T1308" s="108">
        <f t="shared" si="7"/>
        <v>-1</v>
      </c>
      <c r="U1308" s="106" t="str">
        <f t="shared" si="8"/>
        <v>#N/A</v>
      </c>
      <c r="V1308" s="84" t="str">
        <f t="shared" si="9"/>
        <v/>
      </c>
      <c r="W1308" s="109" t="str">
        <f t="shared" si="10"/>
        <v/>
      </c>
      <c r="X1308" s="109" t="str">
        <f t="shared" si="11"/>
        <v/>
      </c>
      <c r="Y1308" s="110" t="str">
        <f t="array" ref="Y1308">_xlfn.XLOOKUP(A1308,'Video Database'!L:L,'Video Database'!M:M,"")</f>
        <v>Bottom of Funnel</v>
      </c>
    </row>
    <row r="1309" ht="22.5" customHeight="1">
      <c r="A1309" s="113">
        <f t="shared" si="12"/>
        <v>1308</v>
      </c>
      <c r="B1309" s="98" t="str">
        <f t="array" ref="B1309">_xlfn.XLOOKUP(A1309,'Video Database'!L:L,'Video Database'!D:D,"")</f>
        <v>Sierra</v>
      </c>
      <c r="C1309" s="98" t="str">
        <f t="array" ref="C1309">_xlfn.XLOOKUP(A1309,'Video Database'!L:L,'Video Database'!E:E,"")</f>
        <v>Account 4</v>
      </c>
      <c r="D1309" s="99" t="str">
        <f t="array" ref="D1309">_xlfn.XLOOKUP(A1309,'Video Database'!L:L,'Video Database'!G:G,"")</f>
        <v>Taste Salud Skin + Beauty Drink Mix</v>
      </c>
      <c r="E1309" s="100">
        <f t="array" ref="E1309">_xlfn.XLOOKUP(A1309,'Video Database'!L:L,'Video Database'!H:H,"")</f>
        <v>1.1</v>
      </c>
      <c r="F1309" s="101"/>
      <c r="G1309" s="87"/>
      <c r="H1309" s="114">
        <f t="array" ref="H1309">_xlfn.XLOOKUP(A1309,'Video Database'!L:L,'Video Database'!A:A,"")</f>
        <v>46206</v>
      </c>
      <c r="I1309" s="103"/>
      <c r="J1309" s="104"/>
      <c r="K1309" s="105"/>
      <c r="L1309" s="105" t="str">
        <f t="shared" si="13"/>
        <v/>
      </c>
      <c r="O1309" s="106" t="str">
        <f t="shared" si="2"/>
        <v>#N/A</v>
      </c>
      <c r="P1309" s="106" t="str">
        <f t="shared" si="3"/>
        <v>#N/A</v>
      </c>
      <c r="Q1309" s="84" t="str">
        <f t="shared" si="4"/>
        <v>#N/A</v>
      </c>
      <c r="R1309" s="84" t="str">
        <f t="shared" si="5"/>
        <v>#N/A</v>
      </c>
      <c r="S1309" s="107">
        <f t="shared" si="6"/>
        <v>-1.1</v>
      </c>
      <c r="T1309" s="108">
        <f t="shared" si="7"/>
        <v>-1</v>
      </c>
      <c r="U1309" s="106" t="str">
        <f t="shared" si="8"/>
        <v>#N/A</v>
      </c>
      <c r="V1309" s="84" t="str">
        <f t="shared" si="9"/>
        <v/>
      </c>
      <c r="W1309" s="109" t="str">
        <f t="shared" si="10"/>
        <v/>
      </c>
      <c r="X1309" s="109" t="str">
        <f t="shared" si="11"/>
        <v/>
      </c>
      <c r="Y1309" s="110" t="str">
        <f t="array" ref="Y1309">_xlfn.XLOOKUP(A1309,'Video Database'!L:L,'Video Database'!M:M,"")</f>
        <v>Middle of Funnel</v>
      </c>
    </row>
    <row r="1310" ht="22.5" customHeight="1">
      <c r="A1310" s="113">
        <f t="shared" si="12"/>
        <v>1309</v>
      </c>
      <c r="B1310" s="98" t="str">
        <f t="array" ref="B1310">_xlfn.XLOOKUP(A1310,'Video Database'!L:L,'Video Database'!D:D,"")</f>
        <v>Erin</v>
      </c>
      <c r="C1310" s="98" t="str">
        <f t="array" ref="C1310">_xlfn.XLOOKUP(A1310,'Video Database'!L:L,'Video Database'!E:E,"")</f>
        <v>Account 4</v>
      </c>
      <c r="D1310" s="99" t="str">
        <f t="array" ref="D1310">_xlfn.XLOOKUP(A1310,'Video Database'!L:L,'Video Database'!G:G,"")</f>
        <v>Medicube Kojic Accid Tumeric Pads</v>
      </c>
      <c r="E1310" s="100">
        <f t="array" ref="E1310">_xlfn.XLOOKUP(A1310,'Video Database'!L:L,'Video Database'!H:H,"")</f>
        <v>0.7337</v>
      </c>
      <c r="F1310" s="101"/>
      <c r="G1310" s="87"/>
      <c r="H1310" s="114">
        <f t="array" ref="H1310">_xlfn.XLOOKUP(A1310,'Video Database'!L:L,'Video Database'!A:A,"")</f>
        <v>46206</v>
      </c>
      <c r="I1310" s="103"/>
      <c r="J1310" s="104"/>
      <c r="K1310" s="105"/>
      <c r="L1310" s="105" t="str">
        <f t="shared" si="13"/>
        <v/>
      </c>
      <c r="O1310" s="106" t="str">
        <f t="shared" si="2"/>
        <v>#N/A</v>
      </c>
      <c r="P1310" s="106" t="str">
        <f t="shared" si="3"/>
        <v>#N/A</v>
      </c>
      <c r="Q1310" s="84" t="str">
        <f t="shared" si="4"/>
        <v>#N/A</v>
      </c>
      <c r="R1310" s="84" t="str">
        <f t="shared" si="5"/>
        <v>#N/A</v>
      </c>
      <c r="S1310" s="107">
        <f t="shared" si="6"/>
        <v>-0.7337</v>
      </c>
      <c r="T1310" s="108">
        <f t="shared" si="7"/>
        <v>-1</v>
      </c>
      <c r="U1310" s="106" t="str">
        <f t="shared" si="8"/>
        <v>#N/A</v>
      </c>
      <c r="V1310" s="84" t="str">
        <f t="shared" si="9"/>
        <v/>
      </c>
      <c r="W1310" s="109" t="str">
        <f t="shared" si="10"/>
        <v/>
      </c>
      <c r="X1310" s="109" t="str">
        <f t="shared" si="11"/>
        <v/>
      </c>
      <c r="Y1310" s="110" t="str">
        <f t="array" ref="Y1310">_xlfn.XLOOKUP(A1310,'Video Database'!L:L,'Video Database'!M:M,"")</f>
        <v>Bottom of Funnel</v>
      </c>
    </row>
    <row r="1311" ht="22.5" customHeight="1">
      <c r="A1311" s="113">
        <f t="shared" si="12"/>
        <v>1310</v>
      </c>
      <c r="B1311" s="98" t="str">
        <f t="array" ref="B1311">_xlfn.XLOOKUP(A1311,'Video Database'!L:L,'Video Database'!D:D,"")</f>
        <v>Erin</v>
      </c>
      <c r="C1311" s="98" t="str">
        <f t="array" ref="C1311">_xlfn.XLOOKUP(A1311,'Video Database'!L:L,'Video Database'!E:E,"")</f>
        <v>Account 4</v>
      </c>
      <c r="D1311" s="99" t="str">
        <f t="array" ref="D1311">_xlfn.XLOOKUP(A1311,'Video Database'!L:L,'Video Database'!G:G,"")</f>
        <v>XL Microfiber Towel</v>
      </c>
      <c r="E1311" s="100">
        <f t="array" ref="E1311">_xlfn.XLOOKUP(A1311,'Video Database'!L:L,'Video Database'!H:H,"")</f>
        <v>0.7337</v>
      </c>
      <c r="F1311" s="101"/>
      <c r="G1311" s="87"/>
      <c r="H1311" s="114">
        <f t="array" ref="H1311">_xlfn.XLOOKUP(A1311,'Video Database'!L:L,'Video Database'!A:A,"")</f>
        <v>46206</v>
      </c>
      <c r="I1311" s="103"/>
      <c r="J1311" s="104"/>
      <c r="K1311" s="105"/>
      <c r="L1311" s="105" t="str">
        <f t="shared" si="13"/>
        <v/>
      </c>
      <c r="O1311" s="106" t="str">
        <f t="shared" si="2"/>
        <v>#N/A</v>
      </c>
      <c r="P1311" s="106" t="str">
        <f t="shared" si="3"/>
        <v>#N/A</v>
      </c>
      <c r="Q1311" s="84" t="str">
        <f t="shared" si="4"/>
        <v>#N/A</v>
      </c>
      <c r="R1311" s="84" t="str">
        <f t="shared" si="5"/>
        <v>#N/A</v>
      </c>
      <c r="S1311" s="107">
        <f t="shared" si="6"/>
        <v>-0.7337</v>
      </c>
      <c r="T1311" s="108">
        <f t="shared" si="7"/>
        <v>-1</v>
      </c>
      <c r="U1311" s="106" t="str">
        <f t="shared" si="8"/>
        <v>#N/A</v>
      </c>
      <c r="V1311" s="84" t="str">
        <f t="shared" si="9"/>
        <v/>
      </c>
      <c r="W1311" s="109" t="str">
        <f t="shared" si="10"/>
        <v/>
      </c>
      <c r="X1311" s="109" t="str">
        <f t="shared" si="11"/>
        <v/>
      </c>
      <c r="Y1311" s="110" t="str">
        <f t="array" ref="Y1311">_xlfn.XLOOKUP(A1311,'Video Database'!L:L,'Video Database'!M:M,"")</f>
        <v>Bottom of Funnel</v>
      </c>
    </row>
    <row r="1312" ht="22.5" customHeight="1">
      <c r="A1312" s="113">
        <f t="shared" si="12"/>
        <v>1311</v>
      </c>
      <c r="B1312" s="98" t="str">
        <f t="array" ref="B1312">_xlfn.XLOOKUP(A1312,'Video Database'!L:L,'Video Database'!D:D,"")</f>
        <v>Sierra</v>
      </c>
      <c r="C1312" s="98" t="str">
        <f t="array" ref="C1312">_xlfn.XLOOKUP(A1312,'Video Database'!L:L,'Video Database'!E:E,"")</f>
        <v>Account 4</v>
      </c>
      <c r="D1312" s="99" t="str">
        <f t="array" ref="D1312">_xlfn.XLOOKUP(A1312,'Video Database'!L:L,'Video Database'!G:G,"")</f>
        <v>SKIN1004 Hyla-Cica Water Fit Sunscreen</v>
      </c>
      <c r="E1312" s="100">
        <f t="array" ref="E1312">_xlfn.XLOOKUP(A1312,'Video Database'!L:L,'Video Database'!H:H,"")</f>
        <v>1.1</v>
      </c>
      <c r="F1312" s="101"/>
      <c r="G1312" s="87"/>
      <c r="H1312" s="114">
        <f t="array" ref="H1312">_xlfn.XLOOKUP(A1312,'Video Database'!L:L,'Video Database'!A:A,"")</f>
        <v>46206</v>
      </c>
      <c r="I1312" s="103"/>
      <c r="J1312" s="104"/>
      <c r="K1312" s="105"/>
      <c r="L1312" s="105" t="str">
        <f t="shared" si="13"/>
        <v/>
      </c>
      <c r="O1312" s="106" t="str">
        <f t="shared" si="2"/>
        <v>#N/A</v>
      </c>
      <c r="P1312" s="106" t="str">
        <f t="shared" si="3"/>
        <v>#N/A</v>
      </c>
      <c r="Q1312" s="84" t="str">
        <f t="shared" si="4"/>
        <v>#N/A</v>
      </c>
      <c r="R1312" s="84" t="str">
        <f t="shared" si="5"/>
        <v>#N/A</v>
      </c>
      <c r="S1312" s="107">
        <f t="shared" si="6"/>
        <v>-1.1</v>
      </c>
      <c r="T1312" s="108">
        <f t="shared" si="7"/>
        <v>-1</v>
      </c>
      <c r="U1312" s="106" t="str">
        <f t="shared" si="8"/>
        <v>#N/A</v>
      </c>
      <c r="V1312" s="84" t="str">
        <f t="shared" si="9"/>
        <v/>
      </c>
      <c r="W1312" s="109" t="str">
        <f t="shared" si="10"/>
        <v/>
      </c>
      <c r="X1312" s="109" t="str">
        <f t="shared" si="11"/>
        <v/>
      </c>
      <c r="Y1312" s="110" t="str">
        <f t="array" ref="Y1312">_xlfn.XLOOKUP(A1312,'Video Database'!L:L,'Video Database'!M:M,"")</f>
        <v>Middle of Funnel</v>
      </c>
    </row>
    <row r="1313" ht="22.5" customHeight="1">
      <c r="A1313" s="113">
        <f t="shared" si="12"/>
        <v>1312</v>
      </c>
      <c r="B1313" s="98" t="str">
        <f t="array" ref="B1313">_xlfn.XLOOKUP(A1313,'Video Database'!L:L,'Video Database'!D:D,"")</f>
        <v>Brittney</v>
      </c>
      <c r="C1313" s="98" t="str">
        <f t="array" ref="C1313">_xlfn.XLOOKUP(A1313,'Video Database'!L:L,'Video Database'!E:E,"")</f>
        <v>Account 4</v>
      </c>
      <c r="D1313" s="99" t="str">
        <f t="array" ref="D1313">_xlfn.XLOOKUP(A1313,'Video Database'!L:L,'Video Database'!G:G,"")</f>
        <v>Gruns Greens Popsicle Firecracker Gummies</v>
      </c>
      <c r="E1313" s="100">
        <f t="array" ref="E1313">_xlfn.XLOOKUP(A1313,'Video Database'!L:L,'Video Database'!H:H,"")</f>
        <v>0.11</v>
      </c>
      <c r="F1313" s="101"/>
      <c r="G1313" s="87"/>
      <c r="H1313" s="114">
        <f t="array" ref="H1313">_xlfn.XLOOKUP(A1313,'Video Database'!L:L,'Video Database'!A:A,"")</f>
        <v>46206</v>
      </c>
      <c r="I1313" s="103"/>
      <c r="J1313" s="104"/>
      <c r="K1313" s="105"/>
      <c r="L1313" s="105" t="str">
        <f t="shared" si="13"/>
        <v/>
      </c>
      <c r="O1313" s="106" t="str">
        <f t="shared" si="2"/>
        <v>#N/A</v>
      </c>
      <c r="P1313" s="106" t="str">
        <f t="shared" si="3"/>
        <v>#N/A</v>
      </c>
      <c r="Q1313" s="84" t="str">
        <f t="shared" si="4"/>
        <v>#N/A</v>
      </c>
      <c r="R1313" s="84" t="str">
        <f t="shared" si="5"/>
        <v>#N/A</v>
      </c>
      <c r="S1313" s="107">
        <f t="shared" si="6"/>
        <v>-0.11</v>
      </c>
      <c r="T1313" s="108">
        <f t="shared" si="7"/>
        <v>-1</v>
      </c>
      <c r="U1313" s="106" t="str">
        <f t="shared" si="8"/>
        <v>#N/A</v>
      </c>
      <c r="V1313" s="84" t="str">
        <f t="shared" si="9"/>
        <v/>
      </c>
      <c r="W1313" s="109" t="str">
        <f t="shared" si="10"/>
        <v/>
      </c>
      <c r="X1313" s="109" t="str">
        <f t="shared" si="11"/>
        <v/>
      </c>
      <c r="Y1313" s="110" t="str">
        <f t="array" ref="Y1313">_xlfn.XLOOKUP(A1313,'Video Database'!L:L,'Video Database'!M:M,"")</f>
        <v>Bottom of Funnel</v>
      </c>
    </row>
    <row r="1314" ht="22.5" customHeight="1">
      <c r="A1314" s="113">
        <f t="shared" si="12"/>
        <v>1313</v>
      </c>
      <c r="B1314" s="98" t="str">
        <f t="array" ref="B1314">_xlfn.XLOOKUP(A1314,'Video Database'!L:L,'Video Database'!D:D,"")</f>
        <v>Erin</v>
      </c>
      <c r="C1314" s="98" t="str">
        <f t="array" ref="C1314">_xlfn.XLOOKUP(A1314,'Video Database'!L:L,'Video Database'!E:E,"")</f>
        <v>Account 1</v>
      </c>
      <c r="D1314" s="99" t="str">
        <f t="array" ref="D1314">_xlfn.XLOOKUP(A1314,'Video Database'!L:L,'Video Database'!G:G,"")</f>
        <v>Kaja Beauty 3-in-1 Eyeshadow Stack</v>
      </c>
      <c r="E1314" s="100">
        <f t="array" ref="E1314">_xlfn.XLOOKUP(A1314,'Video Database'!L:L,'Video Database'!H:H,"")</f>
        <v>0.7337</v>
      </c>
      <c r="F1314" s="101"/>
      <c r="G1314" s="87"/>
      <c r="H1314" s="114">
        <f t="array" ref="H1314">_xlfn.XLOOKUP(A1314,'Video Database'!L:L,'Video Database'!A:A,"")</f>
        <v>46207</v>
      </c>
      <c r="I1314" s="103"/>
      <c r="J1314" s="104"/>
      <c r="K1314" s="105"/>
      <c r="L1314" s="105" t="str">
        <f t="shared" si="13"/>
        <v/>
      </c>
      <c r="O1314" s="106" t="str">
        <f t="shared" si="2"/>
        <v>#N/A</v>
      </c>
      <c r="P1314" s="106" t="str">
        <f t="shared" si="3"/>
        <v>#N/A</v>
      </c>
      <c r="Q1314" s="84" t="str">
        <f t="shared" si="4"/>
        <v>#N/A</v>
      </c>
      <c r="R1314" s="84" t="str">
        <f t="shared" si="5"/>
        <v>#N/A</v>
      </c>
      <c r="S1314" s="107">
        <f t="shared" si="6"/>
        <v>-0.7337</v>
      </c>
      <c r="T1314" s="108">
        <f t="shared" si="7"/>
        <v>-1</v>
      </c>
      <c r="U1314" s="106" t="str">
        <f t="shared" si="8"/>
        <v>#N/A</v>
      </c>
      <c r="V1314" s="84" t="str">
        <f t="shared" si="9"/>
        <v/>
      </c>
      <c r="W1314" s="109" t="str">
        <f t="shared" si="10"/>
        <v/>
      </c>
      <c r="X1314" s="109" t="str">
        <f t="shared" si="11"/>
        <v/>
      </c>
      <c r="Y1314" s="110" t="str">
        <f t="array" ref="Y1314">_xlfn.XLOOKUP(A1314,'Video Database'!L:L,'Video Database'!M:M,"")</f>
        <v>Bottom of Funnel</v>
      </c>
    </row>
    <row r="1315" ht="22.5" customHeight="1">
      <c r="A1315" s="113">
        <f t="shared" si="12"/>
        <v>1314</v>
      </c>
      <c r="B1315" s="98" t="str">
        <f t="array" ref="B1315">_xlfn.XLOOKUP(A1315,'Video Database'!L:L,'Video Database'!D:D,"")</f>
        <v>Erin</v>
      </c>
      <c r="C1315" s="98" t="str">
        <f t="array" ref="C1315">_xlfn.XLOOKUP(A1315,'Video Database'!L:L,'Video Database'!E:E,"")</f>
        <v>Account 1</v>
      </c>
      <c r="D1315" s="99" t="str">
        <f t="array" ref="D1315">_xlfn.XLOOKUP(A1315,'Video Database'!L:L,'Video Database'!G:G,"")</f>
        <v>Carovo Hoop Earrings Set</v>
      </c>
      <c r="E1315" s="100">
        <f t="array" ref="E1315">_xlfn.XLOOKUP(A1315,'Video Database'!L:L,'Video Database'!H:H,"")</f>
        <v>0.7337</v>
      </c>
      <c r="F1315" s="101"/>
      <c r="G1315" s="87"/>
      <c r="H1315" s="114">
        <f t="array" ref="H1315">_xlfn.XLOOKUP(A1315,'Video Database'!L:L,'Video Database'!A:A,"")</f>
        <v>46207</v>
      </c>
      <c r="I1315" s="103"/>
      <c r="J1315" s="104"/>
      <c r="K1315" s="105"/>
      <c r="L1315" s="105" t="str">
        <f t="shared" si="13"/>
        <v/>
      </c>
      <c r="O1315" s="106" t="str">
        <f t="shared" si="2"/>
        <v>#N/A</v>
      </c>
      <c r="P1315" s="106" t="str">
        <f t="shared" si="3"/>
        <v>#N/A</v>
      </c>
      <c r="Q1315" s="84" t="str">
        <f t="shared" si="4"/>
        <v>#N/A</v>
      </c>
      <c r="R1315" s="84" t="str">
        <f t="shared" si="5"/>
        <v>#N/A</v>
      </c>
      <c r="S1315" s="107">
        <f t="shared" si="6"/>
        <v>-0.7337</v>
      </c>
      <c r="T1315" s="108">
        <f t="shared" si="7"/>
        <v>-1</v>
      </c>
      <c r="U1315" s="106" t="str">
        <f t="shared" si="8"/>
        <v>#N/A</v>
      </c>
      <c r="V1315" s="84" t="str">
        <f t="shared" si="9"/>
        <v/>
      </c>
      <c r="W1315" s="109" t="str">
        <f t="shared" si="10"/>
        <v/>
      </c>
      <c r="X1315" s="109" t="str">
        <f t="shared" si="11"/>
        <v/>
      </c>
      <c r="Y1315" s="110" t="str">
        <f t="array" ref="Y1315">_xlfn.XLOOKUP(A1315,'Video Database'!L:L,'Video Database'!M:M,"")</f>
        <v>Bottom of Funnel</v>
      </c>
    </row>
    <row r="1316" ht="22.5" customHeight="1">
      <c r="A1316" s="113">
        <f t="shared" si="12"/>
        <v>1315</v>
      </c>
      <c r="B1316" s="98" t="str">
        <f t="array" ref="B1316">_xlfn.XLOOKUP(A1316,'Video Database'!L:L,'Video Database'!D:D,"")</f>
        <v>Brittney</v>
      </c>
      <c r="C1316" s="98" t="str">
        <f t="array" ref="C1316">_xlfn.XLOOKUP(A1316,'Video Database'!L:L,'Video Database'!E:E,"")</f>
        <v>Account 1</v>
      </c>
      <c r="D1316" s="99" t="str">
        <f t="array" ref="D1316">_xlfn.XLOOKUP(A1316,'Video Database'!L:L,'Video Database'!G:G,"")</f>
        <v>Gruns Greens Popsicle Firecracker Gummies</v>
      </c>
      <c r="E1316" s="100">
        <f t="array" ref="E1316">_xlfn.XLOOKUP(A1316,'Video Database'!L:L,'Video Database'!H:H,"")</f>
        <v>0.11</v>
      </c>
      <c r="F1316" s="101"/>
      <c r="G1316" s="87"/>
      <c r="H1316" s="114">
        <f t="array" ref="H1316">_xlfn.XLOOKUP(A1316,'Video Database'!L:L,'Video Database'!A:A,"")</f>
        <v>46207</v>
      </c>
      <c r="I1316" s="103"/>
      <c r="J1316" s="104"/>
      <c r="K1316" s="105"/>
      <c r="L1316" s="105" t="str">
        <f t="shared" si="13"/>
        <v/>
      </c>
      <c r="O1316" s="106" t="str">
        <f t="shared" si="2"/>
        <v>#N/A</v>
      </c>
      <c r="P1316" s="106" t="str">
        <f t="shared" si="3"/>
        <v>#N/A</v>
      </c>
      <c r="Q1316" s="84" t="str">
        <f t="shared" si="4"/>
        <v>#N/A</v>
      </c>
      <c r="R1316" s="84" t="str">
        <f t="shared" si="5"/>
        <v>#N/A</v>
      </c>
      <c r="S1316" s="107">
        <f t="shared" si="6"/>
        <v>-0.11</v>
      </c>
      <c r="T1316" s="108">
        <f t="shared" si="7"/>
        <v>-1</v>
      </c>
      <c r="U1316" s="106" t="str">
        <f t="shared" si="8"/>
        <v>#N/A</v>
      </c>
      <c r="V1316" s="84" t="str">
        <f t="shared" si="9"/>
        <v/>
      </c>
      <c r="W1316" s="109" t="str">
        <f t="shared" si="10"/>
        <v/>
      </c>
      <c r="X1316" s="109" t="str">
        <f t="shared" si="11"/>
        <v/>
      </c>
      <c r="Y1316" s="110" t="str">
        <f t="array" ref="Y1316">_xlfn.XLOOKUP(A1316,'Video Database'!L:L,'Video Database'!M:M,"")</f>
        <v>Bottom of Funnel</v>
      </c>
    </row>
    <row r="1317" ht="22.5" customHeight="1">
      <c r="A1317" s="113">
        <f t="shared" si="12"/>
        <v>1316</v>
      </c>
      <c r="B1317" s="98" t="str">
        <f t="array" ref="B1317">_xlfn.XLOOKUP(A1317,'Video Database'!L:L,'Video Database'!D:D,"")</f>
        <v>Sierra</v>
      </c>
      <c r="C1317" s="98" t="str">
        <f t="array" ref="C1317">_xlfn.XLOOKUP(A1317,'Video Database'!L:L,'Video Database'!E:E,"")</f>
        <v>Account 1</v>
      </c>
      <c r="D1317" s="99" t="str">
        <f t="array" ref="D1317">_xlfn.XLOOKUP(A1317,'Video Database'!L:L,'Video Database'!G:G,"")</f>
        <v>SKIN1004 Hyla-Cica Water Fit Sunscreen</v>
      </c>
      <c r="E1317" s="100">
        <f t="array" ref="E1317">_xlfn.XLOOKUP(A1317,'Video Database'!L:L,'Video Database'!H:H,"")</f>
        <v>1.1</v>
      </c>
      <c r="F1317" s="101"/>
      <c r="G1317" s="87"/>
      <c r="H1317" s="114">
        <f t="array" ref="H1317">_xlfn.XLOOKUP(A1317,'Video Database'!L:L,'Video Database'!A:A,"")</f>
        <v>46207</v>
      </c>
      <c r="I1317" s="103"/>
      <c r="J1317" s="104"/>
      <c r="K1317" s="105"/>
      <c r="L1317" s="105" t="str">
        <f t="shared" si="13"/>
        <v/>
      </c>
      <c r="O1317" s="106" t="str">
        <f t="shared" si="2"/>
        <v>#N/A</v>
      </c>
      <c r="P1317" s="106" t="str">
        <f t="shared" si="3"/>
        <v>#N/A</v>
      </c>
      <c r="Q1317" s="84" t="str">
        <f t="shared" si="4"/>
        <v>#N/A</v>
      </c>
      <c r="R1317" s="84" t="str">
        <f t="shared" si="5"/>
        <v>#N/A</v>
      </c>
      <c r="S1317" s="107">
        <f t="shared" si="6"/>
        <v>-1.1</v>
      </c>
      <c r="T1317" s="108">
        <f t="shared" si="7"/>
        <v>-1</v>
      </c>
      <c r="U1317" s="106" t="str">
        <f t="shared" si="8"/>
        <v>#N/A</v>
      </c>
      <c r="V1317" s="84" t="str">
        <f t="shared" si="9"/>
        <v/>
      </c>
      <c r="W1317" s="109" t="str">
        <f t="shared" si="10"/>
        <v/>
      </c>
      <c r="X1317" s="109" t="str">
        <f t="shared" si="11"/>
        <v/>
      </c>
      <c r="Y1317" s="110" t="str">
        <f t="array" ref="Y1317">_xlfn.XLOOKUP(A1317,'Video Database'!L:L,'Video Database'!M:M,"")</f>
        <v>Middle of Funnel</v>
      </c>
    </row>
    <row r="1318" ht="22.5" customHeight="1">
      <c r="A1318" s="113">
        <f t="shared" si="12"/>
        <v>1317</v>
      </c>
      <c r="B1318" s="98" t="str">
        <f t="array" ref="B1318">_xlfn.XLOOKUP(A1318,'Video Database'!L:L,'Video Database'!D:D,"")</f>
        <v>Brittney</v>
      </c>
      <c r="C1318" s="98" t="str">
        <f t="array" ref="C1318">_xlfn.XLOOKUP(A1318,'Video Database'!L:L,'Video Database'!E:E,"")</f>
        <v>Account 1</v>
      </c>
      <c r="D1318" s="99" t="str">
        <f t="array" ref="D1318">_xlfn.XLOOKUP(A1318,'Video Database'!L:L,'Video Database'!G:G,"")</f>
        <v>Gruns Greens Popsicle Firecracker Gummies</v>
      </c>
      <c r="E1318" s="100">
        <f t="array" ref="E1318">_xlfn.XLOOKUP(A1318,'Video Database'!L:L,'Video Database'!H:H,"")</f>
        <v>0.11</v>
      </c>
      <c r="F1318" s="101"/>
      <c r="G1318" s="87"/>
      <c r="H1318" s="114">
        <f t="array" ref="H1318">_xlfn.XLOOKUP(A1318,'Video Database'!L:L,'Video Database'!A:A,"")</f>
        <v>46207</v>
      </c>
      <c r="I1318" s="103"/>
      <c r="J1318" s="104"/>
      <c r="K1318" s="105"/>
      <c r="L1318" s="105" t="str">
        <f t="shared" si="13"/>
        <v/>
      </c>
      <c r="O1318" s="106" t="str">
        <f t="shared" si="2"/>
        <v>#N/A</v>
      </c>
      <c r="P1318" s="106" t="str">
        <f t="shared" si="3"/>
        <v>#N/A</v>
      </c>
      <c r="Q1318" s="84" t="str">
        <f t="shared" si="4"/>
        <v>#N/A</v>
      </c>
      <c r="R1318" s="84" t="str">
        <f t="shared" si="5"/>
        <v>#N/A</v>
      </c>
      <c r="S1318" s="107">
        <f t="shared" si="6"/>
        <v>-0.11</v>
      </c>
      <c r="T1318" s="108">
        <f t="shared" si="7"/>
        <v>-1</v>
      </c>
      <c r="U1318" s="106" t="str">
        <f t="shared" si="8"/>
        <v>#N/A</v>
      </c>
      <c r="V1318" s="84" t="str">
        <f t="shared" si="9"/>
        <v/>
      </c>
      <c r="W1318" s="109" t="str">
        <f t="shared" si="10"/>
        <v/>
      </c>
      <c r="X1318" s="109" t="str">
        <f t="shared" si="11"/>
        <v/>
      </c>
      <c r="Y1318" s="110" t="str">
        <f t="array" ref="Y1318">_xlfn.XLOOKUP(A1318,'Video Database'!L:L,'Video Database'!M:M,"")</f>
        <v>Bottom of Funnel</v>
      </c>
    </row>
    <row r="1319" ht="22.5" customHeight="1">
      <c r="A1319" s="113">
        <f t="shared" si="12"/>
        <v>1318</v>
      </c>
      <c r="B1319" s="98" t="str">
        <f t="array" ref="B1319">_xlfn.XLOOKUP(A1319,'Video Database'!L:L,'Video Database'!D:D,"")</f>
        <v>Sierra</v>
      </c>
      <c r="C1319" s="98" t="str">
        <f t="array" ref="C1319">_xlfn.XLOOKUP(A1319,'Video Database'!L:L,'Video Database'!E:E,"")</f>
        <v>Account 1</v>
      </c>
      <c r="D1319" s="99" t="str">
        <f t="array" ref="D1319">_xlfn.XLOOKUP(A1319,'Video Database'!L:L,'Video Database'!G:G,"")</f>
        <v>Taste Salud Skin + Beauty Drink Mix</v>
      </c>
      <c r="E1319" s="100">
        <f t="array" ref="E1319">_xlfn.XLOOKUP(A1319,'Video Database'!L:L,'Video Database'!H:H,"")</f>
        <v>1.1</v>
      </c>
      <c r="F1319" s="101"/>
      <c r="G1319" s="87"/>
      <c r="H1319" s="114">
        <f t="array" ref="H1319">_xlfn.XLOOKUP(A1319,'Video Database'!L:L,'Video Database'!A:A,"")</f>
        <v>46207</v>
      </c>
      <c r="I1319" s="103"/>
      <c r="J1319" s="104"/>
      <c r="K1319" s="105"/>
      <c r="L1319" s="105" t="str">
        <f t="shared" si="13"/>
        <v/>
      </c>
      <c r="O1319" s="106" t="str">
        <f t="shared" si="2"/>
        <v>#N/A</v>
      </c>
      <c r="P1319" s="106" t="str">
        <f t="shared" si="3"/>
        <v>#N/A</v>
      </c>
      <c r="Q1319" s="84" t="str">
        <f t="shared" si="4"/>
        <v>#N/A</v>
      </c>
      <c r="R1319" s="84" t="str">
        <f t="shared" si="5"/>
        <v>#N/A</v>
      </c>
      <c r="S1319" s="107">
        <f t="shared" si="6"/>
        <v>-1.1</v>
      </c>
      <c r="T1319" s="108">
        <f t="shared" si="7"/>
        <v>-1</v>
      </c>
      <c r="U1319" s="106" t="str">
        <f t="shared" si="8"/>
        <v>#N/A</v>
      </c>
      <c r="V1319" s="84" t="str">
        <f t="shared" si="9"/>
        <v/>
      </c>
      <c r="W1319" s="109" t="str">
        <f t="shared" si="10"/>
        <v/>
      </c>
      <c r="X1319" s="109" t="str">
        <f t="shared" si="11"/>
        <v/>
      </c>
      <c r="Y1319" s="110" t="str">
        <f t="array" ref="Y1319">_xlfn.XLOOKUP(A1319,'Video Database'!L:L,'Video Database'!M:M,"")</f>
        <v>Middle of Funnel</v>
      </c>
    </row>
    <row r="1320" ht="22.5" customHeight="1">
      <c r="A1320" s="113">
        <f t="shared" si="12"/>
        <v>1319</v>
      </c>
      <c r="B1320" s="98" t="str">
        <f t="array" ref="B1320">_xlfn.XLOOKUP(A1320,'Video Database'!L:L,'Video Database'!D:D,"")</f>
        <v>Erin</v>
      </c>
      <c r="C1320" s="98" t="str">
        <f t="array" ref="C1320">_xlfn.XLOOKUP(A1320,'Video Database'!L:L,'Video Database'!E:E,"")</f>
        <v>Account 1</v>
      </c>
      <c r="D1320" s="99" t="str">
        <f t="array" ref="D1320">_xlfn.XLOOKUP(A1320,'Video Database'!L:L,'Video Database'!G:G,"")</f>
        <v>Faux Pearl Decorated Link Bracelet</v>
      </c>
      <c r="E1320" s="100">
        <f t="array" ref="E1320">_xlfn.XLOOKUP(A1320,'Video Database'!L:L,'Video Database'!H:H,"")</f>
        <v>0.7337</v>
      </c>
      <c r="F1320" s="101"/>
      <c r="G1320" s="87"/>
      <c r="H1320" s="114">
        <f t="array" ref="H1320">_xlfn.XLOOKUP(A1320,'Video Database'!L:L,'Video Database'!A:A,"")</f>
        <v>46207</v>
      </c>
      <c r="I1320" s="103"/>
      <c r="J1320" s="104"/>
      <c r="K1320" s="105"/>
      <c r="L1320" s="105" t="str">
        <f t="shared" si="13"/>
        <v/>
      </c>
      <c r="O1320" s="106" t="str">
        <f t="shared" si="2"/>
        <v>#N/A</v>
      </c>
      <c r="P1320" s="106" t="str">
        <f t="shared" si="3"/>
        <v>#N/A</v>
      </c>
      <c r="Q1320" s="84" t="str">
        <f t="shared" si="4"/>
        <v>#N/A</v>
      </c>
      <c r="R1320" s="84" t="str">
        <f t="shared" si="5"/>
        <v>#N/A</v>
      </c>
      <c r="S1320" s="107">
        <f t="shared" si="6"/>
        <v>-0.7337</v>
      </c>
      <c r="T1320" s="108">
        <f t="shared" si="7"/>
        <v>-1</v>
      </c>
      <c r="U1320" s="106" t="str">
        <f t="shared" si="8"/>
        <v>#N/A</v>
      </c>
      <c r="V1320" s="84" t="str">
        <f t="shared" si="9"/>
        <v/>
      </c>
      <c r="W1320" s="109" t="str">
        <f t="shared" si="10"/>
        <v/>
      </c>
      <c r="X1320" s="109" t="str">
        <f t="shared" si="11"/>
        <v/>
      </c>
      <c r="Y1320" s="110" t="str">
        <f t="array" ref="Y1320">_xlfn.XLOOKUP(A1320,'Video Database'!L:L,'Video Database'!M:M,"")</f>
        <v>Bottom of Funnel</v>
      </c>
    </row>
    <row r="1321" ht="22.5" customHeight="1">
      <c r="A1321" s="113">
        <f t="shared" si="12"/>
        <v>1320</v>
      </c>
      <c r="B1321" s="98" t="str">
        <f t="array" ref="B1321">_xlfn.XLOOKUP(A1321,'Video Database'!L:L,'Video Database'!D:D,"")</f>
        <v>Brittney</v>
      </c>
      <c r="C1321" s="98" t="str">
        <f t="array" ref="C1321">_xlfn.XLOOKUP(A1321,'Video Database'!L:L,'Video Database'!E:E,"")</f>
        <v>Account 1</v>
      </c>
      <c r="D1321" s="99" t="str">
        <f t="array" ref="D1321">_xlfn.XLOOKUP(A1321,'Video Database'!L:L,'Video Database'!G:G,"")</f>
        <v>Gruns Greens Popsicle Firecracker Gummies</v>
      </c>
      <c r="E1321" s="100">
        <f t="array" ref="E1321">_xlfn.XLOOKUP(A1321,'Video Database'!L:L,'Video Database'!H:H,"")</f>
        <v>0.11</v>
      </c>
      <c r="F1321" s="101"/>
      <c r="G1321" s="87"/>
      <c r="H1321" s="114">
        <f t="array" ref="H1321">_xlfn.XLOOKUP(A1321,'Video Database'!L:L,'Video Database'!A:A,"")</f>
        <v>46207</v>
      </c>
      <c r="I1321" s="103"/>
      <c r="J1321" s="104"/>
      <c r="K1321" s="105"/>
      <c r="L1321" s="105" t="str">
        <f t="shared" si="13"/>
        <v/>
      </c>
      <c r="O1321" s="106" t="str">
        <f t="shared" si="2"/>
        <v>#N/A</v>
      </c>
      <c r="P1321" s="106" t="str">
        <f t="shared" si="3"/>
        <v>#N/A</v>
      </c>
      <c r="Q1321" s="84" t="str">
        <f t="shared" si="4"/>
        <v>#N/A</v>
      </c>
      <c r="R1321" s="84" t="str">
        <f t="shared" si="5"/>
        <v>#N/A</v>
      </c>
      <c r="S1321" s="107">
        <f t="shared" si="6"/>
        <v>-0.11</v>
      </c>
      <c r="T1321" s="108">
        <f t="shared" si="7"/>
        <v>-1</v>
      </c>
      <c r="U1321" s="106" t="str">
        <f t="shared" si="8"/>
        <v>#N/A</v>
      </c>
      <c r="V1321" s="84" t="str">
        <f t="shared" si="9"/>
        <v/>
      </c>
      <c r="W1321" s="109" t="str">
        <f t="shared" si="10"/>
        <v/>
      </c>
      <c r="X1321" s="109" t="str">
        <f t="shared" si="11"/>
        <v/>
      </c>
      <c r="Y1321" s="110" t="str">
        <f t="array" ref="Y1321">_xlfn.XLOOKUP(A1321,'Video Database'!L:L,'Video Database'!M:M,"")</f>
        <v>Bottom of Funnel</v>
      </c>
    </row>
    <row r="1322" ht="22.5" customHeight="1">
      <c r="A1322" s="113">
        <f t="shared" si="12"/>
        <v>1321</v>
      </c>
      <c r="B1322" s="98" t="str">
        <f t="array" ref="B1322">_xlfn.XLOOKUP(A1322,'Video Database'!L:L,'Video Database'!D:D,"")</f>
        <v>Erin</v>
      </c>
      <c r="C1322" s="98" t="str">
        <f t="array" ref="C1322">_xlfn.XLOOKUP(A1322,'Video Database'!L:L,'Video Database'!E:E,"")</f>
        <v>Account 1</v>
      </c>
      <c r="D1322" s="99" t="str">
        <f t="array" ref="D1322">_xlfn.XLOOKUP(A1322,'Video Database'!L:L,'Video Database'!G:G,"")</f>
        <v>XL Microfiber Towel</v>
      </c>
      <c r="E1322" s="100">
        <f t="array" ref="E1322">_xlfn.XLOOKUP(A1322,'Video Database'!L:L,'Video Database'!H:H,"")</f>
        <v>0.7337</v>
      </c>
      <c r="F1322" s="101"/>
      <c r="G1322" s="87"/>
      <c r="H1322" s="114">
        <f t="array" ref="H1322">_xlfn.XLOOKUP(A1322,'Video Database'!L:L,'Video Database'!A:A,"")</f>
        <v>46207</v>
      </c>
      <c r="I1322" s="103"/>
      <c r="J1322" s="104"/>
      <c r="K1322" s="105"/>
      <c r="L1322" s="105" t="str">
        <f t="shared" si="13"/>
        <v/>
      </c>
      <c r="O1322" s="106" t="str">
        <f t="shared" si="2"/>
        <v>#N/A</v>
      </c>
      <c r="P1322" s="106" t="str">
        <f t="shared" si="3"/>
        <v>#N/A</v>
      </c>
      <c r="Q1322" s="84" t="str">
        <f t="shared" si="4"/>
        <v>#N/A</v>
      </c>
      <c r="R1322" s="84" t="str">
        <f t="shared" si="5"/>
        <v>#N/A</v>
      </c>
      <c r="S1322" s="107">
        <f t="shared" si="6"/>
        <v>-0.7337</v>
      </c>
      <c r="T1322" s="108">
        <f t="shared" si="7"/>
        <v>-1</v>
      </c>
      <c r="U1322" s="106" t="str">
        <f t="shared" si="8"/>
        <v>#N/A</v>
      </c>
      <c r="V1322" s="84" t="str">
        <f t="shared" si="9"/>
        <v/>
      </c>
      <c r="W1322" s="109" t="str">
        <f t="shared" si="10"/>
        <v/>
      </c>
      <c r="X1322" s="109" t="str">
        <f t="shared" si="11"/>
        <v/>
      </c>
      <c r="Y1322" s="110" t="str">
        <f t="array" ref="Y1322">_xlfn.XLOOKUP(A1322,'Video Database'!L:L,'Video Database'!M:M,"")</f>
        <v>Bottom of Funnel</v>
      </c>
    </row>
    <row r="1323" ht="22.5" customHeight="1">
      <c r="A1323" s="113">
        <f t="shared" si="12"/>
        <v>1322</v>
      </c>
      <c r="B1323" s="98" t="str">
        <f t="array" ref="B1323">_xlfn.XLOOKUP(A1323,'Video Database'!L:L,'Video Database'!D:D,"")</f>
        <v>Erin</v>
      </c>
      <c r="C1323" s="98" t="str">
        <f t="array" ref="C1323">_xlfn.XLOOKUP(A1323,'Video Database'!L:L,'Video Database'!E:E,"")</f>
        <v>Account 1</v>
      </c>
      <c r="D1323" s="99" t="str">
        <f t="array" ref="D1323">_xlfn.XLOOKUP(A1323,'Video Database'!L:L,'Video Database'!G:G,"")</f>
        <v>Medicube Kojic Accid Tumeric Pads</v>
      </c>
      <c r="E1323" s="100">
        <f t="array" ref="E1323">_xlfn.XLOOKUP(A1323,'Video Database'!L:L,'Video Database'!H:H,"")</f>
        <v>0.7337</v>
      </c>
      <c r="F1323" s="101"/>
      <c r="G1323" s="87"/>
      <c r="H1323" s="114">
        <f t="array" ref="H1323">_xlfn.XLOOKUP(A1323,'Video Database'!L:L,'Video Database'!A:A,"")</f>
        <v>46207</v>
      </c>
      <c r="I1323" s="103"/>
      <c r="J1323" s="104"/>
      <c r="K1323" s="105"/>
      <c r="L1323" s="105" t="str">
        <f t="shared" si="13"/>
        <v/>
      </c>
      <c r="O1323" s="106" t="str">
        <f t="shared" si="2"/>
        <v>#N/A</v>
      </c>
      <c r="P1323" s="106" t="str">
        <f t="shared" si="3"/>
        <v>#N/A</v>
      </c>
      <c r="Q1323" s="84" t="str">
        <f t="shared" si="4"/>
        <v>#N/A</v>
      </c>
      <c r="R1323" s="84" t="str">
        <f t="shared" si="5"/>
        <v>#N/A</v>
      </c>
      <c r="S1323" s="107">
        <f t="shared" si="6"/>
        <v>-0.7337</v>
      </c>
      <c r="T1323" s="108">
        <f t="shared" si="7"/>
        <v>-1</v>
      </c>
      <c r="U1323" s="106" t="str">
        <f t="shared" si="8"/>
        <v>#N/A</v>
      </c>
      <c r="V1323" s="84" t="str">
        <f t="shared" si="9"/>
        <v/>
      </c>
      <c r="W1323" s="109" t="str">
        <f t="shared" si="10"/>
        <v/>
      </c>
      <c r="X1323" s="109" t="str">
        <f t="shared" si="11"/>
        <v/>
      </c>
      <c r="Y1323" s="110" t="str">
        <f t="array" ref="Y1323">_xlfn.XLOOKUP(A1323,'Video Database'!L:L,'Video Database'!M:M,"")</f>
        <v>Bottom of Funnel</v>
      </c>
    </row>
    <row r="1324" ht="22.5" customHeight="1">
      <c r="A1324" s="113">
        <f t="shared" si="12"/>
        <v>1323</v>
      </c>
      <c r="B1324" s="98" t="str">
        <f t="array" ref="B1324">_xlfn.XLOOKUP(A1324,'Video Database'!L:L,'Video Database'!D:D,"")</f>
        <v>Erin</v>
      </c>
      <c r="C1324" s="98" t="str">
        <f t="array" ref="C1324">_xlfn.XLOOKUP(A1324,'Video Database'!L:L,'Video Database'!E:E,"")</f>
        <v>Account 2</v>
      </c>
      <c r="D1324" s="99" t="str">
        <f t="array" ref="D1324">_xlfn.XLOOKUP(A1324,'Video Database'!L:L,'Video Database'!G:G,"")</f>
        <v>Kaja Beauty 3-in-1 Eyeshadow Stack</v>
      </c>
      <c r="E1324" s="100">
        <f t="array" ref="E1324">_xlfn.XLOOKUP(A1324,'Video Database'!L:L,'Video Database'!H:H,"")</f>
        <v>0.7337</v>
      </c>
      <c r="F1324" s="101"/>
      <c r="G1324" s="87"/>
      <c r="H1324" s="114">
        <f t="array" ref="H1324">_xlfn.XLOOKUP(A1324,'Video Database'!L:L,'Video Database'!A:A,"")</f>
        <v>46207</v>
      </c>
      <c r="I1324" s="103"/>
      <c r="J1324" s="104"/>
      <c r="K1324" s="105"/>
      <c r="L1324" s="105" t="str">
        <f t="shared" si="13"/>
        <v/>
      </c>
      <c r="O1324" s="106" t="str">
        <f t="shared" si="2"/>
        <v>#N/A</v>
      </c>
      <c r="P1324" s="106" t="str">
        <f t="shared" si="3"/>
        <v>#N/A</v>
      </c>
      <c r="Q1324" s="84" t="str">
        <f t="shared" si="4"/>
        <v>#N/A</v>
      </c>
      <c r="R1324" s="84" t="str">
        <f t="shared" si="5"/>
        <v>#N/A</v>
      </c>
      <c r="S1324" s="107">
        <f t="shared" si="6"/>
        <v>-0.7337</v>
      </c>
      <c r="T1324" s="108">
        <f t="shared" si="7"/>
        <v>-1</v>
      </c>
      <c r="U1324" s="106" t="str">
        <f t="shared" si="8"/>
        <v>#N/A</v>
      </c>
      <c r="V1324" s="84" t="str">
        <f t="shared" si="9"/>
        <v/>
      </c>
      <c r="W1324" s="109" t="str">
        <f t="shared" si="10"/>
        <v/>
      </c>
      <c r="X1324" s="109" t="str">
        <f t="shared" si="11"/>
        <v/>
      </c>
      <c r="Y1324" s="110" t="str">
        <f t="array" ref="Y1324">_xlfn.XLOOKUP(A1324,'Video Database'!L:L,'Video Database'!M:M,"")</f>
        <v>Bottom of Funnel</v>
      </c>
    </row>
    <row r="1325" ht="22.5" customHeight="1">
      <c r="A1325" s="113">
        <f t="shared" si="12"/>
        <v>1324</v>
      </c>
      <c r="B1325" s="98" t="str">
        <f t="array" ref="B1325">_xlfn.XLOOKUP(A1325,'Video Database'!L:L,'Video Database'!D:D,"")</f>
        <v>Brittney</v>
      </c>
      <c r="C1325" s="98" t="str">
        <f t="array" ref="C1325">_xlfn.XLOOKUP(A1325,'Video Database'!L:L,'Video Database'!E:E,"")</f>
        <v>Account 2</v>
      </c>
      <c r="D1325" s="99" t="str">
        <f t="array" ref="D1325">_xlfn.XLOOKUP(A1325,'Video Database'!L:L,'Video Database'!G:G,"")</f>
        <v>Gruns Greens Popsicle Firecracker Gummies</v>
      </c>
      <c r="E1325" s="100">
        <f t="array" ref="E1325">_xlfn.XLOOKUP(A1325,'Video Database'!L:L,'Video Database'!H:H,"")</f>
        <v>0.11</v>
      </c>
      <c r="F1325" s="101"/>
      <c r="G1325" s="87"/>
      <c r="H1325" s="114">
        <f t="array" ref="H1325">_xlfn.XLOOKUP(A1325,'Video Database'!L:L,'Video Database'!A:A,"")</f>
        <v>46207</v>
      </c>
      <c r="I1325" s="103"/>
      <c r="J1325" s="104"/>
      <c r="K1325" s="105"/>
      <c r="L1325" s="105" t="str">
        <f t="shared" si="13"/>
        <v/>
      </c>
      <c r="O1325" s="106" t="str">
        <f t="shared" si="2"/>
        <v>#N/A</v>
      </c>
      <c r="P1325" s="106" t="str">
        <f t="shared" si="3"/>
        <v>#N/A</v>
      </c>
      <c r="Q1325" s="84" t="str">
        <f t="shared" si="4"/>
        <v>#N/A</v>
      </c>
      <c r="R1325" s="84" t="str">
        <f t="shared" si="5"/>
        <v>#N/A</v>
      </c>
      <c r="S1325" s="107">
        <f t="shared" si="6"/>
        <v>-0.11</v>
      </c>
      <c r="T1325" s="108">
        <f t="shared" si="7"/>
        <v>-1</v>
      </c>
      <c r="U1325" s="106" t="str">
        <f t="shared" si="8"/>
        <v>#N/A</v>
      </c>
      <c r="V1325" s="84" t="str">
        <f t="shared" si="9"/>
        <v/>
      </c>
      <c r="W1325" s="109" t="str">
        <f t="shared" si="10"/>
        <v/>
      </c>
      <c r="X1325" s="109" t="str">
        <f t="shared" si="11"/>
        <v/>
      </c>
      <c r="Y1325" s="110" t="str">
        <f t="array" ref="Y1325">_xlfn.XLOOKUP(A1325,'Video Database'!L:L,'Video Database'!M:M,"")</f>
        <v>Bottom of Funnel</v>
      </c>
    </row>
    <row r="1326" ht="22.5" customHeight="1">
      <c r="A1326" s="113">
        <f t="shared" si="12"/>
        <v>1325</v>
      </c>
      <c r="B1326" s="98" t="str">
        <f t="array" ref="B1326">_xlfn.XLOOKUP(A1326,'Video Database'!L:L,'Video Database'!D:D,"")</f>
        <v>Erin</v>
      </c>
      <c r="C1326" s="98" t="str">
        <f t="array" ref="C1326">_xlfn.XLOOKUP(A1326,'Video Database'!L:L,'Video Database'!E:E,"")</f>
        <v>Account 2</v>
      </c>
      <c r="D1326" s="99" t="str">
        <f t="array" ref="D1326">_xlfn.XLOOKUP(A1326,'Video Database'!L:L,'Video Database'!G:G,"")</f>
        <v>Carovo Hoop Earrings Set</v>
      </c>
      <c r="E1326" s="100">
        <f t="array" ref="E1326">_xlfn.XLOOKUP(A1326,'Video Database'!L:L,'Video Database'!H:H,"")</f>
        <v>0.7337</v>
      </c>
      <c r="F1326" s="101"/>
      <c r="G1326" s="87"/>
      <c r="H1326" s="114">
        <f t="array" ref="H1326">_xlfn.XLOOKUP(A1326,'Video Database'!L:L,'Video Database'!A:A,"")</f>
        <v>46207</v>
      </c>
      <c r="I1326" s="103"/>
      <c r="J1326" s="104"/>
      <c r="K1326" s="105"/>
      <c r="L1326" s="105" t="str">
        <f t="shared" si="13"/>
        <v/>
      </c>
      <c r="O1326" s="106" t="str">
        <f t="shared" si="2"/>
        <v>#N/A</v>
      </c>
      <c r="P1326" s="106" t="str">
        <f t="shared" si="3"/>
        <v>#N/A</v>
      </c>
      <c r="Q1326" s="84" t="str">
        <f t="shared" si="4"/>
        <v>#N/A</v>
      </c>
      <c r="R1326" s="84" t="str">
        <f t="shared" si="5"/>
        <v>#N/A</v>
      </c>
      <c r="S1326" s="107">
        <f t="shared" si="6"/>
        <v>-0.7337</v>
      </c>
      <c r="T1326" s="108">
        <f t="shared" si="7"/>
        <v>-1</v>
      </c>
      <c r="U1326" s="106" t="str">
        <f t="shared" si="8"/>
        <v>#N/A</v>
      </c>
      <c r="V1326" s="84" t="str">
        <f t="shared" si="9"/>
        <v/>
      </c>
      <c r="W1326" s="109" t="str">
        <f t="shared" si="10"/>
        <v/>
      </c>
      <c r="X1326" s="109" t="str">
        <f t="shared" si="11"/>
        <v/>
      </c>
      <c r="Y1326" s="110" t="str">
        <f t="array" ref="Y1326">_xlfn.XLOOKUP(A1326,'Video Database'!L:L,'Video Database'!M:M,"")</f>
        <v>Bottom of Funnel</v>
      </c>
    </row>
    <row r="1327" ht="22.5" customHeight="1">
      <c r="A1327" s="113">
        <f t="shared" si="12"/>
        <v>1326</v>
      </c>
      <c r="B1327" s="98" t="str">
        <f t="array" ref="B1327">_xlfn.XLOOKUP(A1327,'Video Database'!L:L,'Video Database'!D:D,"")</f>
        <v>Sierra</v>
      </c>
      <c r="C1327" s="98" t="str">
        <f t="array" ref="C1327">_xlfn.XLOOKUP(A1327,'Video Database'!L:L,'Video Database'!E:E,"")</f>
        <v>Account 2</v>
      </c>
      <c r="D1327" s="99" t="str">
        <f t="array" ref="D1327">_xlfn.XLOOKUP(A1327,'Video Database'!L:L,'Video Database'!G:G,"")</f>
        <v>Taste Salud Skin + Beauty Drink Mix</v>
      </c>
      <c r="E1327" s="100">
        <f t="array" ref="E1327">_xlfn.XLOOKUP(A1327,'Video Database'!L:L,'Video Database'!H:H,"")</f>
        <v>1.1</v>
      </c>
      <c r="F1327" s="101"/>
      <c r="G1327" s="87"/>
      <c r="H1327" s="114">
        <f t="array" ref="H1327">_xlfn.XLOOKUP(A1327,'Video Database'!L:L,'Video Database'!A:A,"")</f>
        <v>46207</v>
      </c>
      <c r="I1327" s="103"/>
      <c r="J1327" s="104"/>
      <c r="K1327" s="105"/>
      <c r="L1327" s="105" t="str">
        <f t="shared" si="13"/>
        <v/>
      </c>
      <c r="O1327" s="106" t="str">
        <f t="shared" si="2"/>
        <v>#N/A</v>
      </c>
      <c r="P1327" s="106" t="str">
        <f t="shared" si="3"/>
        <v>#N/A</v>
      </c>
      <c r="Q1327" s="84" t="str">
        <f t="shared" si="4"/>
        <v>#N/A</v>
      </c>
      <c r="R1327" s="84" t="str">
        <f t="shared" si="5"/>
        <v>#N/A</v>
      </c>
      <c r="S1327" s="107">
        <f t="shared" si="6"/>
        <v>-1.1</v>
      </c>
      <c r="T1327" s="108">
        <f t="shared" si="7"/>
        <v>-1</v>
      </c>
      <c r="U1327" s="106" t="str">
        <f t="shared" si="8"/>
        <v>#N/A</v>
      </c>
      <c r="V1327" s="84" t="str">
        <f t="shared" si="9"/>
        <v/>
      </c>
      <c r="W1327" s="109" t="str">
        <f t="shared" si="10"/>
        <v/>
      </c>
      <c r="X1327" s="109" t="str">
        <f t="shared" si="11"/>
        <v/>
      </c>
      <c r="Y1327" s="110" t="str">
        <f t="array" ref="Y1327">_xlfn.XLOOKUP(A1327,'Video Database'!L:L,'Video Database'!M:M,"")</f>
        <v>Middle of Funnel</v>
      </c>
    </row>
    <row r="1328" ht="22.5" customHeight="1">
      <c r="A1328" s="113">
        <f t="shared" si="12"/>
        <v>1327</v>
      </c>
      <c r="B1328" s="98" t="str">
        <f t="array" ref="B1328">_xlfn.XLOOKUP(A1328,'Video Database'!L:L,'Video Database'!D:D,"")</f>
        <v>Sierra</v>
      </c>
      <c r="C1328" s="98" t="str">
        <f t="array" ref="C1328">_xlfn.XLOOKUP(A1328,'Video Database'!L:L,'Video Database'!E:E,"")</f>
        <v>Account 2</v>
      </c>
      <c r="D1328" s="99" t="str">
        <f t="array" ref="D1328">_xlfn.XLOOKUP(A1328,'Video Database'!L:L,'Video Database'!G:G,"")</f>
        <v>Taste Salud Skin + Beauty Drink Mix</v>
      </c>
      <c r="E1328" s="100">
        <f t="array" ref="E1328">_xlfn.XLOOKUP(A1328,'Video Database'!L:L,'Video Database'!H:H,"")</f>
        <v>1.1</v>
      </c>
      <c r="F1328" s="101"/>
      <c r="G1328" s="87"/>
      <c r="H1328" s="114">
        <f t="array" ref="H1328">_xlfn.XLOOKUP(A1328,'Video Database'!L:L,'Video Database'!A:A,"")</f>
        <v>46207</v>
      </c>
      <c r="I1328" s="103"/>
      <c r="J1328" s="104"/>
      <c r="K1328" s="105"/>
      <c r="L1328" s="105" t="str">
        <f t="shared" si="13"/>
        <v/>
      </c>
      <c r="O1328" s="106" t="str">
        <f t="shared" si="2"/>
        <v>#N/A</v>
      </c>
      <c r="P1328" s="106" t="str">
        <f t="shared" si="3"/>
        <v>#N/A</v>
      </c>
      <c r="Q1328" s="84" t="str">
        <f t="shared" si="4"/>
        <v>#N/A</v>
      </c>
      <c r="R1328" s="84" t="str">
        <f t="shared" si="5"/>
        <v>#N/A</v>
      </c>
      <c r="S1328" s="107">
        <f t="shared" si="6"/>
        <v>-1.1</v>
      </c>
      <c r="T1328" s="108">
        <f t="shared" si="7"/>
        <v>-1</v>
      </c>
      <c r="U1328" s="106" t="str">
        <f t="shared" si="8"/>
        <v>#N/A</v>
      </c>
      <c r="V1328" s="84" t="str">
        <f t="shared" si="9"/>
        <v/>
      </c>
      <c r="W1328" s="109" t="str">
        <f t="shared" si="10"/>
        <v/>
      </c>
      <c r="X1328" s="109" t="str">
        <f t="shared" si="11"/>
        <v/>
      </c>
      <c r="Y1328" s="110" t="str">
        <f t="array" ref="Y1328">_xlfn.XLOOKUP(A1328,'Video Database'!L:L,'Video Database'!M:M,"")</f>
        <v>Middle of Funnel</v>
      </c>
    </row>
    <row r="1329" ht="22.5" customHeight="1">
      <c r="A1329" s="113">
        <f t="shared" si="12"/>
        <v>1328</v>
      </c>
      <c r="B1329" s="98" t="str">
        <f t="array" ref="B1329">_xlfn.XLOOKUP(A1329,'Video Database'!L:L,'Video Database'!D:D,"")</f>
        <v>Erin</v>
      </c>
      <c r="C1329" s="98" t="str">
        <f t="array" ref="C1329">_xlfn.XLOOKUP(A1329,'Video Database'!L:L,'Video Database'!E:E,"")</f>
        <v>Account 2</v>
      </c>
      <c r="D1329" s="99" t="str">
        <f t="array" ref="D1329">_xlfn.XLOOKUP(A1329,'Video Database'!L:L,'Video Database'!G:G,"")</f>
        <v>XL Microfiber Towel</v>
      </c>
      <c r="E1329" s="100">
        <f t="array" ref="E1329">_xlfn.XLOOKUP(A1329,'Video Database'!L:L,'Video Database'!H:H,"")</f>
        <v>0.7337</v>
      </c>
      <c r="F1329" s="101"/>
      <c r="G1329" s="87"/>
      <c r="H1329" s="114">
        <f t="array" ref="H1329">_xlfn.XLOOKUP(A1329,'Video Database'!L:L,'Video Database'!A:A,"")</f>
        <v>46207</v>
      </c>
      <c r="I1329" s="103"/>
      <c r="J1329" s="104"/>
      <c r="K1329" s="105"/>
      <c r="L1329" s="105" t="str">
        <f t="shared" si="13"/>
        <v/>
      </c>
      <c r="O1329" s="106" t="str">
        <f t="shared" si="2"/>
        <v>#N/A</v>
      </c>
      <c r="P1329" s="106" t="str">
        <f t="shared" si="3"/>
        <v>#N/A</v>
      </c>
      <c r="Q1329" s="84" t="str">
        <f t="shared" si="4"/>
        <v>#N/A</v>
      </c>
      <c r="R1329" s="84" t="str">
        <f t="shared" si="5"/>
        <v>#N/A</v>
      </c>
      <c r="S1329" s="107">
        <f t="shared" si="6"/>
        <v>-0.7337</v>
      </c>
      <c r="T1329" s="108">
        <f t="shared" si="7"/>
        <v>-1</v>
      </c>
      <c r="U1329" s="106" t="str">
        <f t="shared" si="8"/>
        <v>#N/A</v>
      </c>
      <c r="V1329" s="84" t="str">
        <f t="shared" si="9"/>
        <v/>
      </c>
      <c r="W1329" s="109" t="str">
        <f t="shared" si="10"/>
        <v/>
      </c>
      <c r="X1329" s="109" t="str">
        <f t="shared" si="11"/>
        <v/>
      </c>
      <c r="Y1329" s="110" t="str">
        <f t="array" ref="Y1329">_xlfn.XLOOKUP(A1329,'Video Database'!L:L,'Video Database'!M:M,"")</f>
        <v>Bottom of Funnel</v>
      </c>
    </row>
    <row r="1330" ht="22.5" customHeight="1">
      <c r="A1330" s="113">
        <f t="shared" si="12"/>
        <v>1329</v>
      </c>
      <c r="B1330" s="98" t="str">
        <f t="array" ref="B1330">_xlfn.XLOOKUP(A1330,'Video Database'!L:L,'Video Database'!D:D,"")</f>
        <v>Brittney</v>
      </c>
      <c r="C1330" s="98" t="str">
        <f t="array" ref="C1330">_xlfn.XLOOKUP(A1330,'Video Database'!L:L,'Video Database'!E:E,"")</f>
        <v>Account 2</v>
      </c>
      <c r="D1330" s="99" t="str">
        <f t="array" ref="D1330">_xlfn.XLOOKUP(A1330,'Video Database'!L:L,'Video Database'!G:G,"")</f>
        <v>Gruns Greens Popsicle Firecracker Gummies</v>
      </c>
      <c r="E1330" s="100">
        <f t="array" ref="E1330">_xlfn.XLOOKUP(A1330,'Video Database'!L:L,'Video Database'!H:H,"")</f>
        <v>0.11</v>
      </c>
      <c r="F1330" s="101"/>
      <c r="G1330" s="87"/>
      <c r="H1330" s="114">
        <f t="array" ref="H1330">_xlfn.XLOOKUP(A1330,'Video Database'!L:L,'Video Database'!A:A,"")</f>
        <v>46207</v>
      </c>
      <c r="I1330" s="103"/>
      <c r="J1330" s="104"/>
      <c r="K1330" s="105"/>
      <c r="L1330" s="105" t="str">
        <f t="shared" si="13"/>
        <v/>
      </c>
      <c r="O1330" s="106" t="str">
        <f t="shared" si="2"/>
        <v>#N/A</v>
      </c>
      <c r="P1330" s="106" t="str">
        <f t="shared" si="3"/>
        <v>#N/A</v>
      </c>
      <c r="Q1330" s="84" t="str">
        <f t="shared" si="4"/>
        <v>#N/A</v>
      </c>
      <c r="R1330" s="84" t="str">
        <f t="shared" si="5"/>
        <v>#N/A</v>
      </c>
      <c r="S1330" s="107">
        <f t="shared" si="6"/>
        <v>-0.11</v>
      </c>
      <c r="T1330" s="108">
        <f t="shared" si="7"/>
        <v>-1</v>
      </c>
      <c r="U1330" s="106" t="str">
        <f t="shared" si="8"/>
        <v>#N/A</v>
      </c>
      <c r="V1330" s="84" t="str">
        <f t="shared" si="9"/>
        <v/>
      </c>
      <c r="W1330" s="109" t="str">
        <f t="shared" si="10"/>
        <v/>
      </c>
      <c r="X1330" s="109" t="str">
        <f t="shared" si="11"/>
        <v/>
      </c>
      <c r="Y1330" s="110" t="str">
        <f t="array" ref="Y1330">_xlfn.XLOOKUP(A1330,'Video Database'!L:L,'Video Database'!M:M,"")</f>
        <v>Bottom of Funnel</v>
      </c>
    </row>
    <row r="1331" ht="22.5" customHeight="1">
      <c r="A1331" s="113">
        <f t="shared" si="12"/>
        <v>1330</v>
      </c>
      <c r="B1331" s="98" t="str">
        <f t="array" ref="B1331">_xlfn.XLOOKUP(A1331,'Video Database'!L:L,'Video Database'!D:D,"")</f>
        <v>Erin</v>
      </c>
      <c r="C1331" s="98" t="str">
        <f t="array" ref="C1331">_xlfn.XLOOKUP(A1331,'Video Database'!L:L,'Video Database'!E:E,"")</f>
        <v>Account 2</v>
      </c>
      <c r="D1331" s="99" t="str">
        <f t="array" ref="D1331">_xlfn.XLOOKUP(A1331,'Video Database'!L:L,'Video Database'!G:G,"")</f>
        <v>Faux Pearl Decorated Link Bracelet</v>
      </c>
      <c r="E1331" s="100">
        <f t="array" ref="E1331">_xlfn.XLOOKUP(A1331,'Video Database'!L:L,'Video Database'!H:H,"")</f>
        <v>0.7337</v>
      </c>
      <c r="F1331" s="101"/>
      <c r="G1331" s="87"/>
      <c r="H1331" s="114">
        <f t="array" ref="H1331">_xlfn.XLOOKUP(A1331,'Video Database'!L:L,'Video Database'!A:A,"")</f>
        <v>46207</v>
      </c>
      <c r="I1331" s="103"/>
      <c r="J1331" s="104"/>
      <c r="K1331" s="105"/>
      <c r="L1331" s="105" t="str">
        <f t="shared" si="13"/>
        <v/>
      </c>
      <c r="O1331" s="106" t="str">
        <f t="shared" si="2"/>
        <v>#N/A</v>
      </c>
      <c r="P1331" s="106" t="str">
        <f t="shared" si="3"/>
        <v>#N/A</v>
      </c>
      <c r="Q1331" s="84" t="str">
        <f t="shared" si="4"/>
        <v>#N/A</v>
      </c>
      <c r="R1331" s="84" t="str">
        <f t="shared" si="5"/>
        <v>#N/A</v>
      </c>
      <c r="S1331" s="107">
        <f t="shared" si="6"/>
        <v>-0.7337</v>
      </c>
      <c r="T1331" s="108">
        <f t="shared" si="7"/>
        <v>-1</v>
      </c>
      <c r="U1331" s="106" t="str">
        <f t="shared" si="8"/>
        <v>#N/A</v>
      </c>
      <c r="V1331" s="84" t="str">
        <f t="shared" si="9"/>
        <v/>
      </c>
      <c r="W1331" s="109" t="str">
        <f t="shared" si="10"/>
        <v/>
      </c>
      <c r="X1331" s="109" t="str">
        <f t="shared" si="11"/>
        <v/>
      </c>
      <c r="Y1331" s="110" t="str">
        <f t="array" ref="Y1331">_xlfn.XLOOKUP(A1331,'Video Database'!L:L,'Video Database'!M:M,"")</f>
        <v>Bottom of Funnel</v>
      </c>
    </row>
    <row r="1332" ht="22.5" customHeight="1">
      <c r="A1332" s="113">
        <f t="shared" si="12"/>
        <v>1331</v>
      </c>
      <c r="B1332" s="98" t="str">
        <f t="array" ref="B1332">_xlfn.XLOOKUP(A1332,'Video Database'!L:L,'Video Database'!D:D,"")</f>
        <v>Brittney</v>
      </c>
      <c r="C1332" s="98" t="str">
        <f t="array" ref="C1332">_xlfn.XLOOKUP(A1332,'Video Database'!L:L,'Video Database'!E:E,"")</f>
        <v>Account 2</v>
      </c>
      <c r="D1332" s="99" t="str">
        <f t="array" ref="D1332">_xlfn.XLOOKUP(A1332,'Video Database'!L:L,'Video Database'!G:G,"")</f>
        <v>Gruns Greens Popsicle Firecracker Gummies</v>
      </c>
      <c r="E1332" s="100">
        <f t="array" ref="E1332">_xlfn.XLOOKUP(A1332,'Video Database'!L:L,'Video Database'!H:H,"")</f>
        <v>0.11</v>
      </c>
      <c r="F1332" s="101"/>
      <c r="G1332" s="87"/>
      <c r="H1332" s="114">
        <f t="array" ref="H1332">_xlfn.XLOOKUP(A1332,'Video Database'!L:L,'Video Database'!A:A,"")</f>
        <v>46207</v>
      </c>
      <c r="I1332" s="103"/>
      <c r="J1332" s="104"/>
      <c r="K1332" s="105"/>
      <c r="L1332" s="105" t="str">
        <f t="shared" si="13"/>
        <v/>
      </c>
      <c r="O1332" s="106" t="str">
        <f t="shared" si="2"/>
        <v>#N/A</v>
      </c>
      <c r="P1332" s="106" t="str">
        <f t="shared" si="3"/>
        <v>#N/A</v>
      </c>
      <c r="Q1332" s="84" t="str">
        <f t="shared" si="4"/>
        <v>#N/A</v>
      </c>
      <c r="R1332" s="84" t="str">
        <f t="shared" si="5"/>
        <v>#N/A</v>
      </c>
      <c r="S1332" s="107">
        <f t="shared" si="6"/>
        <v>-0.11</v>
      </c>
      <c r="T1332" s="108">
        <f t="shared" si="7"/>
        <v>-1</v>
      </c>
      <c r="U1332" s="106" t="str">
        <f t="shared" si="8"/>
        <v>#N/A</v>
      </c>
      <c r="V1332" s="84" t="str">
        <f t="shared" si="9"/>
        <v/>
      </c>
      <c r="W1332" s="109" t="str">
        <f t="shared" si="10"/>
        <v/>
      </c>
      <c r="X1332" s="109" t="str">
        <f t="shared" si="11"/>
        <v/>
      </c>
      <c r="Y1332" s="110" t="str">
        <f t="array" ref="Y1332">_xlfn.XLOOKUP(A1332,'Video Database'!L:L,'Video Database'!M:M,"")</f>
        <v>Bottom of Funnel</v>
      </c>
    </row>
    <row r="1333" ht="22.5" customHeight="1">
      <c r="A1333" s="113">
        <f t="shared" si="12"/>
        <v>1332</v>
      </c>
      <c r="B1333" s="98" t="str">
        <f t="array" ref="B1333">_xlfn.XLOOKUP(A1333,'Video Database'!L:L,'Video Database'!D:D,"")</f>
        <v>Erin</v>
      </c>
      <c r="C1333" s="98" t="str">
        <f t="array" ref="C1333">_xlfn.XLOOKUP(A1333,'Video Database'!L:L,'Video Database'!E:E,"")</f>
        <v>Account 2</v>
      </c>
      <c r="D1333" s="99" t="str">
        <f t="array" ref="D1333">_xlfn.XLOOKUP(A1333,'Video Database'!L:L,'Video Database'!G:G,"")</f>
        <v>Medicube Kojic Accid Tumeric Pads</v>
      </c>
      <c r="E1333" s="100">
        <f t="array" ref="E1333">_xlfn.XLOOKUP(A1333,'Video Database'!L:L,'Video Database'!H:H,"")</f>
        <v>0.7337</v>
      </c>
      <c r="F1333" s="101"/>
      <c r="G1333" s="87"/>
      <c r="H1333" s="114">
        <f t="array" ref="H1333">_xlfn.XLOOKUP(A1333,'Video Database'!L:L,'Video Database'!A:A,"")</f>
        <v>46207</v>
      </c>
      <c r="I1333" s="103"/>
      <c r="J1333" s="104"/>
      <c r="K1333" s="105"/>
      <c r="L1333" s="105" t="str">
        <f t="shared" si="13"/>
        <v/>
      </c>
      <c r="O1333" s="106" t="str">
        <f t="shared" si="2"/>
        <v>#N/A</v>
      </c>
      <c r="P1333" s="106" t="str">
        <f t="shared" si="3"/>
        <v>#N/A</v>
      </c>
      <c r="Q1333" s="84" t="str">
        <f t="shared" si="4"/>
        <v>#N/A</v>
      </c>
      <c r="R1333" s="84" t="str">
        <f t="shared" si="5"/>
        <v>#N/A</v>
      </c>
      <c r="S1333" s="107">
        <f t="shared" si="6"/>
        <v>-0.7337</v>
      </c>
      <c r="T1333" s="108">
        <f t="shared" si="7"/>
        <v>-1</v>
      </c>
      <c r="U1333" s="106" t="str">
        <f t="shared" si="8"/>
        <v>#N/A</v>
      </c>
      <c r="V1333" s="84" t="str">
        <f t="shared" si="9"/>
        <v/>
      </c>
      <c r="W1333" s="109" t="str">
        <f t="shared" si="10"/>
        <v/>
      </c>
      <c r="X1333" s="109" t="str">
        <f t="shared" si="11"/>
        <v/>
      </c>
      <c r="Y1333" s="110" t="str">
        <f t="array" ref="Y1333">_xlfn.XLOOKUP(A1333,'Video Database'!L:L,'Video Database'!M:M,"")</f>
        <v>Bottom of Funnel</v>
      </c>
    </row>
    <row r="1334" ht="22.5" customHeight="1">
      <c r="A1334" s="113">
        <f t="shared" si="12"/>
        <v>1333</v>
      </c>
      <c r="B1334" s="98" t="str">
        <f t="array" ref="B1334">_xlfn.XLOOKUP(A1334,'Video Database'!L:L,'Video Database'!D:D,"")</f>
        <v>Erin</v>
      </c>
      <c r="C1334" s="98" t="str">
        <f t="array" ref="C1334">_xlfn.XLOOKUP(A1334,'Video Database'!L:L,'Video Database'!E:E,"")</f>
        <v>Account 3</v>
      </c>
      <c r="D1334" s="99" t="str">
        <f t="array" ref="D1334">_xlfn.XLOOKUP(A1334,'Video Database'!L:L,'Video Database'!G:G,"")</f>
        <v>Kaja Beauty 3-in-1 Eyeshadow Stack</v>
      </c>
      <c r="E1334" s="100">
        <f t="array" ref="E1334">_xlfn.XLOOKUP(A1334,'Video Database'!L:L,'Video Database'!H:H,"")</f>
        <v>0.7337</v>
      </c>
      <c r="F1334" s="101"/>
      <c r="G1334" s="87"/>
      <c r="H1334" s="114">
        <f t="array" ref="H1334">_xlfn.XLOOKUP(A1334,'Video Database'!L:L,'Video Database'!A:A,"")</f>
        <v>46207</v>
      </c>
      <c r="I1334" s="103"/>
      <c r="J1334" s="104"/>
      <c r="K1334" s="105"/>
      <c r="L1334" s="105" t="str">
        <f t="shared" si="13"/>
        <v/>
      </c>
      <c r="O1334" s="106" t="str">
        <f t="shared" si="2"/>
        <v>#N/A</v>
      </c>
      <c r="P1334" s="106" t="str">
        <f t="shared" si="3"/>
        <v>#N/A</v>
      </c>
      <c r="Q1334" s="84" t="str">
        <f t="shared" si="4"/>
        <v>#N/A</v>
      </c>
      <c r="R1334" s="84" t="str">
        <f t="shared" si="5"/>
        <v>#N/A</v>
      </c>
      <c r="S1334" s="107">
        <f t="shared" si="6"/>
        <v>-0.7337</v>
      </c>
      <c r="T1334" s="108">
        <f t="shared" si="7"/>
        <v>-1</v>
      </c>
      <c r="U1334" s="106" t="str">
        <f t="shared" si="8"/>
        <v>#N/A</v>
      </c>
      <c r="V1334" s="84" t="str">
        <f t="shared" si="9"/>
        <v/>
      </c>
      <c r="W1334" s="109" t="str">
        <f t="shared" si="10"/>
        <v/>
      </c>
      <c r="X1334" s="109" t="str">
        <f t="shared" si="11"/>
        <v/>
      </c>
      <c r="Y1334" s="110" t="str">
        <f t="array" ref="Y1334">_xlfn.XLOOKUP(A1334,'Video Database'!L:L,'Video Database'!M:M,"")</f>
        <v>Bottom of Funnel</v>
      </c>
    </row>
    <row r="1335" ht="22.5" customHeight="1">
      <c r="A1335" s="113">
        <f t="shared" si="12"/>
        <v>1334</v>
      </c>
      <c r="B1335" s="98" t="str">
        <f t="array" ref="B1335">_xlfn.XLOOKUP(A1335,'Video Database'!L:L,'Video Database'!D:D,"")</f>
        <v>Brittney</v>
      </c>
      <c r="C1335" s="98" t="str">
        <f t="array" ref="C1335">_xlfn.XLOOKUP(A1335,'Video Database'!L:L,'Video Database'!E:E,"")</f>
        <v>Account 3</v>
      </c>
      <c r="D1335" s="99" t="str">
        <f t="array" ref="D1335">_xlfn.XLOOKUP(A1335,'Video Database'!L:L,'Video Database'!G:G,"")</f>
        <v>Gruns Greens Popsicle Firecracker Gummies</v>
      </c>
      <c r="E1335" s="100">
        <f t="array" ref="E1335">_xlfn.XLOOKUP(A1335,'Video Database'!L:L,'Video Database'!H:H,"")</f>
        <v>0.11</v>
      </c>
      <c r="F1335" s="101"/>
      <c r="G1335" s="87"/>
      <c r="H1335" s="114">
        <f t="array" ref="H1335">_xlfn.XLOOKUP(A1335,'Video Database'!L:L,'Video Database'!A:A,"")</f>
        <v>46207</v>
      </c>
      <c r="I1335" s="103"/>
      <c r="J1335" s="104"/>
      <c r="K1335" s="105"/>
      <c r="L1335" s="105" t="str">
        <f t="shared" si="13"/>
        <v/>
      </c>
      <c r="O1335" s="106" t="str">
        <f t="shared" si="2"/>
        <v>#N/A</v>
      </c>
      <c r="P1335" s="106" t="str">
        <f t="shared" si="3"/>
        <v>#N/A</v>
      </c>
      <c r="Q1335" s="84" t="str">
        <f t="shared" si="4"/>
        <v>#N/A</v>
      </c>
      <c r="R1335" s="84" t="str">
        <f t="shared" si="5"/>
        <v>#N/A</v>
      </c>
      <c r="S1335" s="107">
        <f t="shared" si="6"/>
        <v>-0.11</v>
      </c>
      <c r="T1335" s="108">
        <f t="shared" si="7"/>
        <v>-1</v>
      </c>
      <c r="U1335" s="106" t="str">
        <f t="shared" si="8"/>
        <v>#N/A</v>
      </c>
      <c r="V1335" s="84" t="str">
        <f t="shared" si="9"/>
        <v/>
      </c>
      <c r="W1335" s="109" t="str">
        <f t="shared" si="10"/>
        <v/>
      </c>
      <c r="X1335" s="109" t="str">
        <f t="shared" si="11"/>
        <v/>
      </c>
      <c r="Y1335" s="110" t="str">
        <f t="array" ref="Y1335">_xlfn.XLOOKUP(A1335,'Video Database'!L:L,'Video Database'!M:M,"")</f>
        <v>Bottom of Funnel</v>
      </c>
    </row>
    <row r="1336" ht="22.5" customHeight="1">
      <c r="A1336" s="113">
        <f t="shared" si="12"/>
        <v>1335</v>
      </c>
      <c r="B1336" s="98" t="str">
        <f t="array" ref="B1336">_xlfn.XLOOKUP(A1336,'Video Database'!L:L,'Video Database'!D:D,"")</f>
        <v>Erin</v>
      </c>
      <c r="C1336" s="98" t="str">
        <f t="array" ref="C1336">_xlfn.XLOOKUP(A1336,'Video Database'!L:L,'Video Database'!E:E,"")</f>
        <v>Account 3</v>
      </c>
      <c r="D1336" s="99" t="str">
        <f t="array" ref="D1336">_xlfn.XLOOKUP(A1336,'Video Database'!L:L,'Video Database'!G:G,"")</f>
        <v>Carovo Hoop Earrings Set</v>
      </c>
      <c r="E1336" s="100">
        <f t="array" ref="E1336">_xlfn.XLOOKUP(A1336,'Video Database'!L:L,'Video Database'!H:H,"")</f>
        <v>0.7337</v>
      </c>
      <c r="F1336" s="101"/>
      <c r="G1336" s="87"/>
      <c r="H1336" s="114">
        <f t="array" ref="H1336">_xlfn.XLOOKUP(A1336,'Video Database'!L:L,'Video Database'!A:A,"")</f>
        <v>46207</v>
      </c>
      <c r="I1336" s="103"/>
      <c r="J1336" s="104"/>
      <c r="K1336" s="105"/>
      <c r="L1336" s="105" t="str">
        <f t="shared" si="13"/>
        <v/>
      </c>
      <c r="O1336" s="106" t="str">
        <f t="shared" si="2"/>
        <v>#N/A</v>
      </c>
      <c r="P1336" s="106" t="str">
        <f t="shared" si="3"/>
        <v>#N/A</v>
      </c>
      <c r="Q1336" s="84" t="str">
        <f t="shared" si="4"/>
        <v>#N/A</v>
      </c>
      <c r="R1336" s="84" t="str">
        <f t="shared" si="5"/>
        <v>#N/A</v>
      </c>
      <c r="S1336" s="107">
        <f t="shared" si="6"/>
        <v>-0.7337</v>
      </c>
      <c r="T1336" s="108">
        <f t="shared" si="7"/>
        <v>-1</v>
      </c>
      <c r="U1336" s="106" t="str">
        <f t="shared" si="8"/>
        <v>#N/A</v>
      </c>
      <c r="V1336" s="84" t="str">
        <f t="shared" si="9"/>
        <v/>
      </c>
      <c r="W1336" s="109" t="str">
        <f t="shared" si="10"/>
        <v/>
      </c>
      <c r="X1336" s="109" t="str">
        <f t="shared" si="11"/>
        <v/>
      </c>
      <c r="Y1336" s="110" t="str">
        <f t="array" ref="Y1336">_xlfn.XLOOKUP(A1336,'Video Database'!L:L,'Video Database'!M:M,"")</f>
        <v>Bottom of Funnel</v>
      </c>
    </row>
    <row r="1337" ht="22.5" customHeight="1">
      <c r="A1337" s="113">
        <f t="shared" si="12"/>
        <v>1336</v>
      </c>
      <c r="B1337" s="98" t="str">
        <f t="array" ref="B1337">_xlfn.XLOOKUP(A1337,'Video Database'!L:L,'Video Database'!D:D,"")</f>
        <v>Sierra</v>
      </c>
      <c r="C1337" s="98" t="str">
        <f t="array" ref="C1337">_xlfn.XLOOKUP(A1337,'Video Database'!L:L,'Video Database'!E:E,"")</f>
        <v>Account 3</v>
      </c>
      <c r="D1337" s="99" t="str">
        <f t="array" ref="D1337">_xlfn.XLOOKUP(A1337,'Video Database'!L:L,'Video Database'!G:G,"")</f>
        <v>Taste Salud Skin + Beauty Drink Mix</v>
      </c>
      <c r="E1337" s="100">
        <f t="array" ref="E1337">_xlfn.XLOOKUP(A1337,'Video Database'!L:L,'Video Database'!H:H,"")</f>
        <v>1.1</v>
      </c>
      <c r="F1337" s="101"/>
      <c r="G1337" s="87"/>
      <c r="H1337" s="114">
        <f t="array" ref="H1337">_xlfn.XLOOKUP(A1337,'Video Database'!L:L,'Video Database'!A:A,"")</f>
        <v>46207</v>
      </c>
      <c r="I1337" s="103"/>
      <c r="J1337" s="104"/>
      <c r="K1337" s="105"/>
      <c r="L1337" s="105" t="str">
        <f t="shared" si="13"/>
        <v/>
      </c>
      <c r="O1337" s="106" t="str">
        <f t="shared" si="2"/>
        <v>#N/A</v>
      </c>
      <c r="P1337" s="106" t="str">
        <f t="shared" si="3"/>
        <v>#N/A</v>
      </c>
      <c r="Q1337" s="84" t="str">
        <f t="shared" si="4"/>
        <v>#N/A</v>
      </c>
      <c r="R1337" s="84" t="str">
        <f t="shared" si="5"/>
        <v>#N/A</v>
      </c>
      <c r="S1337" s="107">
        <f t="shared" si="6"/>
        <v>-1.1</v>
      </c>
      <c r="T1337" s="108">
        <f t="shared" si="7"/>
        <v>-1</v>
      </c>
      <c r="U1337" s="106" t="str">
        <f t="shared" si="8"/>
        <v>#N/A</v>
      </c>
      <c r="V1337" s="84" t="str">
        <f t="shared" si="9"/>
        <v/>
      </c>
      <c r="W1337" s="109" t="str">
        <f t="shared" si="10"/>
        <v/>
      </c>
      <c r="X1337" s="109" t="str">
        <f t="shared" si="11"/>
        <v/>
      </c>
      <c r="Y1337" s="110" t="str">
        <f t="array" ref="Y1337">_xlfn.XLOOKUP(A1337,'Video Database'!L:L,'Video Database'!M:M,"")</f>
        <v>Middle of Funnel</v>
      </c>
    </row>
    <row r="1338" ht="22.5" customHeight="1">
      <c r="A1338" s="113">
        <f t="shared" si="12"/>
        <v>1337</v>
      </c>
      <c r="B1338" s="98" t="str">
        <f t="array" ref="B1338">_xlfn.XLOOKUP(A1338,'Video Database'!L:L,'Video Database'!D:D,"")</f>
        <v>Erin</v>
      </c>
      <c r="C1338" s="98" t="str">
        <f t="array" ref="C1338">_xlfn.XLOOKUP(A1338,'Video Database'!L:L,'Video Database'!E:E,"")</f>
        <v>Account 3</v>
      </c>
      <c r="D1338" s="99" t="str">
        <f t="array" ref="D1338">_xlfn.XLOOKUP(A1338,'Video Database'!L:L,'Video Database'!G:G,"")</f>
        <v>XL Microfiber Towel</v>
      </c>
      <c r="E1338" s="100">
        <f t="array" ref="E1338">_xlfn.XLOOKUP(A1338,'Video Database'!L:L,'Video Database'!H:H,"")</f>
        <v>0.7337</v>
      </c>
      <c r="F1338" s="101"/>
      <c r="G1338" s="87"/>
      <c r="H1338" s="114">
        <f t="array" ref="H1338">_xlfn.XLOOKUP(A1338,'Video Database'!L:L,'Video Database'!A:A,"")</f>
        <v>46207</v>
      </c>
      <c r="I1338" s="103"/>
      <c r="J1338" s="104"/>
      <c r="K1338" s="105"/>
      <c r="L1338" s="105" t="str">
        <f t="shared" si="13"/>
        <v/>
      </c>
      <c r="O1338" s="106" t="str">
        <f t="shared" si="2"/>
        <v>#N/A</v>
      </c>
      <c r="P1338" s="106" t="str">
        <f t="shared" si="3"/>
        <v>#N/A</v>
      </c>
      <c r="Q1338" s="84" t="str">
        <f t="shared" si="4"/>
        <v>#N/A</v>
      </c>
      <c r="R1338" s="84" t="str">
        <f t="shared" si="5"/>
        <v>#N/A</v>
      </c>
      <c r="S1338" s="107">
        <f t="shared" si="6"/>
        <v>-0.7337</v>
      </c>
      <c r="T1338" s="108">
        <f t="shared" si="7"/>
        <v>-1</v>
      </c>
      <c r="U1338" s="106" t="str">
        <f t="shared" si="8"/>
        <v>#N/A</v>
      </c>
      <c r="V1338" s="84" t="str">
        <f t="shared" si="9"/>
        <v/>
      </c>
      <c r="W1338" s="109" t="str">
        <f t="shared" si="10"/>
        <v/>
      </c>
      <c r="X1338" s="109" t="str">
        <f t="shared" si="11"/>
        <v/>
      </c>
      <c r="Y1338" s="110" t="str">
        <f t="array" ref="Y1338">_xlfn.XLOOKUP(A1338,'Video Database'!L:L,'Video Database'!M:M,"")</f>
        <v>Bottom of Funnel</v>
      </c>
    </row>
    <row r="1339" ht="22.5" customHeight="1">
      <c r="A1339" s="113">
        <f t="shared" si="12"/>
        <v>1338</v>
      </c>
      <c r="B1339" s="98" t="str">
        <f t="array" ref="B1339">_xlfn.XLOOKUP(A1339,'Video Database'!L:L,'Video Database'!D:D,"")</f>
        <v>Sierra</v>
      </c>
      <c r="C1339" s="98" t="str">
        <f t="array" ref="C1339">_xlfn.XLOOKUP(A1339,'Video Database'!L:L,'Video Database'!E:E,"")</f>
        <v>Account 3</v>
      </c>
      <c r="D1339" s="99" t="str">
        <f t="array" ref="D1339">_xlfn.XLOOKUP(A1339,'Video Database'!L:L,'Video Database'!G:G,"")</f>
        <v>Taste Salud Skin + Beauty Drink Mix</v>
      </c>
      <c r="E1339" s="100">
        <f t="array" ref="E1339">_xlfn.XLOOKUP(A1339,'Video Database'!L:L,'Video Database'!H:H,"")</f>
        <v>1.1</v>
      </c>
      <c r="F1339" s="101"/>
      <c r="G1339" s="87"/>
      <c r="H1339" s="114">
        <f t="array" ref="H1339">_xlfn.XLOOKUP(A1339,'Video Database'!L:L,'Video Database'!A:A,"")</f>
        <v>46207</v>
      </c>
      <c r="I1339" s="103"/>
      <c r="J1339" s="104"/>
      <c r="K1339" s="105"/>
      <c r="L1339" s="105" t="str">
        <f t="shared" si="13"/>
        <v/>
      </c>
      <c r="O1339" s="106" t="str">
        <f t="shared" si="2"/>
        <v>#N/A</v>
      </c>
      <c r="P1339" s="106" t="str">
        <f t="shared" si="3"/>
        <v>#N/A</v>
      </c>
      <c r="Q1339" s="84" t="str">
        <f t="shared" si="4"/>
        <v>#N/A</v>
      </c>
      <c r="R1339" s="84" t="str">
        <f t="shared" si="5"/>
        <v>#N/A</v>
      </c>
      <c r="S1339" s="107">
        <f t="shared" si="6"/>
        <v>-1.1</v>
      </c>
      <c r="T1339" s="108">
        <f t="shared" si="7"/>
        <v>-1</v>
      </c>
      <c r="U1339" s="106" t="str">
        <f t="shared" si="8"/>
        <v>#N/A</v>
      </c>
      <c r="V1339" s="84" t="str">
        <f t="shared" si="9"/>
        <v/>
      </c>
      <c r="W1339" s="109" t="str">
        <f t="shared" si="10"/>
        <v/>
      </c>
      <c r="X1339" s="109" t="str">
        <f t="shared" si="11"/>
        <v/>
      </c>
      <c r="Y1339" s="110" t="str">
        <f t="array" ref="Y1339">_xlfn.XLOOKUP(A1339,'Video Database'!L:L,'Video Database'!M:M,"")</f>
        <v>Middle of Funnel</v>
      </c>
    </row>
    <row r="1340" ht="22.5" customHeight="1">
      <c r="A1340" s="113">
        <f t="shared" si="12"/>
        <v>1339</v>
      </c>
      <c r="B1340" s="98" t="str">
        <f t="array" ref="B1340">_xlfn.XLOOKUP(A1340,'Video Database'!L:L,'Video Database'!D:D,"")</f>
        <v>Erin</v>
      </c>
      <c r="C1340" s="98" t="str">
        <f t="array" ref="C1340">_xlfn.XLOOKUP(A1340,'Video Database'!L:L,'Video Database'!E:E,"")</f>
        <v>Account 3</v>
      </c>
      <c r="D1340" s="99" t="str">
        <f t="array" ref="D1340">_xlfn.XLOOKUP(A1340,'Video Database'!L:L,'Video Database'!G:G,"")</f>
        <v>Faux Pearl Decorated Link Bracelet</v>
      </c>
      <c r="E1340" s="100">
        <f t="array" ref="E1340">_xlfn.XLOOKUP(A1340,'Video Database'!L:L,'Video Database'!H:H,"")</f>
        <v>0.7337</v>
      </c>
      <c r="F1340" s="101"/>
      <c r="G1340" s="87"/>
      <c r="H1340" s="114">
        <f t="array" ref="H1340">_xlfn.XLOOKUP(A1340,'Video Database'!L:L,'Video Database'!A:A,"")</f>
        <v>46207</v>
      </c>
      <c r="I1340" s="103"/>
      <c r="J1340" s="104"/>
      <c r="K1340" s="105"/>
      <c r="L1340" s="105" t="str">
        <f t="shared" si="13"/>
        <v/>
      </c>
      <c r="O1340" s="106" t="str">
        <f t="shared" si="2"/>
        <v>#N/A</v>
      </c>
      <c r="P1340" s="106" t="str">
        <f t="shared" si="3"/>
        <v>#N/A</v>
      </c>
      <c r="Q1340" s="84" t="str">
        <f t="shared" si="4"/>
        <v>#N/A</v>
      </c>
      <c r="R1340" s="84" t="str">
        <f t="shared" si="5"/>
        <v>#N/A</v>
      </c>
      <c r="S1340" s="107">
        <f t="shared" si="6"/>
        <v>-0.7337</v>
      </c>
      <c r="T1340" s="108">
        <f t="shared" si="7"/>
        <v>-1</v>
      </c>
      <c r="U1340" s="106" t="str">
        <f t="shared" si="8"/>
        <v>#N/A</v>
      </c>
      <c r="V1340" s="84" t="str">
        <f t="shared" si="9"/>
        <v/>
      </c>
      <c r="W1340" s="109" t="str">
        <f t="shared" si="10"/>
        <v/>
      </c>
      <c r="X1340" s="109" t="str">
        <f t="shared" si="11"/>
        <v/>
      </c>
      <c r="Y1340" s="110" t="str">
        <f t="array" ref="Y1340">_xlfn.XLOOKUP(A1340,'Video Database'!L:L,'Video Database'!M:M,"")</f>
        <v>Bottom of Funnel</v>
      </c>
    </row>
    <row r="1341" ht="22.5" customHeight="1">
      <c r="A1341" s="113">
        <f t="shared" si="12"/>
        <v>1340</v>
      </c>
      <c r="B1341" s="98" t="str">
        <f t="array" ref="B1341">_xlfn.XLOOKUP(A1341,'Video Database'!L:L,'Video Database'!D:D,"")</f>
        <v>Brittney</v>
      </c>
      <c r="C1341" s="98" t="str">
        <f t="array" ref="C1341">_xlfn.XLOOKUP(A1341,'Video Database'!L:L,'Video Database'!E:E,"")</f>
        <v>Account 3</v>
      </c>
      <c r="D1341" s="99" t="str">
        <f t="array" ref="D1341">_xlfn.XLOOKUP(A1341,'Video Database'!L:L,'Video Database'!G:G,"")</f>
        <v>Gruns Greens Popsicle Firecracker Gummies</v>
      </c>
      <c r="E1341" s="100">
        <f t="array" ref="E1341">_xlfn.XLOOKUP(A1341,'Video Database'!L:L,'Video Database'!H:H,"")</f>
        <v>0.11</v>
      </c>
      <c r="F1341" s="101"/>
      <c r="G1341" s="87"/>
      <c r="H1341" s="114">
        <f t="array" ref="H1341">_xlfn.XLOOKUP(A1341,'Video Database'!L:L,'Video Database'!A:A,"")</f>
        <v>46207</v>
      </c>
      <c r="I1341" s="103"/>
      <c r="J1341" s="104"/>
      <c r="K1341" s="105"/>
      <c r="L1341" s="105" t="str">
        <f t="shared" si="13"/>
        <v/>
      </c>
      <c r="O1341" s="106" t="str">
        <f t="shared" si="2"/>
        <v>#N/A</v>
      </c>
      <c r="P1341" s="106" t="str">
        <f t="shared" si="3"/>
        <v>#N/A</v>
      </c>
      <c r="Q1341" s="84" t="str">
        <f t="shared" si="4"/>
        <v>#N/A</v>
      </c>
      <c r="R1341" s="84" t="str">
        <f t="shared" si="5"/>
        <v>#N/A</v>
      </c>
      <c r="S1341" s="107">
        <f t="shared" si="6"/>
        <v>-0.11</v>
      </c>
      <c r="T1341" s="108">
        <f t="shared" si="7"/>
        <v>-1</v>
      </c>
      <c r="U1341" s="106" t="str">
        <f t="shared" si="8"/>
        <v>#N/A</v>
      </c>
      <c r="V1341" s="84" t="str">
        <f t="shared" si="9"/>
        <v/>
      </c>
      <c r="W1341" s="109" t="str">
        <f t="shared" si="10"/>
        <v/>
      </c>
      <c r="X1341" s="109" t="str">
        <f t="shared" si="11"/>
        <v/>
      </c>
      <c r="Y1341" s="110" t="str">
        <f t="array" ref="Y1341">_xlfn.XLOOKUP(A1341,'Video Database'!L:L,'Video Database'!M:M,"")</f>
        <v>Bottom of Funnel</v>
      </c>
    </row>
    <row r="1342" ht="22.5" customHeight="1">
      <c r="A1342" s="113">
        <f t="shared" si="12"/>
        <v>1341</v>
      </c>
      <c r="B1342" s="98" t="str">
        <f t="array" ref="B1342">_xlfn.XLOOKUP(A1342,'Video Database'!L:L,'Video Database'!D:D,"")</f>
        <v>Brittney</v>
      </c>
      <c r="C1342" s="98" t="str">
        <f t="array" ref="C1342">_xlfn.XLOOKUP(A1342,'Video Database'!L:L,'Video Database'!E:E,"")</f>
        <v>Account 3</v>
      </c>
      <c r="D1342" s="99" t="str">
        <f t="array" ref="D1342">_xlfn.XLOOKUP(A1342,'Video Database'!L:L,'Video Database'!G:G,"")</f>
        <v>Gruns Greens Popsicle Firecracker Gummies</v>
      </c>
      <c r="E1342" s="100">
        <f t="array" ref="E1342">_xlfn.XLOOKUP(A1342,'Video Database'!L:L,'Video Database'!H:H,"")</f>
        <v>0.11</v>
      </c>
      <c r="F1342" s="101"/>
      <c r="G1342" s="87"/>
      <c r="H1342" s="114">
        <f t="array" ref="H1342">_xlfn.XLOOKUP(A1342,'Video Database'!L:L,'Video Database'!A:A,"")</f>
        <v>46207</v>
      </c>
      <c r="I1342" s="103"/>
      <c r="J1342" s="104"/>
      <c r="K1342" s="105"/>
      <c r="L1342" s="105" t="str">
        <f t="shared" si="13"/>
        <v/>
      </c>
      <c r="O1342" s="106" t="str">
        <f t="shared" si="2"/>
        <v>#N/A</v>
      </c>
      <c r="P1342" s="106" t="str">
        <f t="shared" si="3"/>
        <v>#N/A</v>
      </c>
      <c r="Q1342" s="84" t="str">
        <f t="shared" si="4"/>
        <v>#N/A</v>
      </c>
      <c r="R1342" s="84" t="str">
        <f t="shared" si="5"/>
        <v>#N/A</v>
      </c>
      <c r="S1342" s="107">
        <f t="shared" si="6"/>
        <v>-0.11</v>
      </c>
      <c r="T1342" s="108">
        <f t="shared" si="7"/>
        <v>-1</v>
      </c>
      <c r="U1342" s="106" t="str">
        <f t="shared" si="8"/>
        <v>#N/A</v>
      </c>
      <c r="V1342" s="84" t="str">
        <f t="shared" si="9"/>
        <v/>
      </c>
      <c r="W1342" s="109" t="str">
        <f t="shared" si="10"/>
        <v/>
      </c>
      <c r="X1342" s="109" t="str">
        <f t="shared" si="11"/>
        <v/>
      </c>
      <c r="Y1342" s="110" t="str">
        <f t="array" ref="Y1342">_xlfn.XLOOKUP(A1342,'Video Database'!L:L,'Video Database'!M:M,"")</f>
        <v>Bottom of Funnel</v>
      </c>
    </row>
    <row r="1343" ht="22.5" customHeight="1">
      <c r="A1343" s="113">
        <f t="shared" si="12"/>
        <v>1342</v>
      </c>
      <c r="B1343" s="98" t="str">
        <f t="array" ref="B1343">_xlfn.XLOOKUP(A1343,'Video Database'!L:L,'Video Database'!D:D,"")</f>
        <v>Erin</v>
      </c>
      <c r="C1343" s="98" t="str">
        <f t="array" ref="C1343">_xlfn.XLOOKUP(A1343,'Video Database'!L:L,'Video Database'!E:E,"")</f>
        <v>Account 3</v>
      </c>
      <c r="D1343" s="99" t="str">
        <f t="array" ref="D1343">_xlfn.XLOOKUP(A1343,'Video Database'!L:L,'Video Database'!G:G,"")</f>
        <v>Medicube Kojic Accid Tumeric Pads</v>
      </c>
      <c r="E1343" s="100">
        <f t="array" ref="E1343">_xlfn.XLOOKUP(A1343,'Video Database'!L:L,'Video Database'!H:H,"")</f>
        <v>0.7337</v>
      </c>
      <c r="F1343" s="101"/>
      <c r="G1343" s="87"/>
      <c r="H1343" s="114">
        <f t="array" ref="H1343">_xlfn.XLOOKUP(A1343,'Video Database'!L:L,'Video Database'!A:A,"")</f>
        <v>46207</v>
      </c>
      <c r="I1343" s="103"/>
      <c r="J1343" s="104"/>
      <c r="K1343" s="105"/>
      <c r="L1343" s="105" t="str">
        <f t="shared" si="13"/>
        <v/>
      </c>
      <c r="O1343" s="106" t="str">
        <f t="shared" si="2"/>
        <v>#N/A</v>
      </c>
      <c r="P1343" s="106" t="str">
        <f t="shared" si="3"/>
        <v>#N/A</v>
      </c>
      <c r="Q1343" s="84" t="str">
        <f t="shared" si="4"/>
        <v>#N/A</v>
      </c>
      <c r="R1343" s="84" t="str">
        <f t="shared" si="5"/>
        <v>#N/A</v>
      </c>
      <c r="S1343" s="107">
        <f t="shared" si="6"/>
        <v>-0.7337</v>
      </c>
      <c r="T1343" s="108">
        <f t="shared" si="7"/>
        <v>-1</v>
      </c>
      <c r="U1343" s="106" t="str">
        <f t="shared" si="8"/>
        <v>#N/A</v>
      </c>
      <c r="V1343" s="84" t="str">
        <f t="shared" si="9"/>
        <v/>
      </c>
      <c r="W1343" s="109" t="str">
        <f t="shared" si="10"/>
        <v/>
      </c>
      <c r="X1343" s="109" t="str">
        <f t="shared" si="11"/>
        <v/>
      </c>
      <c r="Y1343" s="110" t="str">
        <f t="array" ref="Y1343">_xlfn.XLOOKUP(A1343,'Video Database'!L:L,'Video Database'!M:M,"")</f>
        <v>Bottom of Funnel</v>
      </c>
    </row>
    <row r="1344" ht="22.5" customHeight="1">
      <c r="A1344" s="113">
        <f t="shared" si="12"/>
        <v>1343</v>
      </c>
      <c r="B1344" s="98" t="str">
        <f t="array" ref="B1344">_xlfn.XLOOKUP(A1344,'Video Database'!L:L,'Video Database'!D:D,"")</f>
        <v>Brittney</v>
      </c>
      <c r="C1344" s="98" t="str">
        <f t="array" ref="C1344">_xlfn.XLOOKUP(A1344,'Video Database'!L:L,'Video Database'!E:E,"")</f>
        <v>Account 4</v>
      </c>
      <c r="D1344" s="99" t="str">
        <f t="array" ref="D1344">_xlfn.XLOOKUP(A1344,'Video Database'!L:L,'Video Database'!G:G,"")</f>
        <v>Gruns Greens Popsicle Firecracker Gummies</v>
      </c>
      <c r="E1344" s="100">
        <f t="array" ref="E1344">_xlfn.XLOOKUP(A1344,'Video Database'!L:L,'Video Database'!H:H,"")</f>
        <v>0.11</v>
      </c>
      <c r="F1344" s="101"/>
      <c r="G1344" s="87"/>
      <c r="H1344" s="114">
        <f t="array" ref="H1344">_xlfn.XLOOKUP(A1344,'Video Database'!L:L,'Video Database'!A:A,"")</f>
        <v>46207</v>
      </c>
      <c r="I1344" s="103"/>
      <c r="J1344" s="104"/>
      <c r="K1344" s="105"/>
      <c r="L1344" s="105" t="str">
        <f t="shared" si="13"/>
        <v/>
      </c>
      <c r="O1344" s="106" t="str">
        <f t="shared" si="2"/>
        <v>#N/A</v>
      </c>
      <c r="P1344" s="106" t="str">
        <f t="shared" si="3"/>
        <v>#N/A</v>
      </c>
      <c r="Q1344" s="84" t="str">
        <f t="shared" si="4"/>
        <v>#N/A</v>
      </c>
      <c r="R1344" s="84" t="str">
        <f t="shared" si="5"/>
        <v>#N/A</v>
      </c>
      <c r="S1344" s="107">
        <f t="shared" si="6"/>
        <v>-0.11</v>
      </c>
      <c r="T1344" s="108">
        <f t="shared" si="7"/>
        <v>-1</v>
      </c>
      <c r="U1344" s="106" t="str">
        <f t="shared" si="8"/>
        <v>#N/A</v>
      </c>
      <c r="V1344" s="84" t="str">
        <f t="shared" si="9"/>
        <v/>
      </c>
      <c r="W1344" s="109" t="str">
        <f t="shared" si="10"/>
        <v/>
      </c>
      <c r="X1344" s="109" t="str">
        <f t="shared" si="11"/>
        <v/>
      </c>
      <c r="Y1344" s="110" t="str">
        <f t="array" ref="Y1344">_xlfn.XLOOKUP(A1344,'Video Database'!L:L,'Video Database'!M:M,"")</f>
        <v>Bottom of Funnel</v>
      </c>
    </row>
    <row r="1345" ht="22.5" customHeight="1">
      <c r="A1345" s="113">
        <f t="shared" si="12"/>
        <v>1344</v>
      </c>
      <c r="B1345" s="98" t="str">
        <f t="array" ref="B1345">_xlfn.XLOOKUP(A1345,'Video Database'!L:L,'Video Database'!D:D,"")</f>
        <v>Erin</v>
      </c>
      <c r="C1345" s="98" t="str">
        <f t="array" ref="C1345">_xlfn.XLOOKUP(A1345,'Video Database'!L:L,'Video Database'!E:E,"")</f>
        <v>Account 4</v>
      </c>
      <c r="D1345" s="99" t="str">
        <f t="array" ref="D1345">_xlfn.XLOOKUP(A1345,'Video Database'!L:L,'Video Database'!G:G,"")</f>
        <v>Kaja Beauty 3-in-1 Eyeshadow Stack</v>
      </c>
      <c r="E1345" s="100">
        <f t="array" ref="E1345">_xlfn.XLOOKUP(A1345,'Video Database'!L:L,'Video Database'!H:H,"")</f>
        <v>0.7337</v>
      </c>
      <c r="F1345" s="101"/>
      <c r="G1345" s="87"/>
      <c r="H1345" s="114">
        <f t="array" ref="H1345">_xlfn.XLOOKUP(A1345,'Video Database'!L:L,'Video Database'!A:A,"")</f>
        <v>46207</v>
      </c>
      <c r="I1345" s="103"/>
      <c r="J1345" s="104"/>
      <c r="K1345" s="105"/>
      <c r="L1345" s="105" t="str">
        <f t="shared" si="13"/>
        <v/>
      </c>
      <c r="O1345" s="106" t="str">
        <f t="shared" si="2"/>
        <v>#N/A</v>
      </c>
      <c r="P1345" s="106" t="str">
        <f t="shared" si="3"/>
        <v>#N/A</v>
      </c>
      <c r="Q1345" s="84" t="str">
        <f t="shared" si="4"/>
        <v>#N/A</v>
      </c>
      <c r="R1345" s="84" t="str">
        <f t="shared" si="5"/>
        <v>#N/A</v>
      </c>
      <c r="S1345" s="107">
        <f t="shared" si="6"/>
        <v>-0.7337</v>
      </c>
      <c r="T1345" s="108">
        <f t="shared" si="7"/>
        <v>-1</v>
      </c>
      <c r="U1345" s="106" t="str">
        <f t="shared" si="8"/>
        <v>#N/A</v>
      </c>
      <c r="V1345" s="84" t="str">
        <f t="shared" si="9"/>
        <v/>
      </c>
      <c r="W1345" s="109" t="str">
        <f t="shared" si="10"/>
        <v/>
      </c>
      <c r="X1345" s="109" t="str">
        <f t="shared" si="11"/>
        <v/>
      </c>
      <c r="Y1345" s="110" t="str">
        <f t="array" ref="Y1345">_xlfn.XLOOKUP(A1345,'Video Database'!L:L,'Video Database'!M:M,"")</f>
        <v>Bottom of Funnel</v>
      </c>
    </row>
    <row r="1346" ht="22.5" customHeight="1">
      <c r="A1346" s="113">
        <f t="shared" si="12"/>
        <v>1345</v>
      </c>
      <c r="B1346" s="98" t="str">
        <f t="array" ref="B1346">_xlfn.XLOOKUP(A1346,'Video Database'!L:L,'Video Database'!D:D,"")</f>
        <v>Erin</v>
      </c>
      <c r="C1346" s="98" t="str">
        <f t="array" ref="C1346">_xlfn.XLOOKUP(A1346,'Video Database'!L:L,'Video Database'!E:E,"")</f>
        <v>Account 4</v>
      </c>
      <c r="D1346" s="99" t="str">
        <f t="array" ref="D1346">_xlfn.XLOOKUP(A1346,'Video Database'!L:L,'Video Database'!G:G,"")</f>
        <v>Carovo Hoop Earrings Set</v>
      </c>
      <c r="E1346" s="100">
        <f t="array" ref="E1346">_xlfn.XLOOKUP(A1346,'Video Database'!L:L,'Video Database'!H:H,"")</f>
        <v>0.7337</v>
      </c>
      <c r="F1346" s="101"/>
      <c r="G1346" s="87"/>
      <c r="H1346" s="114">
        <f t="array" ref="H1346">_xlfn.XLOOKUP(A1346,'Video Database'!L:L,'Video Database'!A:A,"")</f>
        <v>46207</v>
      </c>
      <c r="I1346" s="103"/>
      <c r="J1346" s="104"/>
      <c r="K1346" s="105"/>
      <c r="L1346" s="105" t="str">
        <f t="shared" si="13"/>
        <v/>
      </c>
      <c r="O1346" s="106" t="str">
        <f t="shared" si="2"/>
        <v>#N/A</v>
      </c>
      <c r="P1346" s="106" t="str">
        <f t="shared" si="3"/>
        <v>#N/A</v>
      </c>
      <c r="Q1346" s="84" t="str">
        <f t="shared" si="4"/>
        <v>#N/A</v>
      </c>
      <c r="R1346" s="84" t="str">
        <f t="shared" si="5"/>
        <v>#N/A</v>
      </c>
      <c r="S1346" s="107">
        <f t="shared" si="6"/>
        <v>-0.7337</v>
      </c>
      <c r="T1346" s="108">
        <f t="shared" si="7"/>
        <v>-1</v>
      </c>
      <c r="U1346" s="106" t="str">
        <f t="shared" si="8"/>
        <v>#N/A</v>
      </c>
      <c r="V1346" s="84" t="str">
        <f t="shared" si="9"/>
        <v/>
      </c>
      <c r="W1346" s="109" t="str">
        <f t="shared" si="10"/>
        <v/>
      </c>
      <c r="X1346" s="109" t="str">
        <f t="shared" si="11"/>
        <v/>
      </c>
      <c r="Y1346" s="110" t="str">
        <f t="array" ref="Y1346">_xlfn.XLOOKUP(A1346,'Video Database'!L:L,'Video Database'!M:M,"")</f>
        <v>Bottom of Funnel</v>
      </c>
    </row>
    <row r="1347" ht="22.5" customHeight="1">
      <c r="A1347" s="113">
        <f t="shared" si="12"/>
        <v>1346</v>
      </c>
      <c r="B1347" s="98" t="str">
        <f t="array" ref="B1347">_xlfn.XLOOKUP(A1347,'Video Database'!L:L,'Video Database'!D:D,"")</f>
        <v>Erin</v>
      </c>
      <c r="C1347" s="98" t="str">
        <f t="array" ref="C1347">_xlfn.XLOOKUP(A1347,'Video Database'!L:L,'Video Database'!E:E,"")</f>
        <v>Account 4</v>
      </c>
      <c r="D1347" s="99" t="str">
        <f t="array" ref="D1347">_xlfn.XLOOKUP(A1347,'Video Database'!L:L,'Video Database'!G:G,"")</f>
        <v>XL Microfiber Towel</v>
      </c>
      <c r="E1347" s="100">
        <f t="array" ref="E1347">_xlfn.XLOOKUP(A1347,'Video Database'!L:L,'Video Database'!H:H,"")</f>
        <v>0.7337</v>
      </c>
      <c r="F1347" s="101"/>
      <c r="G1347" s="87"/>
      <c r="H1347" s="114">
        <f t="array" ref="H1347">_xlfn.XLOOKUP(A1347,'Video Database'!L:L,'Video Database'!A:A,"")</f>
        <v>46207</v>
      </c>
      <c r="I1347" s="103"/>
      <c r="J1347" s="104"/>
      <c r="K1347" s="105"/>
      <c r="L1347" s="105" t="str">
        <f t="shared" si="13"/>
        <v/>
      </c>
      <c r="O1347" s="106" t="str">
        <f t="shared" si="2"/>
        <v>#N/A</v>
      </c>
      <c r="P1347" s="106" t="str">
        <f t="shared" si="3"/>
        <v>#N/A</v>
      </c>
      <c r="Q1347" s="84" t="str">
        <f t="shared" si="4"/>
        <v>#N/A</v>
      </c>
      <c r="R1347" s="84" t="str">
        <f t="shared" si="5"/>
        <v>#N/A</v>
      </c>
      <c r="S1347" s="107">
        <f t="shared" si="6"/>
        <v>-0.7337</v>
      </c>
      <c r="T1347" s="108">
        <f t="shared" si="7"/>
        <v>-1</v>
      </c>
      <c r="U1347" s="106" t="str">
        <f t="shared" si="8"/>
        <v>#N/A</v>
      </c>
      <c r="V1347" s="84" t="str">
        <f t="shared" si="9"/>
        <v/>
      </c>
      <c r="W1347" s="109" t="str">
        <f t="shared" si="10"/>
        <v/>
      </c>
      <c r="X1347" s="109" t="str">
        <f t="shared" si="11"/>
        <v/>
      </c>
      <c r="Y1347" s="110" t="str">
        <f t="array" ref="Y1347">_xlfn.XLOOKUP(A1347,'Video Database'!L:L,'Video Database'!M:M,"")</f>
        <v>Bottom of Funnel</v>
      </c>
    </row>
    <row r="1348" ht="22.5" customHeight="1">
      <c r="A1348" s="113">
        <f t="shared" si="12"/>
        <v>1347</v>
      </c>
      <c r="B1348" s="98" t="str">
        <f t="array" ref="B1348">_xlfn.XLOOKUP(A1348,'Video Database'!L:L,'Video Database'!D:D,"")</f>
        <v>Erin</v>
      </c>
      <c r="C1348" s="98" t="str">
        <f t="array" ref="C1348">_xlfn.XLOOKUP(A1348,'Video Database'!L:L,'Video Database'!E:E,"")</f>
        <v>Account 4</v>
      </c>
      <c r="D1348" s="99" t="str">
        <f t="array" ref="D1348">_xlfn.XLOOKUP(A1348,'Video Database'!L:L,'Video Database'!G:G,"")</f>
        <v>Faux Pearl Decorated Link Bracelet</v>
      </c>
      <c r="E1348" s="100">
        <f t="array" ref="E1348">_xlfn.XLOOKUP(A1348,'Video Database'!L:L,'Video Database'!H:H,"")</f>
        <v>0.7337</v>
      </c>
      <c r="F1348" s="101"/>
      <c r="G1348" s="87"/>
      <c r="H1348" s="114">
        <f t="array" ref="H1348">_xlfn.XLOOKUP(A1348,'Video Database'!L:L,'Video Database'!A:A,"")</f>
        <v>46207</v>
      </c>
      <c r="I1348" s="103"/>
      <c r="J1348" s="104"/>
      <c r="K1348" s="105"/>
      <c r="L1348" s="105" t="str">
        <f t="shared" si="13"/>
        <v/>
      </c>
      <c r="O1348" s="106" t="str">
        <f t="shared" si="2"/>
        <v>#N/A</v>
      </c>
      <c r="P1348" s="106" t="str">
        <f t="shared" si="3"/>
        <v>#N/A</v>
      </c>
      <c r="Q1348" s="84" t="str">
        <f t="shared" si="4"/>
        <v>#N/A</v>
      </c>
      <c r="R1348" s="84" t="str">
        <f t="shared" si="5"/>
        <v>#N/A</v>
      </c>
      <c r="S1348" s="107">
        <f t="shared" si="6"/>
        <v>-0.7337</v>
      </c>
      <c r="T1348" s="108">
        <f t="shared" si="7"/>
        <v>-1</v>
      </c>
      <c r="U1348" s="106" t="str">
        <f t="shared" si="8"/>
        <v>#N/A</v>
      </c>
      <c r="V1348" s="84" t="str">
        <f t="shared" si="9"/>
        <v/>
      </c>
      <c r="W1348" s="109" t="str">
        <f t="shared" si="10"/>
        <v/>
      </c>
      <c r="X1348" s="109" t="str">
        <f t="shared" si="11"/>
        <v/>
      </c>
      <c r="Y1348" s="110" t="str">
        <f t="array" ref="Y1348">_xlfn.XLOOKUP(A1348,'Video Database'!L:L,'Video Database'!M:M,"")</f>
        <v>Bottom of Funnel</v>
      </c>
    </row>
    <row r="1349" ht="22.5" customHeight="1">
      <c r="A1349" s="113">
        <f t="shared" si="12"/>
        <v>1348</v>
      </c>
      <c r="B1349" s="98" t="str">
        <f t="array" ref="B1349">_xlfn.XLOOKUP(A1349,'Video Database'!L:L,'Video Database'!D:D,"")</f>
        <v>Sierra</v>
      </c>
      <c r="C1349" s="98" t="str">
        <f t="array" ref="C1349">_xlfn.XLOOKUP(A1349,'Video Database'!L:L,'Video Database'!E:E,"")</f>
        <v>Account 4</v>
      </c>
      <c r="D1349" s="98" t="str">
        <f t="array" ref="D1349">_xlfn.XLOOKUP(A1349,'Video Database'!L:L,'Video Database'!G:G,"")</f>
        <v>Taste Salud Skin + Beauty Drink Mix</v>
      </c>
      <c r="E1349" s="136">
        <f t="array" ref="E1349">_xlfn.XLOOKUP(A1349,'Video Database'!L:L,'Video Database'!H:H,"")</f>
        <v>1.1</v>
      </c>
      <c r="F1349" s="101">
        <v>21.39</v>
      </c>
      <c r="G1349" s="87">
        <v>1.0</v>
      </c>
      <c r="H1349" s="114">
        <f t="array" ref="H1349">_xlfn.XLOOKUP(A1349,'Video Database'!L:L,'Video Database'!A:A,"")</f>
        <v>46207</v>
      </c>
      <c r="I1349" s="103">
        <v>46209.0</v>
      </c>
      <c r="J1349" s="104">
        <v>5.76</v>
      </c>
      <c r="K1349" s="87">
        <v>1.0</v>
      </c>
      <c r="L1349" s="105">
        <f t="shared" si="13"/>
        <v>20</v>
      </c>
      <c r="M1349" s="87">
        <v>20.0</v>
      </c>
      <c r="O1349" s="106">
        <f t="shared" si="2"/>
        <v>0.05</v>
      </c>
      <c r="P1349" s="106">
        <f t="shared" si="3"/>
        <v>1</v>
      </c>
      <c r="Q1349" s="84">
        <f t="shared" si="4"/>
        <v>5.76</v>
      </c>
      <c r="R1349" s="84">
        <f t="shared" si="5"/>
        <v>21.39</v>
      </c>
      <c r="S1349" s="107">
        <f t="shared" si="6"/>
        <v>4.66</v>
      </c>
      <c r="T1349" s="108">
        <f t="shared" si="7"/>
        <v>4.236363636</v>
      </c>
      <c r="U1349" s="106">
        <f t="shared" si="8"/>
        <v>0.8090277778</v>
      </c>
      <c r="V1349" s="129">
        <f t="shared" si="9"/>
        <v>1.1</v>
      </c>
      <c r="W1349" s="109">
        <f t="shared" si="10"/>
        <v>1.1</v>
      </c>
      <c r="X1349" s="109">
        <f t="shared" si="11"/>
        <v>5.142589995</v>
      </c>
      <c r="Y1349" s="110" t="str">
        <f t="array" ref="Y1349">_xlfn.XLOOKUP(A1349,'Video Database'!L:L,'Video Database'!M:M,"")</f>
        <v>Middle of Funnel</v>
      </c>
    </row>
    <row r="1350" ht="22.5" customHeight="1">
      <c r="A1350" s="113">
        <f t="shared" si="12"/>
        <v>1349</v>
      </c>
      <c r="B1350" s="98" t="str">
        <f t="array" ref="B1350">_xlfn.XLOOKUP(A1350,'Video Database'!L:L,'Video Database'!D:D,"")</f>
        <v>Sierra</v>
      </c>
      <c r="C1350" s="98" t="str">
        <f t="array" ref="C1350">_xlfn.XLOOKUP(A1350,'Video Database'!L:L,'Video Database'!E:E,"")</f>
        <v>Account 4</v>
      </c>
      <c r="D1350" s="99" t="str">
        <f t="array" ref="D1350">_xlfn.XLOOKUP(A1350,'Video Database'!L:L,'Video Database'!G:G,"")</f>
        <v>Taste Salud Skin + Beauty Drink Mix</v>
      </c>
      <c r="E1350" s="100">
        <f t="array" ref="E1350">_xlfn.XLOOKUP(A1350,'Video Database'!L:L,'Video Database'!H:H,"")</f>
        <v>1.1</v>
      </c>
      <c r="F1350" s="101"/>
      <c r="G1350" s="87"/>
      <c r="H1350" s="114">
        <f t="array" ref="H1350">_xlfn.XLOOKUP(A1350,'Video Database'!L:L,'Video Database'!A:A,"")</f>
        <v>46207</v>
      </c>
      <c r="I1350" s="103"/>
      <c r="J1350" s="104"/>
      <c r="K1350" s="105"/>
      <c r="L1350" s="105" t="str">
        <f t="shared" si="13"/>
        <v/>
      </c>
      <c r="O1350" s="106" t="str">
        <f t="shared" si="2"/>
        <v>#N/A</v>
      </c>
      <c r="P1350" s="106" t="str">
        <f t="shared" si="3"/>
        <v>#N/A</v>
      </c>
      <c r="Q1350" s="84" t="str">
        <f t="shared" si="4"/>
        <v>#N/A</v>
      </c>
      <c r="R1350" s="84" t="str">
        <f t="shared" si="5"/>
        <v>#N/A</v>
      </c>
      <c r="S1350" s="107">
        <f t="shared" si="6"/>
        <v>-1.1</v>
      </c>
      <c r="T1350" s="108">
        <f t="shared" si="7"/>
        <v>-1</v>
      </c>
      <c r="U1350" s="106" t="str">
        <f t="shared" si="8"/>
        <v>#N/A</v>
      </c>
      <c r="V1350" s="84" t="str">
        <f t="shared" si="9"/>
        <v/>
      </c>
      <c r="W1350" s="109" t="str">
        <f t="shared" si="10"/>
        <v/>
      </c>
      <c r="X1350" s="109" t="str">
        <f t="shared" si="11"/>
        <v/>
      </c>
      <c r="Y1350" s="110" t="str">
        <f t="array" ref="Y1350">_xlfn.XLOOKUP(A1350,'Video Database'!L:L,'Video Database'!M:M,"")</f>
        <v>Middle of Funnel</v>
      </c>
    </row>
    <row r="1351" ht="22.5" customHeight="1">
      <c r="A1351" s="113">
        <f t="shared" si="12"/>
        <v>1350</v>
      </c>
      <c r="B1351" s="98" t="str">
        <f t="array" ref="B1351">_xlfn.XLOOKUP(A1351,'Video Database'!L:L,'Video Database'!D:D,"")</f>
        <v>Brittney</v>
      </c>
      <c r="C1351" s="98" t="str">
        <f t="array" ref="C1351">_xlfn.XLOOKUP(A1351,'Video Database'!L:L,'Video Database'!E:E,"")</f>
        <v>Account 4</v>
      </c>
      <c r="D1351" s="99" t="str">
        <f t="array" ref="D1351">_xlfn.XLOOKUP(A1351,'Video Database'!L:L,'Video Database'!G:G,"")</f>
        <v>Gruns Greens Popsicle Firecracker Gummies</v>
      </c>
      <c r="E1351" s="100">
        <f t="array" ref="E1351">_xlfn.XLOOKUP(A1351,'Video Database'!L:L,'Video Database'!H:H,"")</f>
        <v>0.11</v>
      </c>
      <c r="F1351" s="101"/>
      <c r="G1351" s="87"/>
      <c r="H1351" s="114">
        <f t="array" ref="H1351">_xlfn.XLOOKUP(A1351,'Video Database'!L:L,'Video Database'!A:A,"")</f>
        <v>46207</v>
      </c>
      <c r="I1351" s="103"/>
      <c r="J1351" s="104"/>
      <c r="K1351" s="105"/>
      <c r="L1351" s="105" t="str">
        <f t="shared" si="13"/>
        <v/>
      </c>
      <c r="O1351" s="106" t="str">
        <f t="shared" si="2"/>
        <v>#N/A</v>
      </c>
      <c r="P1351" s="106" t="str">
        <f t="shared" si="3"/>
        <v>#N/A</v>
      </c>
      <c r="Q1351" s="84" t="str">
        <f t="shared" si="4"/>
        <v>#N/A</v>
      </c>
      <c r="R1351" s="84" t="str">
        <f t="shared" si="5"/>
        <v>#N/A</v>
      </c>
      <c r="S1351" s="107">
        <f t="shared" si="6"/>
        <v>-0.11</v>
      </c>
      <c r="T1351" s="108">
        <f t="shared" si="7"/>
        <v>-1</v>
      </c>
      <c r="U1351" s="106" t="str">
        <f t="shared" si="8"/>
        <v>#N/A</v>
      </c>
      <c r="V1351" s="84" t="str">
        <f t="shared" si="9"/>
        <v/>
      </c>
      <c r="W1351" s="109" t="str">
        <f t="shared" si="10"/>
        <v/>
      </c>
      <c r="X1351" s="109" t="str">
        <f t="shared" si="11"/>
        <v/>
      </c>
      <c r="Y1351" s="110" t="str">
        <f t="array" ref="Y1351">_xlfn.XLOOKUP(A1351,'Video Database'!L:L,'Video Database'!M:M,"")</f>
        <v>Bottom of Funnel</v>
      </c>
    </row>
    <row r="1352" ht="22.5" customHeight="1">
      <c r="A1352" s="113">
        <f t="shared" si="12"/>
        <v>1351</v>
      </c>
      <c r="B1352" s="98" t="str">
        <f t="array" ref="B1352">_xlfn.XLOOKUP(A1352,'Video Database'!L:L,'Video Database'!D:D,"")</f>
        <v>Brittney</v>
      </c>
      <c r="C1352" s="98" t="str">
        <f t="array" ref="C1352">_xlfn.XLOOKUP(A1352,'Video Database'!L:L,'Video Database'!E:E,"")</f>
        <v>Account 4</v>
      </c>
      <c r="D1352" s="99" t="str">
        <f t="array" ref="D1352">_xlfn.XLOOKUP(A1352,'Video Database'!L:L,'Video Database'!G:G,"")</f>
        <v>Gruns Greens Popsicle Firecracker Gummies</v>
      </c>
      <c r="E1352" s="100">
        <f t="array" ref="E1352">_xlfn.XLOOKUP(A1352,'Video Database'!L:L,'Video Database'!H:H,"")</f>
        <v>0.11</v>
      </c>
      <c r="F1352" s="101"/>
      <c r="G1352" s="87"/>
      <c r="H1352" s="114">
        <f t="array" ref="H1352">_xlfn.XLOOKUP(A1352,'Video Database'!L:L,'Video Database'!A:A,"")</f>
        <v>46207</v>
      </c>
      <c r="I1352" s="103"/>
      <c r="J1352" s="104"/>
      <c r="K1352" s="105"/>
      <c r="L1352" s="105" t="str">
        <f t="shared" si="13"/>
        <v/>
      </c>
      <c r="O1352" s="106" t="str">
        <f t="shared" si="2"/>
        <v>#N/A</v>
      </c>
      <c r="P1352" s="106" t="str">
        <f t="shared" si="3"/>
        <v>#N/A</v>
      </c>
      <c r="Q1352" s="84" t="str">
        <f t="shared" si="4"/>
        <v>#N/A</v>
      </c>
      <c r="R1352" s="84" t="str">
        <f t="shared" si="5"/>
        <v>#N/A</v>
      </c>
      <c r="S1352" s="107">
        <f t="shared" si="6"/>
        <v>-0.11</v>
      </c>
      <c r="T1352" s="108">
        <f t="shared" si="7"/>
        <v>-1</v>
      </c>
      <c r="U1352" s="106" t="str">
        <f t="shared" si="8"/>
        <v>#N/A</v>
      </c>
      <c r="V1352" s="84" t="str">
        <f t="shared" si="9"/>
        <v/>
      </c>
      <c r="W1352" s="109" t="str">
        <f t="shared" si="10"/>
        <v/>
      </c>
      <c r="X1352" s="109" t="str">
        <f t="shared" si="11"/>
        <v/>
      </c>
      <c r="Y1352" s="110" t="str">
        <f t="array" ref="Y1352">_xlfn.XLOOKUP(A1352,'Video Database'!L:L,'Video Database'!M:M,"")</f>
        <v>Bottom of Funnel</v>
      </c>
    </row>
    <row r="1353" ht="22.5" customHeight="1">
      <c r="A1353" s="113">
        <f t="shared" si="12"/>
        <v>1352</v>
      </c>
      <c r="B1353" s="98" t="str">
        <f t="array" ref="B1353">_xlfn.XLOOKUP(A1353,'Video Database'!L:L,'Video Database'!D:D,"")</f>
        <v>Erin</v>
      </c>
      <c r="C1353" s="98" t="str">
        <f t="array" ref="C1353">_xlfn.XLOOKUP(A1353,'Video Database'!L:L,'Video Database'!E:E,"")</f>
        <v>Account 4</v>
      </c>
      <c r="D1353" s="99" t="str">
        <f t="array" ref="D1353">_xlfn.XLOOKUP(A1353,'Video Database'!L:L,'Video Database'!G:G,"")</f>
        <v>Medicube Kojic Accid Tumeric Pads</v>
      </c>
      <c r="E1353" s="100">
        <f t="array" ref="E1353">_xlfn.XLOOKUP(A1353,'Video Database'!L:L,'Video Database'!H:H,"")</f>
        <v>0.7337</v>
      </c>
      <c r="F1353" s="101"/>
      <c r="G1353" s="87"/>
      <c r="H1353" s="114">
        <f t="array" ref="H1353">_xlfn.XLOOKUP(A1353,'Video Database'!L:L,'Video Database'!A:A,"")</f>
        <v>46207</v>
      </c>
      <c r="I1353" s="103"/>
      <c r="J1353" s="104"/>
      <c r="K1353" s="105"/>
      <c r="L1353" s="105" t="str">
        <f t="shared" si="13"/>
        <v/>
      </c>
      <c r="O1353" s="106" t="str">
        <f t="shared" si="2"/>
        <v>#N/A</v>
      </c>
      <c r="P1353" s="106" t="str">
        <f t="shared" si="3"/>
        <v>#N/A</v>
      </c>
      <c r="Q1353" s="84" t="str">
        <f t="shared" si="4"/>
        <v>#N/A</v>
      </c>
      <c r="R1353" s="84" t="str">
        <f t="shared" si="5"/>
        <v>#N/A</v>
      </c>
      <c r="S1353" s="107">
        <f t="shared" si="6"/>
        <v>-0.7337</v>
      </c>
      <c r="T1353" s="108">
        <f t="shared" si="7"/>
        <v>-1</v>
      </c>
      <c r="U1353" s="106" t="str">
        <f t="shared" si="8"/>
        <v>#N/A</v>
      </c>
      <c r="V1353" s="84" t="str">
        <f t="shared" si="9"/>
        <v/>
      </c>
      <c r="W1353" s="109" t="str">
        <f t="shared" si="10"/>
        <v/>
      </c>
      <c r="X1353" s="109" t="str">
        <f t="shared" si="11"/>
        <v/>
      </c>
      <c r="Y1353" s="110" t="str">
        <f t="array" ref="Y1353">_xlfn.XLOOKUP(A1353,'Video Database'!L:L,'Video Database'!M:M,"")</f>
        <v>Bottom of Funnel</v>
      </c>
    </row>
    <row r="1354" ht="22.5" customHeight="1">
      <c r="A1354" s="113">
        <f t="shared" si="12"/>
        <v>1353</v>
      </c>
      <c r="B1354" s="98" t="str">
        <f t="array" ref="B1354">_xlfn.XLOOKUP(A1354,'Video Database'!L:L,'Video Database'!D:D,"")</f>
        <v>Erin</v>
      </c>
      <c r="C1354" s="98" t="str">
        <f t="array" ref="C1354">_xlfn.XLOOKUP(A1354,'Video Database'!L:L,'Video Database'!E:E,"")</f>
        <v>Account 1</v>
      </c>
      <c r="D1354" s="99" t="str">
        <f t="array" ref="D1354">_xlfn.XLOOKUP(A1354,'Video Database'!L:L,'Video Database'!G:G,"")</f>
        <v>Kaja Beauty 3-in-1 Eyeshadow Stack</v>
      </c>
      <c r="E1354" s="100">
        <f t="array" ref="E1354">_xlfn.XLOOKUP(A1354,'Video Database'!L:L,'Video Database'!H:H,"")</f>
        <v>0.7337</v>
      </c>
      <c r="F1354" s="101"/>
      <c r="G1354" s="87"/>
      <c r="H1354" s="114">
        <f t="array" ref="H1354">_xlfn.XLOOKUP(A1354,'Video Database'!L:L,'Video Database'!A:A,"")</f>
        <v>46208</v>
      </c>
      <c r="I1354" s="103"/>
      <c r="J1354" s="104"/>
      <c r="K1354" s="105"/>
      <c r="L1354" s="105" t="str">
        <f t="shared" si="13"/>
        <v/>
      </c>
      <c r="O1354" s="106" t="str">
        <f t="shared" si="2"/>
        <v>#N/A</v>
      </c>
      <c r="P1354" s="106" t="str">
        <f t="shared" si="3"/>
        <v>#N/A</v>
      </c>
      <c r="Q1354" s="84" t="str">
        <f t="shared" si="4"/>
        <v>#N/A</v>
      </c>
      <c r="R1354" s="84" t="str">
        <f t="shared" si="5"/>
        <v>#N/A</v>
      </c>
      <c r="S1354" s="107">
        <f t="shared" si="6"/>
        <v>-0.7337</v>
      </c>
      <c r="T1354" s="108">
        <f t="shared" si="7"/>
        <v>-1</v>
      </c>
      <c r="U1354" s="106" t="str">
        <f t="shared" si="8"/>
        <v>#N/A</v>
      </c>
      <c r="V1354" s="84" t="str">
        <f t="shared" si="9"/>
        <v/>
      </c>
      <c r="W1354" s="109" t="str">
        <f t="shared" si="10"/>
        <v/>
      </c>
      <c r="X1354" s="109" t="str">
        <f t="shared" si="11"/>
        <v/>
      </c>
      <c r="Y1354" s="110" t="str">
        <f t="array" ref="Y1354">_xlfn.XLOOKUP(A1354,'Video Database'!L:L,'Video Database'!M:M,"")</f>
        <v>Bottom of Funnel</v>
      </c>
    </row>
    <row r="1355" ht="22.5" customHeight="1">
      <c r="A1355" s="113">
        <f t="shared" si="12"/>
        <v>1354</v>
      </c>
      <c r="B1355" s="98" t="str">
        <f t="array" ref="B1355">_xlfn.XLOOKUP(A1355,'Video Database'!L:L,'Video Database'!D:D,"")</f>
        <v>Brittney</v>
      </c>
      <c r="C1355" s="98" t="str">
        <f t="array" ref="C1355">_xlfn.XLOOKUP(A1355,'Video Database'!L:L,'Video Database'!E:E,"")</f>
        <v>Account 1</v>
      </c>
      <c r="D1355" s="99" t="str">
        <f t="array" ref="D1355">_xlfn.XLOOKUP(A1355,'Video Database'!L:L,'Video Database'!G:G,"")</f>
        <v>Gruns Greens Popsicle Firecracker Gummies</v>
      </c>
      <c r="E1355" s="100">
        <f t="array" ref="E1355">_xlfn.XLOOKUP(A1355,'Video Database'!L:L,'Video Database'!H:H,"")</f>
        <v>0.11</v>
      </c>
      <c r="F1355" s="101"/>
      <c r="G1355" s="87"/>
      <c r="H1355" s="114">
        <f t="array" ref="H1355">_xlfn.XLOOKUP(A1355,'Video Database'!L:L,'Video Database'!A:A,"")</f>
        <v>46208</v>
      </c>
      <c r="I1355" s="103"/>
      <c r="J1355" s="104"/>
      <c r="K1355" s="105"/>
      <c r="L1355" s="105" t="str">
        <f t="shared" si="13"/>
        <v/>
      </c>
      <c r="O1355" s="106" t="str">
        <f t="shared" si="2"/>
        <v>#N/A</v>
      </c>
      <c r="P1355" s="106" t="str">
        <f t="shared" si="3"/>
        <v>#N/A</v>
      </c>
      <c r="Q1355" s="84" t="str">
        <f t="shared" si="4"/>
        <v>#N/A</v>
      </c>
      <c r="R1355" s="84" t="str">
        <f t="shared" si="5"/>
        <v>#N/A</v>
      </c>
      <c r="S1355" s="107">
        <f t="shared" si="6"/>
        <v>-0.11</v>
      </c>
      <c r="T1355" s="108">
        <f t="shared" si="7"/>
        <v>-1</v>
      </c>
      <c r="U1355" s="106" t="str">
        <f t="shared" si="8"/>
        <v>#N/A</v>
      </c>
      <c r="V1355" s="84" t="str">
        <f t="shared" si="9"/>
        <v/>
      </c>
      <c r="W1355" s="109" t="str">
        <f t="shared" si="10"/>
        <v/>
      </c>
      <c r="X1355" s="109" t="str">
        <f t="shared" si="11"/>
        <v/>
      </c>
      <c r="Y1355" s="110" t="str">
        <f t="array" ref="Y1355">_xlfn.XLOOKUP(A1355,'Video Database'!L:L,'Video Database'!M:M,"")</f>
        <v>Bottom of Funnel</v>
      </c>
    </row>
    <row r="1356" ht="22.5" customHeight="1">
      <c r="A1356" s="113">
        <f t="shared" si="12"/>
        <v>1355</v>
      </c>
      <c r="B1356" s="98" t="str">
        <f t="array" ref="B1356">_xlfn.XLOOKUP(A1356,'Video Database'!L:L,'Video Database'!D:D,"")</f>
        <v>Erin</v>
      </c>
      <c r="C1356" s="98" t="str">
        <f t="array" ref="C1356">_xlfn.XLOOKUP(A1356,'Video Database'!L:L,'Video Database'!E:E,"")</f>
        <v>Account 1</v>
      </c>
      <c r="D1356" s="99" t="str">
        <f t="array" ref="D1356">_xlfn.XLOOKUP(A1356,'Video Database'!L:L,'Video Database'!G:G,"")</f>
        <v>Carovo Hoop Earrings Set</v>
      </c>
      <c r="E1356" s="100">
        <f t="array" ref="E1356">_xlfn.XLOOKUP(A1356,'Video Database'!L:L,'Video Database'!H:H,"")</f>
        <v>0.7337</v>
      </c>
      <c r="F1356" s="101"/>
      <c r="G1356" s="87"/>
      <c r="H1356" s="114">
        <f t="array" ref="H1356">_xlfn.XLOOKUP(A1356,'Video Database'!L:L,'Video Database'!A:A,"")</f>
        <v>46208</v>
      </c>
      <c r="I1356" s="103"/>
      <c r="J1356" s="104"/>
      <c r="K1356" s="105"/>
      <c r="L1356" s="105" t="str">
        <f t="shared" si="13"/>
        <v/>
      </c>
      <c r="O1356" s="106" t="str">
        <f t="shared" si="2"/>
        <v>#N/A</v>
      </c>
      <c r="P1356" s="106" t="str">
        <f t="shared" si="3"/>
        <v>#N/A</v>
      </c>
      <c r="Q1356" s="84" t="str">
        <f t="shared" si="4"/>
        <v>#N/A</v>
      </c>
      <c r="R1356" s="84" t="str">
        <f t="shared" si="5"/>
        <v>#N/A</v>
      </c>
      <c r="S1356" s="107">
        <f t="shared" si="6"/>
        <v>-0.7337</v>
      </c>
      <c r="T1356" s="108">
        <f t="shared" si="7"/>
        <v>-1</v>
      </c>
      <c r="U1356" s="106" t="str">
        <f t="shared" si="8"/>
        <v>#N/A</v>
      </c>
      <c r="V1356" s="84" t="str">
        <f t="shared" si="9"/>
        <v/>
      </c>
      <c r="W1356" s="109" t="str">
        <f t="shared" si="10"/>
        <v/>
      </c>
      <c r="X1356" s="109" t="str">
        <f t="shared" si="11"/>
        <v/>
      </c>
      <c r="Y1356" s="110" t="str">
        <f t="array" ref="Y1356">_xlfn.XLOOKUP(A1356,'Video Database'!L:L,'Video Database'!M:M,"")</f>
        <v>Bottom of Funnel</v>
      </c>
    </row>
    <row r="1357" ht="22.5" customHeight="1">
      <c r="A1357" s="113">
        <f t="shared" si="12"/>
        <v>1356</v>
      </c>
      <c r="B1357" s="98" t="str">
        <f t="array" ref="B1357">_xlfn.XLOOKUP(A1357,'Video Database'!L:L,'Video Database'!D:D,"")</f>
        <v>Sierra</v>
      </c>
      <c r="C1357" s="98" t="str">
        <f t="array" ref="C1357">_xlfn.XLOOKUP(A1357,'Video Database'!L:L,'Video Database'!E:E,"")</f>
        <v>Account 1</v>
      </c>
      <c r="D1357" s="99" t="str">
        <f t="array" ref="D1357">_xlfn.XLOOKUP(A1357,'Video Database'!L:L,'Video Database'!G:G,"")</f>
        <v>Taste Salud Skin + Beauty Drink Mix</v>
      </c>
      <c r="E1357" s="100">
        <f t="array" ref="E1357">_xlfn.XLOOKUP(A1357,'Video Database'!L:L,'Video Database'!H:H,"")</f>
        <v>1.1</v>
      </c>
      <c r="F1357" s="101"/>
      <c r="G1357" s="87"/>
      <c r="H1357" s="114">
        <f t="array" ref="H1357">_xlfn.XLOOKUP(A1357,'Video Database'!L:L,'Video Database'!A:A,"")</f>
        <v>46208</v>
      </c>
      <c r="I1357" s="103"/>
      <c r="J1357" s="104"/>
      <c r="K1357" s="105"/>
      <c r="L1357" s="105" t="str">
        <f t="shared" si="13"/>
        <v/>
      </c>
      <c r="O1357" s="106" t="str">
        <f t="shared" si="2"/>
        <v>#N/A</v>
      </c>
      <c r="P1357" s="106" t="str">
        <f t="shared" si="3"/>
        <v>#N/A</v>
      </c>
      <c r="Q1357" s="84" t="str">
        <f t="shared" si="4"/>
        <v>#N/A</v>
      </c>
      <c r="R1357" s="84" t="str">
        <f t="shared" si="5"/>
        <v>#N/A</v>
      </c>
      <c r="S1357" s="107">
        <f t="shared" si="6"/>
        <v>-1.1</v>
      </c>
      <c r="T1357" s="108">
        <f t="shared" si="7"/>
        <v>-1</v>
      </c>
      <c r="U1357" s="106" t="str">
        <f t="shared" si="8"/>
        <v>#N/A</v>
      </c>
      <c r="V1357" s="84" t="str">
        <f t="shared" si="9"/>
        <v/>
      </c>
      <c r="W1357" s="109" t="str">
        <f t="shared" si="10"/>
        <v/>
      </c>
      <c r="X1357" s="109" t="str">
        <f t="shared" si="11"/>
        <v/>
      </c>
      <c r="Y1357" s="110" t="str">
        <f t="array" ref="Y1357">_xlfn.XLOOKUP(A1357,'Video Database'!L:L,'Video Database'!M:M,"")</f>
        <v>Middle of Funnel</v>
      </c>
    </row>
    <row r="1358" ht="22.5" customHeight="1">
      <c r="A1358" s="113">
        <f t="shared" si="12"/>
        <v>1357</v>
      </c>
      <c r="B1358" s="98" t="str">
        <f t="array" ref="B1358">_xlfn.XLOOKUP(A1358,'Video Database'!L:L,'Video Database'!D:D,"")</f>
        <v>Sierra</v>
      </c>
      <c r="C1358" s="98" t="str">
        <f t="array" ref="C1358">_xlfn.XLOOKUP(A1358,'Video Database'!L:L,'Video Database'!E:E,"")</f>
        <v>Account 1</v>
      </c>
      <c r="D1358" s="99" t="str">
        <f t="array" ref="D1358">_xlfn.XLOOKUP(A1358,'Video Database'!L:L,'Video Database'!G:G,"")</f>
        <v>Taste Salud Skin + Beauty Drink Mix</v>
      </c>
      <c r="E1358" s="100">
        <f t="array" ref="E1358">_xlfn.XLOOKUP(A1358,'Video Database'!L:L,'Video Database'!H:H,"")</f>
        <v>1.1</v>
      </c>
      <c r="F1358" s="101"/>
      <c r="G1358" s="87"/>
      <c r="H1358" s="114">
        <f t="array" ref="H1358">_xlfn.XLOOKUP(A1358,'Video Database'!L:L,'Video Database'!A:A,"")</f>
        <v>46208</v>
      </c>
      <c r="I1358" s="103"/>
      <c r="J1358" s="104"/>
      <c r="K1358" s="105"/>
      <c r="L1358" s="105" t="str">
        <f t="shared" si="13"/>
        <v/>
      </c>
      <c r="O1358" s="106" t="str">
        <f t="shared" si="2"/>
        <v>#N/A</v>
      </c>
      <c r="P1358" s="106" t="str">
        <f t="shared" si="3"/>
        <v>#N/A</v>
      </c>
      <c r="Q1358" s="84" t="str">
        <f t="shared" si="4"/>
        <v>#N/A</v>
      </c>
      <c r="R1358" s="84" t="str">
        <f t="shared" si="5"/>
        <v>#N/A</v>
      </c>
      <c r="S1358" s="107">
        <f t="shared" si="6"/>
        <v>-1.1</v>
      </c>
      <c r="T1358" s="108">
        <f t="shared" si="7"/>
        <v>-1</v>
      </c>
      <c r="U1358" s="106" t="str">
        <f t="shared" si="8"/>
        <v>#N/A</v>
      </c>
      <c r="V1358" s="84" t="str">
        <f t="shared" si="9"/>
        <v/>
      </c>
      <c r="W1358" s="109" t="str">
        <f t="shared" si="10"/>
        <v/>
      </c>
      <c r="X1358" s="109" t="str">
        <f t="shared" si="11"/>
        <v/>
      </c>
      <c r="Y1358" s="110" t="str">
        <f t="array" ref="Y1358">_xlfn.XLOOKUP(A1358,'Video Database'!L:L,'Video Database'!M:M,"")</f>
        <v>Middle of Funnel</v>
      </c>
    </row>
    <row r="1359" ht="22.5" customHeight="1">
      <c r="A1359" s="113">
        <f t="shared" si="12"/>
        <v>1358</v>
      </c>
      <c r="B1359" s="98" t="str">
        <f t="array" ref="B1359">_xlfn.XLOOKUP(A1359,'Video Database'!L:L,'Video Database'!D:D,"")</f>
        <v>Erin</v>
      </c>
      <c r="C1359" s="98" t="str">
        <f t="array" ref="C1359">_xlfn.XLOOKUP(A1359,'Video Database'!L:L,'Video Database'!E:E,"")</f>
        <v>Account 1</v>
      </c>
      <c r="D1359" s="99" t="str">
        <f t="array" ref="D1359">_xlfn.XLOOKUP(A1359,'Video Database'!L:L,'Video Database'!G:G,"")</f>
        <v>XL Microfiber Towel</v>
      </c>
      <c r="E1359" s="100">
        <f t="array" ref="E1359">_xlfn.XLOOKUP(A1359,'Video Database'!L:L,'Video Database'!H:H,"")</f>
        <v>0.7337</v>
      </c>
      <c r="F1359" s="101"/>
      <c r="G1359" s="87"/>
      <c r="H1359" s="114">
        <f t="array" ref="H1359">_xlfn.XLOOKUP(A1359,'Video Database'!L:L,'Video Database'!A:A,"")</f>
        <v>46208</v>
      </c>
      <c r="I1359" s="103"/>
      <c r="J1359" s="104"/>
      <c r="K1359" s="105"/>
      <c r="L1359" s="105" t="str">
        <f t="shared" si="13"/>
        <v/>
      </c>
      <c r="O1359" s="106" t="str">
        <f t="shared" si="2"/>
        <v>#N/A</v>
      </c>
      <c r="P1359" s="106" t="str">
        <f t="shared" si="3"/>
        <v>#N/A</v>
      </c>
      <c r="Q1359" s="84" t="str">
        <f t="shared" si="4"/>
        <v>#N/A</v>
      </c>
      <c r="R1359" s="84" t="str">
        <f t="shared" si="5"/>
        <v>#N/A</v>
      </c>
      <c r="S1359" s="107">
        <f t="shared" si="6"/>
        <v>-0.7337</v>
      </c>
      <c r="T1359" s="108">
        <f t="shared" si="7"/>
        <v>-1</v>
      </c>
      <c r="U1359" s="106" t="str">
        <f t="shared" si="8"/>
        <v>#N/A</v>
      </c>
      <c r="V1359" s="84" t="str">
        <f t="shared" si="9"/>
        <v/>
      </c>
      <c r="W1359" s="109" t="str">
        <f t="shared" si="10"/>
        <v/>
      </c>
      <c r="X1359" s="109" t="str">
        <f t="shared" si="11"/>
        <v/>
      </c>
      <c r="Y1359" s="110" t="str">
        <f t="array" ref="Y1359">_xlfn.XLOOKUP(A1359,'Video Database'!L:L,'Video Database'!M:M,"")</f>
        <v>Bottom of Funnel</v>
      </c>
    </row>
    <row r="1360" ht="22.5" customHeight="1">
      <c r="A1360" s="113">
        <f t="shared" si="12"/>
        <v>1359</v>
      </c>
      <c r="B1360" s="98" t="str">
        <f t="array" ref="B1360">_xlfn.XLOOKUP(A1360,'Video Database'!L:L,'Video Database'!D:D,"")</f>
        <v>Brittney</v>
      </c>
      <c r="C1360" s="98" t="str">
        <f t="array" ref="C1360">_xlfn.XLOOKUP(A1360,'Video Database'!L:L,'Video Database'!E:E,"")</f>
        <v>Account 1</v>
      </c>
      <c r="D1360" s="99" t="str">
        <f t="array" ref="D1360">_xlfn.XLOOKUP(A1360,'Video Database'!L:L,'Video Database'!G:G,"")</f>
        <v>Gruns Greens Popsicle Firecracker Gummies</v>
      </c>
      <c r="E1360" s="100">
        <f t="array" ref="E1360">_xlfn.XLOOKUP(A1360,'Video Database'!L:L,'Video Database'!H:H,"")</f>
        <v>0.11</v>
      </c>
      <c r="F1360" s="101"/>
      <c r="G1360" s="87"/>
      <c r="H1360" s="114">
        <f t="array" ref="H1360">_xlfn.XLOOKUP(A1360,'Video Database'!L:L,'Video Database'!A:A,"")</f>
        <v>46208</v>
      </c>
      <c r="I1360" s="103"/>
      <c r="J1360" s="104"/>
      <c r="K1360" s="105"/>
      <c r="L1360" s="105" t="str">
        <f t="shared" si="13"/>
        <v/>
      </c>
      <c r="O1360" s="106" t="str">
        <f t="shared" si="2"/>
        <v>#N/A</v>
      </c>
      <c r="P1360" s="106" t="str">
        <f t="shared" si="3"/>
        <v>#N/A</v>
      </c>
      <c r="Q1360" s="84" t="str">
        <f t="shared" si="4"/>
        <v>#N/A</v>
      </c>
      <c r="R1360" s="84" t="str">
        <f t="shared" si="5"/>
        <v>#N/A</v>
      </c>
      <c r="S1360" s="107">
        <f t="shared" si="6"/>
        <v>-0.11</v>
      </c>
      <c r="T1360" s="108">
        <f t="shared" si="7"/>
        <v>-1</v>
      </c>
      <c r="U1360" s="106" t="str">
        <f t="shared" si="8"/>
        <v>#N/A</v>
      </c>
      <c r="V1360" s="84" t="str">
        <f t="shared" si="9"/>
        <v/>
      </c>
      <c r="W1360" s="109" t="str">
        <f t="shared" si="10"/>
        <v/>
      </c>
      <c r="X1360" s="109" t="str">
        <f t="shared" si="11"/>
        <v/>
      </c>
      <c r="Y1360" s="110" t="str">
        <f t="array" ref="Y1360">_xlfn.XLOOKUP(A1360,'Video Database'!L:L,'Video Database'!M:M,"")</f>
        <v>Bottom of Funnel</v>
      </c>
    </row>
    <row r="1361" ht="22.5" customHeight="1">
      <c r="A1361" s="113">
        <f t="shared" si="12"/>
        <v>1360</v>
      </c>
      <c r="B1361" s="98" t="str">
        <f t="array" ref="B1361">_xlfn.XLOOKUP(A1361,'Video Database'!L:L,'Video Database'!D:D,"")</f>
        <v>Erin</v>
      </c>
      <c r="C1361" s="98" t="str">
        <f t="array" ref="C1361">_xlfn.XLOOKUP(A1361,'Video Database'!L:L,'Video Database'!E:E,"")</f>
        <v>Account 1</v>
      </c>
      <c r="D1361" s="99" t="str">
        <f t="array" ref="D1361">_xlfn.XLOOKUP(A1361,'Video Database'!L:L,'Video Database'!G:G,"")</f>
        <v>Faux Pearl Decorated Link Bracelet</v>
      </c>
      <c r="E1361" s="100">
        <f t="array" ref="E1361">_xlfn.XLOOKUP(A1361,'Video Database'!L:L,'Video Database'!H:H,"")</f>
        <v>0.7337</v>
      </c>
      <c r="F1361" s="101"/>
      <c r="G1361" s="87"/>
      <c r="H1361" s="114">
        <f t="array" ref="H1361">_xlfn.XLOOKUP(A1361,'Video Database'!L:L,'Video Database'!A:A,"")</f>
        <v>46208</v>
      </c>
      <c r="I1361" s="103"/>
      <c r="J1361" s="104"/>
      <c r="K1361" s="105"/>
      <c r="L1361" s="105" t="str">
        <f t="shared" si="13"/>
        <v/>
      </c>
      <c r="O1361" s="106" t="str">
        <f t="shared" si="2"/>
        <v>#N/A</v>
      </c>
      <c r="P1361" s="106" t="str">
        <f t="shared" si="3"/>
        <v>#N/A</v>
      </c>
      <c r="Q1361" s="84" t="str">
        <f t="shared" si="4"/>
        <v>#N/A</v>
      </c>
      <c r="R1361" s="84" t="str">
        <f t="shared" si="5"/>
        <v>#N/A</v>
      </c>
      <c r="S1361" s="107">
        <f t="shared" si="6"/>
        <v>-0.7337</v>
      </c>
      <c r="T1361" s="108">
        <f t="shared" si="7"/>
        <v>-1</v>
      </c>
      <c r="U1361" s="106" t="str">
        <f t="shared" si="8"/>
        <v>#N/A</v>
      </c>
      <c r="V1361" s="84" t="str">
        <f t="shared" si="9"/>
        <v/>
      </c>
      <c r="W1361" s="109" t="str">
        <f t="shared" si="10"/>
        <v/>
      </c>
      <c r="X1361" s="109" t="str">
        <f t="shared" si="11"/>
        <v/>
      </c>
      <c r="Y1361" s="110" t="str">
        <f t="array" ref="Y1361">_xlfn.XLOOKUP(A1361,'Video Database'!L:L,'Video Database'!M:M,"")</f>
        <v>Bottom of Funnel</v>
      </c>
    </row>
    <row r="1362" ht="22.5" customHeight="1">
      <c r="A1362" s="113">
        <f t="shared" si="12"/>
        <v>1361</v>
      </c>
      <c r="B1362" s="98" t="str">
        <f t="array" ref="B1362">_xlfn.XLOOKUP(A1362,'Video Database'!L:L,'Video Database'!D:D,"")</f>
        <v>Erin</v>
      </c>
      <c r="C1362" s="98" t="str">
        <f t="array" ref="C1362">_xlfn.XLOOKUP(A1362,'Video Database'!L:L,'Video Database'!E:E,"")</f>
        <v>Account 1</v>
      </c>
      <c r="D1362" s="99" t="str">
        <f t="array" ref="D1362">_xlfn.XLOOKUP(A1362,'Video Database'!L:L,'Video Database'!G:G,"")</f>
        <v>Medicube Kojic Accid Tumeric Pads</v>
      </c>
      <c r="E1362" s="100">
        <f t="array" ref="E1362">_xlfn.XLOOKUP(A1362,'Video Database'!L:L,'Video Database'!H:H,"")</f>
        <v>0.7337</v>
      </c>
      <c r="F1362" s="101"/>
      <c r="G1362" s="87"/>
      <c r="H1362" s="114">
        <f t="array" ref="H1362">_xlfn.XLOOKUP(A1362,'Video Database'!L:L,'Video Database'!A:A,"")</f>
        <v>46208</v>
      </c>
      <c r="I1362" s="103"/>
      <c r="J1362" s="104"/>
      <c r="K1362" s="105"/>
      <c r="L1362" s="105" t="str">
        <f t="shared" si="13"/>
        <v/>
      </c>
      <c r="O1362" s="106" t="str">
        <f t="shared" si="2"/>
        <v>#N/A</v>
      </c>
      <c r="P1362" s="106" t="str">
        <f t="shared" si="3"/>
        <v>#N/A</v>
      </c>
      <c r="Q1362" s="84" t="str">
        <f t="shared" si="4"/>
        <v>#N/A</v>
      </c>
      <c r="R1362" s="84" t="str">
        <f t="shared" si="5"/>
        <v>#N/A</v>
      </c>
      <c r="S1362" s="107">
        <f t="shared" si="6"/>
        <v>-0.7337</v>
      </c>
      <c r="T1362" s="108">
        <f t="shared" si="7"/>
        <v>-1</v>
      </c>
      <c r="U1362" s="106" t="str">
        <f t="shared" si="8"/>
        <v>#N/A</v>
      </c>
      <c r="V1362" s="84" t="str">
        <f t="shared" si="9"/>
        <v/>
      </c>
      <c r="W1362" s="109" t="str">
        <f t="shared" si="10"/>
        <v/>
      </c>
      <c r="X1362" s="109" t="str">
        <f t="shared" si="11"/>
        <v/>
      </c>
      <c r="Y1362" s="110" t="str">
        <f t="array" ref="Y1362">_xlfn.XLOOKUP(A1362,'Video Database'!L:L,'Video Database'!M:M,"")</f>
        <v>Bottom of Funnel</v>
      </c>
    </row>
    <row r="1363" ht="22.5" customHeight="1">
      <c r="A1363" s="113">
        <f t="shared" si="12"/>
        <v>1362</v>
      </c>
      <c r="B1363" s="98" t="str">
        <f t="array" ref="B1363">_xlfn.XLOOKUP(A1363,'Video Database'!L:L,'Video Database'!D:D,"")</f>
        <v>Brittney</v>
      </c>
      <c r="C1363" s="98" t="str">
        <f t="array" ref="C1363">_xlfn.XLOOKUP(A1363,'Video Database'!L:L,'Video Database'!E:E,"")</f>
        <v>Account 1</v>
      </c>
      <c r="D1363" s="99" t="str">
        <f t="array" ref="D1363">_xlfn.XLOOKUP(A1363,'Video Database'!L:L,'Video Database'!G:G,"")</f>
        <v>Gruns Greens Popsicle Firecracker Gummies</v>
      </c>
      <c r="E1363" s="100">
        <f t="array" ref="E1363">_xlfn.XLOOKUP(A1363,'Video Database'!L:L,'Video Database'!H:H,"")</f>
        <v>0.11</v>
      </c>
      <c r="F1363" s="101"/>
      <c r="G1363" s="87"/>
      <c r="H1363" s="114">
        <f t="array" ref="H1363">_xlfn.XLOOKUP(A1363,'Video Database'!L:L,'Video Database'!A:A,"")</f>
        <v>46208</v>
      </c>
      <c r="I1363" s="103"/>
      <c r="J1363" s="104"/>
      <c r="K1363" s="105"/>
      <c r="L1363" s="105" t="str">
        <f t="shared" si="13"/>
        <v/>
      </c>
      <c r="O1363" s="106" t="str">
        <f t="shared" si="2"/>
        <v>#N/A</v>
      </c>
      <c r="P1363" s="106" t="str">
        <f t="shared" si="3"/>
        <v>#N/A</v>
      </c>
      <c r="Q1363" s="84" t="str">
        <f t="shared" si="4"/>
        <v>#N/A</v>
      </c>
      <c r="R1363" s="84" t="str">
        <f t="shared" si="5"/>
        <v>#N/A</v>
      </c>
      <c r="S1363" s="107">
        <f t="shared" si="6"/>
        <v>-0.11</v>
      </c>
      <c r="T1363" s="108">
        <f t="shared" si="7"/>
        <v>-1</v>
      </c>
      <c r="U1363" s="106" t="str">
        <f t="shared" si="8"/>
        <v>#N/A</v>
      </c>
      <c r="V1363" s="84" t="str">
        <f t="shared" si="9"/>
        <v/>
      </c>
      <c r="W1363" s="109" t="str">
        <f t="shared" si="10"/>
        <v/>
      </c>
      <c r="X1363" s="109" t="str">
        <f t="shared" si="11"/>
        <v/>
      </c>
      <c r="Y1363" s="110" t="str">
        <f t="array" ref="Y1363">_xlfn.XLOOKUP(A1363,'Video Database'!L:L,'Video Database'!M:M,"")</f>
        <v>Bottom of Funnel</v>
      </c>
    </row>
    <row r="1364" ht="22.5" customHeight="1">
      <c r="A1364" s="113">
        <f t="shared" si="12"/>
        <v>1363</v>
      </c>
      <c r="B1364" s="98" t="str">
        <f t="array" ref="B1364">_xlfn.XLOOKUP(A1364,'Video Database'!L:L,'Video Database'!D:D,"")</f>
        <v>Erin</v>
      </c>
      <c r="C1364" s="98" t="str">
        <f t="array" ref="C1364">_xlfn.XLOOKUP(A1364,'Video Database'!L:L,'Video Database'!E:E,"")</f>
        <v>Account 2</v>
      </c>
      <c r="D1364" s="99" t="str">
        <f t="array" ref="D1364">_xlfn.XLOOKUP(A1364,'Video Database'!L:L,'Video Database'!G:G,"")</f>
        <v>Kaja Beauty 3-in-1 Eyeshadow Stack</v>
      </c>
      <c r="E1364" s="100">
        <f t="array" ref="E1364">_xlfn.XLOOKUP(A1364,'Video Database'!L:L,'Video Database'!H:H,"")</f>
        <v>0.7337</v>
      </c>
      <c r="F1364" s="101"/>
      <c r="G1364" s="87"/>
      <c r="H1364" s="114">
        <f t="array" ref="H1364">_xlfn.XLOOKUP(A1364,'Video Database'!L:L,'Video Database'!A:A,"")</f>
        <v>46208</v>
      </c>
      <c r="I1364" s="103"/>
      <c r="J1364" s="104"/>
      <c r="K1364" s="105"/>
      <c r="L1364" s="105" t="str">
        <f t="shared" si="13"/>
        <v/>
      </c>
      <c r="O1364" s="106" t="str">
        <f t="shared" si="2"/>
        <v>#N/A</v>
      </c>
      <c r="P1364" s="106" t="str">
        <f t="shared" si="3"/>
        <v>#N/A</v>
      </c>
      <c r="Q1364" s="84" t="str">
        <f t="shared" si="4"/>
        <v>#N/A</v>
      </c>
      <c r="R1364" s="84" t="str">
        <f t="shared" si="5"/>
        <v>#N/A</v>
      </c>
      <c r="S1364" s="107">
        <f t="shared" si="6"/>
        <v>-0.7337</v>
      </c>
      <c r="T1364" s="108">
        <f t="shared" si="7"/>
        <v>-1</v>
      </c>
      <c r="U1364" s="106" t="str">
        <f t="shared" si="8"/>
        <v>#N/A</v>
      </c>
      <c r="V1364" s="84" t="str">
        <f t="shared" si="9"/>
        <v/>
      </c>
      <c r="W1364" s="109" t="str">
        <f t="shared" si="10"/>
        <v/>
      </c>
      <c r="X1364" s="109" t="str">
        <f t="shared" si="11"/>
        <v/>
      </c>
      <c r="Y1364" s="110" t="str">
        <f t="array" ref="Y1364">_xlfn.XLOOKUP(A1364,'Video Database'!L:L,'Video Database'!M:M,"")</f>
        <v>Bottom of Funnel</v>
      </c>
    </row>
    <row r="1365" ht="22.5" customHeight="1">
      <c r="A1365" s="113">
        <f t="shared" si="12"/>
        <v>1364</v>
      </c>
      <c r="B1365" s="98" t="str">
        <f t="array" ref="B1365">_xlfn.XLOOKUP(A1365,'Video Database'!L:L,'Video Database'!D:D,"")</f>
        <v>Brittney</v>
      </c>
      <c r="C1365" s="98" t="str">
        <f t="array" ref="C1365">_xlfn.XLOOKUP(A1365,'Video Database'!L:L,'Video Database'!E:E,"")</f>
        <v>Account 2</v>
      </c>
      <c r="D1365" s="99" t="str">
        <f t="array" ref="D1365">_xlfn.XLOOKUP(A1365,'Video Database'!L:L,'Video Database'!G:G,"")</f>
        <v>Gruns Greens Popsicle Firecracker Gummies</v>
      </c>
      <c r="E1365" s="100">
        <f t="array" ref="E1365">_xlfn.XLOOKUP(A1365,'Video Database'!L:L,'Video Database'!H:H,"")</f>
        <v>0.11</v>
      </c>
      <c r="F1365" s="101"/>
      <c r="G1365" s="87"/>
      <c r="H1365" s="114">
        <f t="array" ref="H1365">_xlfn.XLOOKUP(A1365,'Video Database'!L:L,'Video Database'!A:A,"")</f>
        <v>46208</v>
      </c>
      <c r="I1365" s="103"/>
      <c r="J1365" s="104"/>
      <c r="K1365" s="105"/>
      <c r="L1365" s="105" t="str">
        <f t="shared" si="13"/>
        <v/>
      </c>
      <c r="O1365" s="106" t="str">
        <f t="shared" si="2"/>
        <v>#N/A</v>
      </c>
      <c r="P1365" s="106" t="str">
        <f t="shared" si="3"/>
        <v>#N/A</v>
      </c>
      <c r="Q1365" s="84" t="str">
        <f t="shared" si="4"/>
        <v>#N/A</v>
      </c>
      <c r="R1365" s="84" t="str">
        <f t="shared" si="5"/>
        <v>#N/A</v>
      </c>
      <c r="S1365" s="107">
        <f t="shared" si="6"/>
        <v>-0.11</v>
      </c>
      <c r="T1365" s="108">
        <f t="shared" si="7"/>
        <v>-1</v>
      </c>
      <c r="U1365" s="106" t="str">
        <f t="shared" si="8"/>
        <v>#N/A</v>
      </c>
      <c r="V1365" s="84" t="str">
        <f t="shared" si="9"/>
        <v/>
      </c>
      <c r="W1365" s="109" t="str">
        <f t="shared" si="10"/>
        <v/>
      </c>
      <c r="X1365" s="109" t="str">
        <f t="shared" si="11"/>
        <v/>
      </c>
      <c r="Y1365" s="110" t="str">
        <f t="array" ref="Y1365">_xlfn.XLOOKUP(A1365,'Video Database'!L:L,'Video Database'!M:M,"")</f>
        <v>Bottom of Funnel</v>
      </c>
    </row>
    <row r="1366" ht="22.5" customHeight="1">
      <c r="A1366" s="113">
        <f t="shared" si="12"/>
        <v>1365</v>
      </c>
      <c r="B1366" s="98" t="str">
        <f t="array" ref="B1366">_xlfn.XLOOKUP(A1366,'Video Database'!L:L,'Video Database'!D:D,"")</f>
        <v>Erin</v>
      </c>
      <c r="C1366" s="98" t="str">
        <f t="array" ref="C1366">_xlfn.XLOOKUP(A1366,'Video Database'!L:L,'Video Database'!E:E,"")</f>
        <v>Account 2</v>
      </c>
      <c r="D1366" s="99" t="str">
        <f t="array" ref="D1366">_xlfn.XLOOKUP(A1366,'Video Database'!L:L,'Video Database'!G:G,"")</f>
        <v>Carovo Hoop Earrings Set</v>
      </c>
      <c r="E1366" s="100">
        <f t="array" ref="E1366">_xlfn.XLOOKUP(A1366,'Video Database'!L:L,'Video Database'!H:H,"")</f>
        <v>0.7337</v>
      </c>
      <c r="F1366" s="101"/>
      <c r="G1366" s="87"/>
      <c r="H1366" s="114">
        <f t="array" ref="H1366">_xlfn.XLOOKUP(A1366,'Video Database'!L:L,'Video Database'!A:A,"")</f>
        <v>46208</v>
      </c>
      <c r="I1366" s="103"/>
      <c r="J1366" s="104"/>
      <c r="K1366" s="105"/>
      <c r="L1366" s="105" t="str">
        <f t="shared" si="13"/>
        <v/>
      </c>
      <c r="O1366" s="106" t="str">
        <f t="shared" si="2"/>
        <v>#N/A</v>
      </c>
      <c r="P1366" s="106" t="str">
        <f t="shared" si="3"/>
        <v>#N/A</v>
      </c>
      <c r="Q1366" s="84" t="str">
        <f t="shared" si="4"/>
        <v>#N/A</v>
      </c>
      <c r="R1366" s="84" t="str">
        <f t="shared" si="5"/>
        <v>#N/A</v>
      </c>
      <c r="S1366" s="107">
        <f t="shared" si="6"/>
        <v>-0.7337</v>
      </c>
      <c r="T1366" s="108">
        <f t="shared" si="7"/>
        <v>-1</v>
      </c>
      <c r="U1366" s="106" t="str">
        <f t="shared" si="8"/>
        <v>#N/A</v>
      </c>
      <c r="V1366" s="84" t="str">
        <f t="shared" si="9"/>
        <v/>
      </c>
      <c r="W1366" s="109" t="str">
        <f t="shared" si="10"/>
        <v/>
      </c>
      <c r="X1366" s="109" t="str">
        <f t="shared" si="11"/>
        <v/>
      </c>
      <c r="Y1366" s="110" t="str">
        <f t="array" ref="Y1366">_xlfn.XLOOKUP(A1366,'Video Database'!L:L,'Video Database'!M:M,"")</f>
        <v>Bottom of Funnel</v>
      </c>
    </row>
    <row r="1367" ht="22.5" customHeight="1">
      <c r="A1367" s="113">
        <f t="shared" si="12"/>
        <v>1366</v>
      </c>
      <c r="B1367" s="98" t="str">
        <f t="array" ref="B1367">_xlfn.XLOOKUP(A1367,'Video Database'!L:L,'Video Database'!D:D,"")</f>
        <v>Sierra</v>
      </c>
      <c r="C1367" s="98" t="str">
        <f t="array" ref="C1367">_xlfn.XLOOKUP(A1367,'Video Database'!L:L,'Video Database'!E:E,"")</f>
        <v>Account 2</v>
      </c>
      <c r="D1367" s="99" t="str">
        <f t="array" ref="D1367">_xlfn.XLOOKUP(A1367,'Video Database'!L:L,'Video Database'!G:G,"")</f>
        <v>Taste Salud Skin + Beauty Drink Mix</v>
      </c>
      <c r="E1367" s="100">
        <f t="array" ref="E1367">_xlfn.XLOOKUP(A1367,'Video Database'!L:L,'Video Database'!H:H,"")</f>
        <v>1.1</v>
      </c>
      <c r="F1367" s="101"/>
      <c r="G1367" s="87"/>
      <c r="H1367" s="114">
        <f t="array" ref="H1367">_xlfn.XLOOKUP(A1367,'Video Database'!L:L,'Video Database'!A:A,"")</f>
        <v>46208</v>
      </c>
      <c r="I1367" s="103"/>
      <c r="J1367" s="104"/>
      <c r="K1367" s="105"/>
      <c r="L1367" s="105" t="str">
        <f t="shared" si="13"/>
        <v/>
      </c>
      <c r="O1367" s="106" t="str">
        <f t="shared" si="2"/>
        <v>#N/A</v>
      </c>
      <c r="P1367" s="106" t="str">
        <f t="shared" si="3"/>
        <v>#N/A</v>
      </c>
      <c r="Q1367" s="84" t="str">
        <f t="shared" si="4"/>
        <v>#N/A</v>
      </c>
      <c r="R1367" s="84" t="str">
        <f t="shared" si="5"/>
        <v>#N/A</v>
      </c>
      <c r="S1367" s="107">
        <f t="shared" si="6"/>
        <v>-1.1</v>
      </c>
      <c r="T1367" s="108">
        <f t="shared" si="7"/>
        <v>-1</v>
      </c>
      <c r="U1367" s="106" t="str">
        <f t="shared" si="8"/>
        <v>#N/A</v>
      </c>
      <c r="V1367" s="84" t="str">
        <f t="shared" si="9"/>
        <v/>
      </c>
      <c r="W1367" s="109" t="str">
        <f t="shared" si="10"/>
        <v/>
      </c>
      <c r="X1367" s="109" t="str">
        <f t="shared" si="11"/>
        <v/>
      </c>
      <c r="Y1367" s="110" t="str">
        <f t="array" ref="Y1367">_xlfn.XLOOKUP(A1367,'Video Database'!L:L,'Video Database'!M:M,"")</f>
        <v>Middle of Funnel</v>
      </c>
    </row>
    <row r="1368" ht="22.5" customHeight="1">
      <c r="A1368" s="113">
        <f t="shared" si="12"/>
        <v>1367</v>
      </c>
      <c r="B1368" s="98" t="str">
        <f t="array" ref="B1368">_xlfn.XLOOKUP(A1368,'Video Database'!L:L,'Video Database'!D:D,"")</f>
        <v>Erin</v>
      </c>
      <c r="C1368" s="98" t="str">
        <f t="array" ref="C1368">_xlfn.XLOOKUP(A1368,'Video Database'!L:L,'Video Database'!E:E,"")</f>
        <v>Account 2</v>
      </c>
      <c r="D1368" s="99" t="str">
        <f t="array" ref="D1368">_xlfn.XLOOKUP(A1368,'Video Database'!L:L,'Video Database'!G:G,"")</f>
        <v>XL Microfiber Towel</v>
      </c>
      <c r="E1368" s="100">
        <f t="array" ref="E1368">_xlfn.XLOOKUP(A1368,'Video Database'!L:L,'Video Database'!H:H,"")</f>
        <v>0.7337</v>
      </c>
      <c r="F1368" s="101"/>
      <c r="G1368" s="87"/>
      <c r="H1368" s="114">
        <f t="array" ref="H1368">_xlfn.XLOOKUP(A1368,'Video Database'!L:L,'Video Database'!A:A,"")</f>
        <v>46208</v>
      </c>
      <c r="I1368" s="103"/>
      <c r="J1368" s="104"/>
      <c r="K1368" s="105"/>
      <c r="L1368" s="105" t="str">
        <f t="shared" si="13"/>
        <v/>
      </c>
      <c r="O1368" s="106" t="str">
        <f t="shared" si="2"/>
        <v>#N/A</v>
      </c>
      <c r="P1368" s="106" t="str">
        <f t="shared" si="3"/>
        <v>#N/A</v>
      </c>
      <c r="Q1368" s="84" t="str">
        <f t="shared" si="4"/>
        <v>#N/A</v>
      </c>
      <c r="R1368" s="84" t="str">
        <f t="shared" si="5"/>
        <v>#N/A</v>
      </c>
      <c r="S1368" s="107">
        <f t="shared" si="6"/>
        <v>-0.7337</v>
      </c>
      <c r="T1368" s="108">
        <f t="shared" si="7"/>
        <v>-1</v>
      </c>
      <c r="U1368" s="106" t="str">
        <f t="shared" si="8"/>
        <v>#N/A</v>
      </c>
      <c r="V1368" s="84" t="str">
        <f t="shared" si="9"/>
        <v/>
      </c>
      <c r="W1368" s="109" t="str">
        <f t="shared" si="10"/>
        <v/>
      </c>
      <c r="X1368" s="109" t="str">
        <f t="shared" si="11"/>
        <v/>
      </c>
      <c r="Y1368" s="110" t="str">
        <f t="array" ref="Y1368">_xlfn.XLOOKUP(A1368,'Video Database'!L:L,'Video Database'!M:M,"")</f>
        <v>Bottom of Funnel</v>
      </c>
    </row>
    <row r="1369" ht="22.5" customHeight="1">
      <c r="A1369" s="113">
        <f t="shared" si="12"/>
        <v>1368</v>
      </c>
      <c r="B1369" s="98" t="str">
        <f t="array" ref="B1369">_xlfn.XLOOKUP(A1369,'Video Database'!L:L,'Video Database'!D:D,"")</f>
        <v>Erin</v>
      </c>
      <c r="C1369" s="98" t="str">
        <f t="array" ref="C1369">_xlfn.XLOOKUP(A1369,'Video Database'!L:L,'Video Database'!E:E,"")</f>
        <v>Account 2</v>
      </c>
      <c r="D1369" s="99" t="str">
        <f t="array" ref="D1369">_xlfn.XLOOKUP(A1369,'Video Database'!L:L,'Video Database'!G:G,"")</f>
        <v>XL Microfiber Towel</v>
      </c>
      <c r="E1369" s="100">
        <f t="array" ref="E1369">_xlfn.XLOOKUP(A1369,'Video Database'!L:L,'Video Database'!H:H,"")</f>
        <v>0.7337</v>
      </c>
      <c r="F1369" s="101"/>
      <c r="G1369" s="87"/>
      <c r="H1369" s="114">
        <f t="array" ref="H1369">_xlfn.XLOOKUP(A1369,'Video Database'!L:L,'Video Database'!A:A,"")</f>
        <v>46208</v>
      </c>
      <c r="I1369" s="103"/>
      <c r="J1369" s="104"/>
      <c r="K1369" s="105"/>
      <c r="L1369" s="105" t="str">
        <f t="shared" si="13"/>
        <v/>
      </c>
      <c r="O1369" s="106" t="str">
        <f t="shared" si="2"/>
        <v>#N/A</v>
      </c>
      <c r="P1369" s="106" t="str">
        <f t="shared" si="3"/>
        <v>#N/A</v>
      </c>
      <c r="Q1369" s="84" t="str">
        <f t="shared" si="4"/>
        <v>#N/A</v>
      </c>
      <c r="R1369" s="84" t="str">
        <f t="shared" si="5"/>
        <v>#N/A</v>
      </c>
      <c r="S1369" s="107">
        <f t="shared" si="6"/>
        <v>-0.7337</v>
      </c>
      <c r="T1369" s="108">
        <f t="shared" si="7"/>
        <v>-1</v>
      </c>
      <c r="U1369" s="106" t="str">
        <f t="shared" si="8"/>
        <v>#N/A</v>
      </c>
      <c r="V1369" s="84" t="str">
        <f t="shared" si="9"/>
        <v/>
      </c>
      <c r="W1369" s="109" t="str">
        <f t="shared" si="10"/>
        <v/>
      </c>
      <c r="X1369" s="109" t="str">
        <f t="shared" si="11"/>
        <v/>
      </c>
      <c r="Y1369" s="110" t="str">
        <f t="array" ref="Y1369">_xlfn.XLOOKUP(A1369,'Video Database'!L:L,'Video Database'!M:M,"")</f>
        <v>Bottom of Funnel</v>
      </c>
    </row>
    <row r="1370" ht="22.5" customHeight="1">
      <c r="A1370" s="113">
        <f t="shared" si="12"/>
        <v>1369</v>
      </c>
      <c r="B1370" s="98" t="str">
        <f t="array" ref="B1370">_xlfn.XLOOKUP(A1370,'Video Database'!L:L,'Video Database'!D:D,"")</f>
        <v>Erin</v>
      </c>
      <c r="C1370" s="98" t="str">
        <f t="array" ref="C1370">_xlfn.XLOOKUP(A1370,'Video Database'!L:L,'Video Database'!E:E,"")</f>
        <v>Account 2</v>
      </c>
      <c r="D1370" s="99" t="str">
        <f t="array" ref="D1370">_xlfn.XLOOKUP(A1370,'Video Database'!L:L,'Video Database'!G:G,"")</f>
        <v>Faux Pearl Decorated Link Bracelet</v>
      </c>
      <c r="E1370" s="100">
        <f t="array" ref="E1370">_xlfn.XLOOKUP(A1370,'Video Database'!L:L,'Video Database'!H:H,"")</f>
        <v>0.7337</v>
      </c>
      <c r="F1370" s="101"/>
      <c r="G1370" s="87"/>
      <c r="H1370" s="114">
        <f t="array" ref="H1370">_xlfn.XLOOKUP(A1370,'Video Database'!L:L,'Video Database'!A:A,"")</f>
        <v>46208</v>
      </c>
      <c r="I1370" s="103"/>
      <c r="J1370" s="104"/>
      <c r="K1370" s="105"/>
      <c r="L1370" s="105" t="str">
        <f t="shared" si="13"/>
        <v/>
      </c>
      <c r="O1370" s="106" t="str">
        <f t="shared" si="2"/>
        <v>#N/A</v>
      </c>
      <c r="P1370" s="106" t="str">
        <f t="shared" si="3"/>
        <v>#N/A</v>
      </c>
      <c r="Q1370" s="84" t="str">
        <f t="shared" si="4"/>
        <v>#N/A</v>
      </c>
      <c r="R1370" s="84" t="str">
        <f t="shared" si="5"/>
        <v>#N/A</v>
      </c>
      <c r="S1370" s="107">
        <f t="shared" si="6"/>
        <v>-0.7337</v>
      </c>
      <c r="T1370" s="108">
        <f t="shared" si="7"/>
        <v>-1</v>
      </c>
      <c r="U1370" s="106" t="str">
        <f t="shared" si="8"/>
        <v>#N/A</v>
      </c>
      <c r="V1370" s="84" t="str">
        <f t="shared" si="9"/>
        <v/>
      </c>
      <c r="W1370" s="109" t="str">
        <f t="shared" si="10"/>
        <v/>
      </c>
      <c r="X1370" s="109" t="str">
        <f t="shared" si="11"/>
        <v/>
      </c>
      <c r="Y1370" s="110" t="str">
        <f t="array" ref="Y1370">_xlfn.XLOOKUP(A1370,'Video Database'!L:L,'Video Database'!M:M,"")</f>
        <v>Bottom of Funnel</v>
      </c>
    </row>
    <row r="1371" ht="22.5" customHeight="1">
      <c r="A1371" s="113">
        <f t="shared" si="12"/>
        <v>1370</v>
      </c>
      <c r="B1371" s="98" t="str">
        <f t="array" ref="B1371">_xlfn.XLOOKUP(A1371,'Video Database'!L:L,'Video Database'!D:D,"")</f>
        <v>Brittney</v>
      </c>
      <c r="C1371" s="98" t="str">
        <f t="array" ref="C1371">_xlfn.XLOOKUP(A1371,'Video Database'!L:L,'Video Database'!E:E,"")</f>
        <v>Account 2</v>
      </c>
      <c r="D1371" s="99" t="str">
        <f t="array" ref="D1371">_xlfn.XLOOKUP(A1371,'Video Database'!L:L,'Video Database'!G:G,"")</f>
        <v>Gruns Greens Popsicle Firecracker Gummies</v>
      </c>
      <c r="E1371" s="100">
        <f t="array" ref="E1371">_xlfn.XLOOKUP(A1371,'Video Database'!L:L,'Video Database'!H:H,"")</f>
        <v>0.11</v>
      </c>
      <c r="F1371" s="101"/>
      <c r="G1371" s="87"/>
      <c r="H1371" s="114">
        <f t="array" ref="H1371">_xlfn.XLOOKUP(A1371,'Video Database'!L:L,'Video Database'!A:A,"")</f>
        <v>46208</v>
      </c>
      <c r="I1371" s="103"/>
      <c r="J1371" s="104"/>
      <c r="K1371" s="105"/>
      <c r="L1371" s="105" t="str">
        <f t="shared" si="13"/>
        <v/>
      </c>
      <c r="O1371" s="106" t="str">
        <f t="shared" si="2"/>
        <v>#N/A</v>
      </c>
      <c r="P1371" s="106" t="str">
        <f t="shared" si="3"/>
        <v>#N/A</v>
      </c>
      <c r="Q1371" s="84" t="str">
        <f t="shared" si="4"/>
        <v>#N/A</v>
      </c>
      <c r="R1371" s="84" t="str">
        <f t="shared" si="5"/>
        <v>#N/A</v>
      </c>
      <c r="S1371" s="107">
        <f t="shared" si="6"/>
        <v>-0.11</v>
      </c>
      <c r="T1371" s="108">
        <f t="shared" si="7"/>
        <v>-1</v>
      </c>
      <c r="U1371" s="106" t="str">
        <f t="shared" si="8"/>
        <v>#N/A</v>
      </c>
      <c r="V1371" s="84" t="str">
        <f t="shared" si="9"/>
        <v/>
      </c>
      <c r="W1371" s="109" t="str">
        <f t="shared" si="10"/>
        <v/>
      </c>
      <c r="X1371" s="109" t="str">
        <f t="shared" si="11"/>
        <v/>
      </c>
      <c r="Y1371" s="110" t="str">
        <f t="array" ref="Y1371">_xlfn.XLOOKUP(A1371,'Video Database'!L:L,'Video Database'!M:M,"")</f>
        <v>Bottom of Funnel</v>
      </c>
    </row>
    <row r="1372" ht="22.5" customHeight="1">
      <c r="A1372" s="113">
        <f t="shared" si="12"/>
        <v>1371</v>
      </c>
      <c r="B1372" s="98" t="str">
        <f t="array" ref="B1372">_xlfn.XLOOKUP(A1372,'Video Database'!L:L,'Video Database'!D:D,"")</f>
        <v>Erin</v>
      </c>
      <c r="C1372" s="98" t="str">
        <f t="array" ref="C1372">_xlfn.XLOOKUP(A1372,'Video Database'!L:L,'Video Database'!E:E,"")</f>
        <v>Account 2</v>
      </c>
      <c r="D1372" s="99" t="str">
        <f t="array" ref="D1372">_xlfn.XLOOKUP(A1372,'Video Database'!L:L,'Video Database'!G:G,"")</f>
        <v>Medicube Kojic Accid Tumeric Pads</v>
      </c>
      <c r="E1372" s="100">
        <f t="array" ref="E1372">_xlfn.XLOOKUP(A1372,'Video Database'!L:L,'Video Database'!H:H,"")</f>
        <v>0.7337</v>
      </c>
      <c r="F1372" s="101"/>
      <c r="G1372" s="87"/>
      <c r="H1372" s="114">
        <f t="array" ref="H1372">_xlfn.XLOOKUP(A1372,'Video Database'!L:L,'Video Database'!A:A,"")</f>
        <v>46208</v>
      </c>
      <c r="I1372" s="103"/>
      <c r="J1372" s="104"/>
      <c r="K1372" s="105"/>
      <c r="L1372" s="105" t="str">
        <f t="shared" si="13"/>
        <v/>
      </c>
      <c r="O1372" s="106" t="str">
        <f t="shared" si="2"/>
        <v>#N/A</v>
      </c>
      <c r="P1372" s="106" t="str">
        <f t="shared" si="3"/>
        <v>#N/A</v>
      </c>
      <c r="Q1372" s="84" t="str">
        <f t="shared" si="4"/>
        <v>#N/A</v>
      </c>
      <c r="R1372" s="84" t="str">
        <f t="shared" si="5"/>
        <v>#N/A</v>
      </c>
      <c r="S1372" s="107">
        <f t="shared" si="6"/>
        <v>-0.7337</v>
      </c>
      <c r="T1372" s="108">
        <f t="shared" si="7"/>
        <v>-1</v>
      </c>
      <c r="U1372" s="106" t="str">
        <f t="shared" si="8"/>
        <v>#N/A</v>
      </c>
      <c r="V1372" s="84" t="str">
        <f t="shared" si="9"/>
        <v/>
      </c>
      <c r="W1372" s="109" t="str">
        <f t="shared" si="10"/>
        <v/>
      </c>
      <c r="X1372" s="109" t="str">
        <f t="shared" si="11"/>
        <v/>
      </c>
      <c r="Y1372" s="110" t="str">
        <f t="array" ref="Y1372">_xlfn.XLOOKUP(A1372,'Video Database'!L:L,'Video Database'!M:M,"")</f>
        <v>Bottom of Funnel</v>
      </c>
    </row>
    <row r="1373" ht="22.5" customHeight="1">
      <c r="A1373" s="113">
        <f t="shared" si="12"/>
        <v>1372</v>
      </c>
      <c r="B1373" s="98" t="str">
        <f t="array" ref="B1373">_xlfn.XLOOKUP(A1373,'Video Database'!L:L,'Video Database'!D:D,"")</f>
        <v>Brittney</v>
      </c>
      <c r="C1373" s="98" t="str">
        <f t="array" ref="C1373">_xlfn.XLOOKUP(A1373,'Video Database'!L:L,'Video Database'!E:E,"")</f>
        <v>Account 2</v>
      </c>
      <c r="D1373" s="99" t="str">
        <f t="array" ref="D1373">_xlfn.XLOOKUP(A1373,'Video Database'!L:L,'Video Database'!G:G,"")</f>
        <v>Gruns Greens Popsicle Firecracker Gummies</v>
      </c>
      <c r="E1373" s="100">
        <f t="array" ref="E1373">_xlfn.XLOOKUP(A1373,'Video Database'!L:L,'Video Database'!H:H,"")</f>
        <v>0.11</v>
      </c>
      <c r="F1373" s="101"/>
      <c r="G1373" s="87"/>
      <c r="H1373" s="114">
        <f t="array" ref="H1373">_xlfn.XLOOKUP(A1373,'Video Database'!L:L,'Video Database'!A:A,"")</f>
        <v>46208</v>
      </c>
      <c r="I1373" s="103"/>
      <c r="J1373" s="104"/>
      <c r="K1373" s="105"/>
      <c r="L1373" s="105" t="str">
        <f t="shared" si="13"/>
        <v/>
      </c>
      <c r="O1373" s="106" t="str">
        <f t="shared" si="2"/>
        <v>#N/A</v>
      </c>
      <c r="P1373" s="106" t="str">
        <f t="shared" si="3"/>
        <v>#N/A</v>
      </c>
      <c r="Q1373" s="84" t="str">
        <f t="shared" si="4"/>
        <v>#N/A</v>
      </c>
      <c r="R1373" s="84" t="str">
        <f t="shared" si="5"/>
        <v>#N/A</v>
      </c>
      <c r="S1373" s="107">
        <f t="shared" si="6"/>
        <v>-0.11</v>
      </c>
      <c r="T1373" s="108">
        <f t="shared" si="7"/>
        <v>-1</v>
      </c>
      <c r="U1373" s="106" t="str">
        <f t="shared" si="8"/>
        <v>#N/A</v>
      </c>
      <c r="V1373" s="84" t="str">
        <f t="shared" si="9"/>
        <v/>
      </c>
      <c r="W1373" s="109" t="str">
        <f t="shared" si="10"/>
        <v/>
      </c>
      <c r="X1373" s="109" t="str">
        <f t="shared" si="11"/>
        <v/>
      </c>
      <c r="Y1373" s="110" t="str">
        <f t="array" ref="Y1373">_xlfn.XLOOKUP(A1373,'Video Database'!L:L,'Video Database'!M:M,"")</f>
        <v>Bottom of Funnel</v>
      </c>
    </row>
    <row r="1374" ht="22.5" customHeight="1">
      <c r="A1374" s="113">
        <f t="shared" si="12"/>
        <v>1373</v>
      </c>
      <c r="B1374" s="98" t="str">
        <f t="array" ref="B1374">_xlfn.XLOOKUP(A1374,'Video Database'!L:L,'Video Database'!D:D,"")</f>
        <v>Erin</v>
      </c>
      <c r="C1374" s="98" t="str">
        <f t="array" ref="C1374">_xlfn.XLOOKUP(A1374,'Video Database'!L:L,'Video Database'!E:E,"")</f>
        <v>Account 3</v>
      </c>
      <c r="D1374" s="99" t="str">
        <f t="array" ref="D1374">_xlfn.XLOOKUP(A1374,'Video Database'!L:L,'Video Database'!G:G,"")</f>
        <v>Kaja Beauty 3-in-1 Eyeshadow Stack</v>
      </c>
      <c r="E1374" s="100">
        <f t="array" ref="E1374">_xlfn.XLOOKUP(A1374,'Video Database'!L:L,'Video Database'!H:H,"")</f>
        <v>0.7337</v>
      </c>
      <c r="F1374" s="101"/>
      <c r="G1374" s="87"/>
      <c r="H1374" s="114">
        <f t="array" ref="H1374">_xlfn.XLOOKUP(A1374,'Video Database'!L:L,'Video Database'!A:A,"")</f>
        <v>46208</v>
      </c>
      <c r="I1374" s="103"/>
      <c r="J1374" s="104"/>
      <c r="K1374" s="105"/>
      <c r="L1374" s="105" t="str">
        <f t="shared" si="13"/>
        <v/>
      </c>
      <c r="O1374" s="106" t="str">
        <f t="shared" si="2"/>
        <v>#N/A</v>
      </c>
      <c r="P1374" s="106" t="str">
        <f t="shared" si="3"/>
        <v>#N/A</v>
      </c>
      <c r="Q1374" s="84" t="str">
        <f t="shared" si="4"/>
        <v>#N/A</v>
      </c>
      <c r="R1374" s="84" t="str">
        <f t="shared" si="5"/>
        <v>#N/A</v>
      </c>
      <c r="S1374" s="107">
        <f t="shared" si="6"/>
        <v>-0.7337</v>
      </c>
      <c r="T1374" s="108">
        <f t="shared" si="7"/>
        <v>-1</v>
      </c>
      <c r="U1374" s="106" t="str">
        <f t="shared" si="8"/>
        <v>#N/A</v>
      </c>
      <c r="V1374" s="84" t="str">
        <f t="shared" si="9"/>
        <v/>
      </c>
      <c r="W1374" s="109" t="str">
        <f t="shared" si="10"/>
        <v/>
      </c>
      <c r="X1374" s="109" t="str">
        <f t="shared" si="11"/>
        <v/>
      </c>
      <c r="Y1374" s="110" t="str">
        <f t="array" ref="Y1374">_xlfn.XLOOKUP(A1374,'Video Database'!L:L,'Video Database'!M:M,"")</f>
        <v>Bottom of Funnel</v>
      </c>
    </row>
    <row r="1375" ht="22.5" customHeight="1">
      <c r="A1375" s="113">
        <f t="shared" si="12"/>
        <v>1374</v>
      </c>
      <c r="B1375" s="98" t="str">
        <f t="array" ref="B1375">_xlfn.XLOOKUP(A1375,'Video Database'!L:L,'Video Database'!D:D,"")</f>
        <v>Brittney</v>
      </c>
      <c r="C1375" s="98" t="str">
        <f t="array" ref="C1375">_xlfn.XLOOKUP(A1375,'Video Database'!L:L,'Video Database'!E:E,"")</f>
        <v>Account 3</v>
      </c>
      <c r="D1375" s="98" t="str">
        <f t="array" ref="D1375">_xlfn.XLOOKUP(A1375,'Video Database'!L:L,'Video Database'!G:G,"")</f>
        <v>Gruns Greens Popsicle Firecracker Gummies</v>
      </c>
      <c r="E1375" s="100">
        <f t="array" ref="E1375">_xlfn.XLOOKUP(A1375,'Video Database'!L:L,'Video Database'!H:H,"")</f>
        <v>0.11</v>
      </c>
      <c r="F1375" s="101"/>
      <c r="G1375" s="87"/>
      <c r="H1375" s="114">
        <f t="array" ref="H1375">_xlfn.XLOOKUP(A1375,'Video Database'!L:L,'Video Database'!A:A,"")</f>
        <v>46208</v>
      </c>
      <c r="I1375" s="103"/>
      <c r="J1375" s="104"/>
      <c r="K1375" s="105"/>
      <c r="L1375" s="105" t="str">
        <f t="shared" si="13"/>
        <v/>
      </c>
      <c r="O1375" s="106" t="str">
        <f t="shared" si="2"/>
        <v>#N/A</v>
      </c>
      <c r="P1375" s="106" t="str">
        <f t="shared" si="3"/>
        <v>#N/A</v>
      </c>
      <c r="Q1375" s="84" t="str">
        <f t="shared" si="4"/>
        <v>#N/A</v>
      </c>
      <c r="R1375" s="84" t="str">
        <f t="shared" si="5"/>
        <v>#N/A</v>
      </c>
      <c r="S1375" s="107">
        <f t="shared" si="6"/>
        <v>-0.11</v>
      </c>
      <c r="T1375" s="108">
        <f t="shared" si="7"/>
        <v>-1</v>
      </c>
      <c r="U1375" s="106" t="str">
        <f t="shared" si="8"/>
        <v>#N/A</v>
      </c>
      <c r="V1375" s="84" t="str">
        <f t="shared" si="9"/>
        <v/>
      </c>
      <c r="W1375" s="109" t="str">
        <f t="shared" si="10"/>
        <v/>
      </c>
      <c r="X1375" s="109" t="str">
        <f t="shared" si="11"/>
        <v/>
      </c>
      <c r="Y1375" s="110" t="str">
        <f t="array" ref="Y1375">_xlfn.XLOOKUP(A1375,'Video Database'!L:L,'Video Database'!M:M,"")</f>
        <v>Bottom of Funnel</v>
      </c>
    </row>
    <row r="1376" ht="22.5" customHeight="1">
      <c r="A1376" s="113">
        <f t="shared" si="12"/>
        <v>1375</v>
      </c>
      <c r="B1376" s="98" t="str">
        <f t="array" ref="B1376">_xlfn.XLOOKUP(A1376,'Video Database'!L:L,'Video Database'!D:D,"")</f>
        <v>Brittney</v>
      </c>
      <c r="C1376" s="98" t="str">
        <f t="array" ref="C1376">_xlfn.XLOOKUP(A1376,'Video Database'!L:L,'Video Database'!E:E,"")</f>
        <v>Account 3</v>
      </c>
      <c r="D1376" s="98" t="str">
        <f t="array" ref="D1376">_xlfn.XLOOKUP(A1376,'Video Database'!L:L,'Video Database'!G:G,"")</f>
        <v>Gruns Greens Popsicle Firecracker Gummies</v>
      </c>
      <c r="E1376" s="100">
        <f t="array" ref="E1376">_xlfn.XLOOKUP(A1376,'Video Database'!L:L,'Video Database'!H:H,"")</f>
        <v>0.11</v>
      </c>
      <c r="F1376" s="101">
        <v>69.96</v>
      </c>
      <c r="G1376" s="87">
        <v>1.0</v>
      </c>
      <c r="H1376" s="114">
        <f t="array" ref="H1376">_xlfn.XLOOKUP(A1376,'Video Database'!L:L,'Video Database'!A:A,"")</f>
        <v>46208</v>
      </c>
      <c r="I1376" s="103">
        <v>46209.0</v>
      </c>
      <c r="J1376" s="104">
        <v>3.48</v>
      </c>
      <c r="K1376" s="87">
        <v>8.0</v>
      </c>
      <c r="L1376" s="105">
        <f t="shared" si="13"/>
        <v>406</v>
      </c>
      <c r="M1376" s="87">
        <v>406.0</v>
      </c>
      <c r="O1376" s="106">
        <f t="shared" si="2"/>
        <v>0.0197044335</v>
      </c>
      <c r="P1376" s="106">
        <f t="shared" si="3"/>
        <v>0.125</v>
      </c>
      <c r="Q1376" s="84">
        <f t="shared" si="4"/>
        <v>3.48</v>
      </c>
      <c r="R1376" s="84">
        <f t="shared" si="5"/>
        <v>69.96</v>
      </c>
      <c r="S1376" s="107">
        <f t="shared" si="6"/>
        <v>3.37</v>
      </c>
      <c r="T1376" s="108">
        <f t="shared" si="7"/>
        <v>30.63636364</v>
      </c>
      <c r="U1376" s="106">
        <f t="shared" si="8"/>
        <v>0.9683908046</v>
      </c>
      <c r="V1376" s="129">
        <f t="shared" si="9"/>
        <v>0.11</v>
      </c>
      <c r="W1376" s="109">
        <f t="shared" si="10"/>
        <v>0.01375</v>
      </c>
      <c r="X1376" s="109">
        <f t="shared" si="11"/>
        <v>0.1572327044</v>
      </c>
      <c r="Y1376" s="110" t="str">
        <f t="array" ref="Y1376">_xlfn.XLOOKUP(A1376,'Video Database'!L:L,'Video Database'!M:M,"")</f>
        <v>Bottom of Funnel</v>
      </c>
    </row>
    <row r="1377" ht="22.5" customHeight="1">
      <c r="A1377" s="113">
        <f t="shared" si="12"/>
        <v>1376</v>
      </c>
      <c r="B1377" s="98" t="str">
        <f t="array" ref="B1377">_xlfn.XLOOKUP(A1377,'Video Database'!L:L,'Video Database'!D:D,"")</f>
        <v>Erin</v>
      </c>
      <c r="C1377" s="98" t="str">
        <f t="array" ref="C1377">_xlfn.XLOOKUP(A1377,'Video Database'!L:L,'Video Database'!E:E,"")</f>
        <v>Account 3</v>
      </c>
      <c r="D1377" s="98" t="str">
        <f t="array" ref="D1377">_xlfn.XLOOKUP(A1377,'Video Database'!L:L,'Video Database'!G:G,"")</f>
        <v>Carovo Hoop Earrings Set</v>
      </c>
      <c r="E1377" s="100">
        <f t="array" ref="E1377">_xlfn.XLOOKUP(A1377,'Video Database'!L:L,'Video Database'!H:H,"")</f>
        <v>0.7337</v>
      </c>
      <c r="F1377" s="101"/>
      <c r="G1377" s="87"/>
      <c r="H1377" s="114">
        <f t="array" ref="H1377">_xlfn.XLOOKUP(A1377,'Video Database'!L:L,'Video Database'!A:A,"")</f>
        <v>46208</v>
      </c>
      <c r="I1377" s="103"/>
      <c r="J1377" s="104"/>
      <c r="K1377" s="105"/>
      <c r="L1377" s="105" t="str">
        <f t="shared" si="13"/>
        <v/>
      </c>
      <c r="O1377" s="106" t="str">
        <f t="shared" si="2"/>
        <v>#N/A</v>
      </c>
      <c r="P1377" s="106" t="str">
        <f t="shared" si="3"/>
        <v>#N/A</v>
      </c>
      <c r="Q1377" s="84" t="str">
        <f t="shared" si="4"/>
        <v>#N/A</v>
      </c>
      <c r="R1377" s="84" t="str">
        <f t="shared" si="5"/>
        <v>#N/A</v>
      </c>
      <c r="S1377" s="107">
        <f t="shared" si="6"/>
        <v>-0.7337</v>
      </c>
      <c r="T1377" s="108">
        <f t="shared" si="7"/>
        <v>-1</v>
      </c>
      <c r="U1377" s="106" t="str">
        <f t="shared" si="8"/>
        <v>#N/A</v>
      </c>
      <c r="V1377" s="84" t="str">
        <f t="shared" si="9"/>
        <v/>
      </c>
      <c r="W1377" s="109" t="str">
        <f t="shared" si="10"/>
        <v/>
      </c>
      <c r="X1377" s="109" t="str">
        <f t="shared" si="11"/>
        <v/>
      </c>
      <c r="Y1377" s="110" t="str">
        <f t="array" ref="Y1377">_xlfn.XLOOKUP(A1377,'Video Database'!L:L,'Video Database'!M:M,"")</f>
        <v>Bottom of Funnel</v>
      </c>
    </row>
    <row r="1378" ht="22.5" customHeight="1">
      <c r="A1378" s="113">
        <f t="shared" si="12"/>
        <v>1377</v>
      </c>
      <c r="B1378" s="98" t="str">
        <f t="array" ref="B1378">_xlfn.XLOOKUP(A1378,'Video Database'!L:L,'Video Database'!D:D,"")</f>
        <v>Sierra</v>
      </c>
      <c r="C1378" s="98" t="str">
        <f t="array" ref="C1378">_xlfn.XLOOKUP(A1378,'Video Database'!L:L,'Video Database'!E:E,"")</f>
        <v>Account 3</v>
      </c>
      <c r="D1378" s="98" t="str">
        <f t="array" ref="D1378">_xlfn.XLOOKUP(A1378,'Video Database'!L:L,'Video Database'!G:G,"")</f>
        <v>Taste Salud Skin + Beauty Drink Mix</v>
      </c>
      <c r="E1378" s="100">
        <f t="array" ref="E1378">_xlfn.XLOOKUP(A1378,'Video Database'!L:L,'Video Database'!H:H,"")</f>
        <v>1.1</v>
      </c>
      <c r="F1378" s="101"/>
      <c r="G1378" s="87"/>
      <c r="H1378" s="114">
        <f t="array" ref="H1378">_xlfn.XLOOKUP(A1378,'Video Database'!L:L,'Video Database'!A:A,"")</f>
        <v>46208</v>
      </c>
      <c r="I1378" s="103"/>
      <c r="J1378" s="104"/>
      <c r="K1378" s="105"/>
      <c r="L1378" s="105" t="str">
        <f t="shared" si="13"/>
        <v/>
      </c>
      <c r="O1378" s="106" t="str">
        <f t="shared" si="2"/>
        <v>#N/A</v>
      </c>
      <c r="P1378" s="106" t="str">
        <f t="shared" si="3"/>
        <v>#N/A</v>
      </c>
      <c r="Q1378" s="84" t="str">
        <f t="shared" si="4"/>
        <v>#N/A</v>
      </c>
      <c r="R1378" s="84" t="str">
        <f t="shared" si="5"/>
        <v>#N/A</v>
      </c>
      <c r="S1378" s="107">
        <f t="shared" si="6"/>
        <v>-1.1</v>
      </c>
      <c r="T1378" s="108">
        <f t="shared" si="7"/>
        <v>-1</v>
      </c>
      <c r="U1378" s="106" t="str">
        <f t="shared" si="8"/>
        <v>#N/A</v>
      </c>
      <c r="V1378" s="84" t="str">
        <f t="shared" si="9"/>
        <v/>
      </c>
      <c r="W1378" s="109" t="str">
        <f t="shared" si="10"/>
        <v/>
      </c>
      <c r="X1378" s="109" t="str">
        <f t="shared" si="11"/>
        <v/>
      </c>
      <c r="Y1378" s="110" t="str">
        <f t="array" ref="Y1378">_xlfn.XLOOKUP(A1378,'Video Database'!L:L,'Video Database'!M:M,"")</f>
        <v>Middle of Funnel</v>
      </c>
    </row>
    <row r="1379" ht="22.5" customHeight="1">
      <c r="A1379" s="113">
        <f t="shared" si="12"/>
        <v>1378</v>
      </c>
      <c r="B1379" s="98" t="str">
        <f t="array" ref="B1379">_xlfn.XLOOKUP(A1379,'Video Database'!L:L,'Video Database'!D:D,"")</f>
        <v>Erin</v>
      </c>
      <c r="C1379" s="98" t="str">
        <f t="array" ref="C1379">_xlfn.XLOOKUP(A1379,'Video Database'!L:L,'Video Database'!E:E,"")</f>
        <v>Account 3</v>
      </c>
      <c r="D1379" s="98" t="str">
        <f t="array" ref="D1379">_xlfn.XLOOKUP(A1379,'Video Database'!L:L,'Video Database'!G:G,"")</f>
        <v>XL Microfiber Towel</v>
      </c>
      <c r="E1379" s="100">
        <f t="array" ref="E1379">_xlfn.XLOOKUP(A1379,'Video Database'!L:L,'Video Database'!H:H,"")</f>
        <v>0.7337</v>
      </c>
      <c r="F1379" s="101"/>
      <c r="G1379" s="87"/>
      <c r="H1379" s="114">
        <f t="array" ref="H1379">_xlfn.XLOOKUP(A1379,'Video Database'!L:L,'Video Database'!A:A,"")</f>
        <v>46208</v>
      </c>
      <c r="I1379" s="103"/>
      <c r="J1379" s="104"/>
      <c r="K1379" s="105"/>
      <c r="L1379" s="105" t="str">
        <f t="shared" si="13"/>
        <v/>
      </c>
      <c r="O1379" s="106" t="str">
        <f t="shared" si="2"/>
        <v>#N/A</v>
      </c>
      <c r="P1379" s="106" t="str">
        <f t="shared" si="3"/>
        <v>#N/A</v>
      </c>
      <c r="Q1379" s="84" t="str">
        <f t="shared" si="4"/>
        <v>#N/A</v>
      </c>
      <c r="R1379" s="84" t="str">
        <f t="shared" si="5"/>
        <v>#N/A</v>
      </c>
      <c r="S1379" s="107">
        <f t="shared" si="6"/>
        <v>-0.7337</v>
      </c>
      <c r="T1379" s="108">
        <f t="shared" si="7"/>
        <v>-1</v>
      </c>
      <c r="U1379" s="106" t="str">
        <f t="shared" si="8"/>
        <v>#N/A</v>
      </c>
      <c r="V1379" s="84" t="str">
        <f t="shared" si="9"/>
        <v/>
      </c>
      <c r="W1379" s="109" t="str">
        <f t="shared" si="10"/>
        <v/>
      </c>
      <c r="X1379" s="109" t="str">
        <f t="shared" si="11"/>
        <v/>
      </c>
      <c r="Y1379" s="110" t="str">
        <f t="array" ref="Y1379">_xlfn.XLOOKUP(A1379,'Video Database'!L:L,'Video Database'!M:M,"")</f>
        <v>Bottom of Funnel</v>
      </c>
    </row>
    <row r="1380" ht="22.5" customHeight="1">
      <c r="A1380" s="113">
        <f t="shared" si="12"/>
        <v>1379</v>
      </c>
      <c r="B1380" s="98" t="str">
        <f t="array" ref="B1380">_xlfn.XLOOKUP(A1380,'Video Database'!L:L,'Video Database'!D:D,"")</f>
        <v>Brittney</v>
      </c>
      <c r="C1380" s="98" t="str">
        <f t="array" ref="C1380">_xlfn.XLOOKUP(A1380,'Video Database'!L:L,'Video Database'!E:E,"")</f>
        <v>Account 3</v>
      </c>
      <c r="D1380" s="98" t="str">
        <f t="array" ref="D1380">_xlfn.XLOOKUP(A1380,'Video Database'!L:L,'Video Database'!G:G,"")</f>
        <v>Gruns Greens Popsicle Firecracker Gummies</v>
      </c>
      <c r="E1380" s="100">
        <f t="array" ref="E1380">_xlfn.XLOOKUP(A1380,'Video Database'!L:L,'Video Database'!H:H,"")</f>
        <v>0.11</v>
      </c>
      <c r="F1380" s="101"/>
      <c r="G1380" s="87"/>
      <c r="H1380" s="114">
        <f t="array" ref="H1380">_xlfn.XLOOKUP(A1380,'Video Database'!L:L,'Video Database'!A:A,"")</f>
        <v>46208</v>
      </c>
      <c r="I1380" s="103"/>
      <c r="J1380" s="104"/>
      <c r="K1380" s="105"/>
      <c r="L1380" s="105" t="str">
        <f t="shared" si="13"/>
        <v/>
      </c>
      <c r="O1380" s="106" t="str">
        <f t="shared" si="2"/>
        <v>#N/A</v>
      </c>
      <c r="P1380" s="106" t="str">
        <f t="shared" si="3"/>
        <v>#N/A</v>
      </c>
      <c r="Q1380" s="84" t="str">
        <f t="shared" si="4"/>
        <v>#N/A</v>
      </c>
      <c r="R1380" s="84" t="str">
        <f t="shared" si="5"/>
        <v>#N/A</v>
      </c>
      <c r="S1380" s="107">
        <f t="shared" si="6"/>
        <v>-0.11</v>
      </c>
      <c r="T1380" s="108">
        <f t="shared" si="7"/>
        <v>-1</v>
      </c>
      <c r="U1380" s="106" t="str">
        <f t="shared" si="8"/>
        <v>#N/A</v>
      </c>
      <c r="V1380" s="84" t="str">
        <f t="shared" si="9"/>
        <v/>
      </c>
      <c r="W1380" s="109" t="str">
        <f t="shared" si="10"/>
        <v/>
      </c>
      <c r="X1380" s="109" t="str">
        <f t="shared" si="11"/>
        <v/>
      </c>
      <c r="Y1380" s="110" t="str">
        <f t="array" ref="Y1380">_xlfn.XLOOKUP(A1380,'Video Database'!L:L,'Video Database'!M:M,"")</f>
        <v>Bottom of Funnel</v>
      </c>
    </row>
    <row r="1381" ht="22.5" customHeight="1">
      <c r="A1381" s="113">
        <f t="shared" si="12"/>
        <v>1380</v>
      </c>
      <c r="B1381" s="98" t="str">
        <f t="array" ref="B1381">_xlfn.XLOOKUP(A1381,'Video Database'!L:L,'Video Database'!D:D,"")</f>
        <v>Erin</v>
      </c>
      <c r="C1381" s="98" t="str">
        <f t="array" ref="C1381">_xlfn.XLOOKUP(A1381,'Video Database'!L:L,'Video Database'!E:E,"")</f>
        <v>Account 3</v>
      </c>
      <c r="D1381" s="99" t="str">
        <f t="array" ref="D1381">_xlfn.XLOOKUP(A1381,'Video Database'!L:L,'Video Database'!G:G,"")</f>
        <v>Faux Pearl Decorated Link Bracelet</v>
      </c>
      <c r="E1381" s="100">
        <f t="array" ref="E1381">_xlfn.XLOOKUP(A1381,'Video Database'!L:L,'Video Database'!H:H,"")</f>
        <v>0.7337</v>
      </c>
      <c r="F1381" s="101"/>
      <c r="G1381" s="87"/>
      <c r="H1381" s="114">
        <f t="array" ref="H1381">_xlfn.XLOOKUP(A1381,'Video Database'!L:L,'Video Database'!A:A,"")</f>
        <v>46208</v>
      </c>
      <c r="I1381" s="103"/>
      <c r="J1381" s="104"/>
      <c r="K1381" s="105"/>
      <c r="L1381" s="105" t="str">
        <f t="shared" si="13"/>
        <v/>
      </c>
      <c r="O1381" s="106" t="str">
        <f t="shared" si="2"/>
        <v>#N/A</v>
      </c>
      <c r="P1381" s="106" t="str">
        <f t="shared" si="3"/>
        <v>#N/A</v>
      </c>
      <c r="Q1381" s="84" t="str">
        <f t="shared" si="4"/>
        <v>#N/A</v>
      </c>
      <c r="R1381" s="84" t="str">
        <f t="shared" si="5"/>
        <v>#N/A</v>
      </c>
      <c r="S1381" s="107">
        <f t="shared" si="6"/>
        <v>-0.7337</v>
      </c>
      <c r="T1381" s="108">
        <f t="shared" si="7"/>
        <v>-1</v>
      </c>
      <c r="U1381" s="106" t="str">
        <f t="shared" si="8"/>
        <v>#N/A</v>
      </c>
      <c r="V1381" s="84" t="str">
        <f t="shared" si="9"/>
        <v/>
      </c>
      <c r="W1381" s="109" t="str">
        <f t="shared" si="10"/>
        <v/>
      </c>
      <c r="X1381" s="109" t="str">
        <f t="shared" si="11"/>
        <v/>
      </c>
      <c r="Y1381" s="110" t="str">
        <f t="array" ref="Y1381">_xlfn.XLOOKUP(A1381,'Video Database'!L:L,'Video Database'!M:M,"")</f>
        <v>Bottom of Funnel</v>
      </c>
    </row>
    <row r="1382" ht="22.5" customHeight="1">
      <c r="A1382" s="113">
        <f t="shared" si="12"/>
        <v>1381</v>
      </c>
      <c r="B1382" s="98" t="str">
        <f t="array" ref="B1382">_xlfn.XLOOKUP(A1382,'Video Database'!L:L,'Video Database'!D:D,"")</f>
        <v>Erin</v>
      </c>
      <c r="C1382" s="98" t="str">
        <f t="array" ref="C1382">_xlfn.XLOOKUP(A1382,'Video Database'!L:L,'Video Database'!E:E,"")</f>
        <v>Account 3</v>
      </c>
      <c r="D1382" s="99" t="str">
        <f t="array" ref="D1382">_xlfn.XLOOKUP(A1382,'Video Database'!L:L,'Video Database'!G:G,"")</f>
        <v>Medicube Kojic Accid Tumeric Pads</v>
      </c>
      <c r="E1382" s="100">
        <f t="array" ref="E1382">_xlfn.XLOOKUP(A1382,'Video Database'!L:L,'Video Database'!H:H,"")</f>
        <v>0.7337</v>
      </c>
      <c r="F1382" s="101"/>
      <c r="G1382" s="87"/>
      <c r="H1382" s="114">
        <f t="array" ref="H1382">_xlfn.XLOOKUP(A1382,'Video Database'!L:L,'Video Database'!A:A,"")</f>
        <v>46208</v>
      </c>
      <c r="I1382" s="103"/>
      <c r="J1382" s="104"/>
      <c r="K1382" s="105"/>
      <c r="L1382" s="105" t="str">
        <f t="shared" si="13"/>
        <v/>
      </c>
      <c r="O1382" s="106" t="str">
        <f t="shared" si="2"/>
        <v>#N/A</v>
      </c>
      <c r="P1382" s="106" t="str">
        <f t="shared" si="3"/>
        <v>#N/A</v>
      </c>
      <c r="Q1382" s="84" t="str">
        <f t="shared" si="4"/>
        <v>#N/A</v>
      </c>
      <c r="R1382" s="84" t="str">
        <f t="shared" si="5"/>
        <v>#N/A</v>
      </c>
      <c r="S1382" s="107">
        <f t="shared" si="6"/>
        <v>-0.7337</v>
      </c>
      <c r="T1382" s="108">
        <f t="shared" si="7"/>
        <v>-1</v>
      </c>
      <c r="U1382" s="106" t="str">
        <f t="shared" si="8"/>
        <v>#N/A</v>
      </c>
      <c r="V1382" s="84" t="str">
        <f t="shared" si="9"/>
        <v/>
      </c>
      <c r="W1382" s="109" t="str">
        <f t="shared" si="10"/>
        <v/>
      </c>
      <c r="X1382" s="109" t="str">
        <f t="shared" si="11"/>
        <v/>
      </c>
      <c r="Y1382" s="110" t="str">
        <f t="array" ref="Y1382">_xlfn.XLOOKUP(A1382,'Video Database'!L:L,'Video Database'!M:M,"")</f>
        <v>Bottom of Funnel</v>
      </c>
    </row>
    <row r="1383" ht="22.5" customHeight="1">
      <c r="A1383" s="113">
        <f t="shared" si="12"/>
        <v>1382</v>
      </c>
      <c r="B1383" s="98" t="str">
        <f t="array" ref="B1383">_xlfn.XLOOKUP(A1383,'Video Database'!L:L,'Video Database'!D:D,"")</f>
        <v>Brittney</v>
      </c>
      <c r="C1383" s="98" t="str">
        <f t="array" ref="C1383">_xlfn.XLOOKUP(A1383,'Video Database'!L:L,'Video Database'!E:E,"")</f>
        <v>Account 3</v>
      </c>
      <c r="D1383" s="99" t="str">
        <f t="array" ref="D1383">_xlfn.XLOOKUP(A1383,'Video Database'!L:L,'Video Database'!G:G,"")</f>
        <v>Gruns Greens Popsicle Firecracker Gummies</v>
      </c>
      <c r="E1383" s="100">
        <f t="array" ref="E1383">_xlfn.XLOOKUP(A1383,'Video Database'!L:L,'Video Database'!H:H,"")</f>
        <v>0.11</v>
      </c>
      <c r="F1383" s="101"/>
      <c r="G1383" s="87"/>
      <c r="H1383" s="114">
        <f t="array" ref="H1383">_xlfn.XLOOKUP(A1383,'Video Database'!L:L,'Video Database'!A:A,"")</f>
        <v>46208</v>
      </c>
      <c r="I1383" s="103"/>
      <c r="J1383" s="104"/>
      <c r="K1383" s="105"/>
      <c r="L1383" s="105" t="str">
        <f t="shared" si="13"/>
        <v/>
      </c>
      <c r="O1383" s="106" t="str">
        <f t="shared" si="2"/>
        <v>#N/A</v>
      </c>
      <c r="P1383" s="106" t="str">
        <f t="shared" si="3"/>
        <v>#N/A</v>
      </c>
      <c r="Q1383" s="84" t="str">
        <f t="shared" si="4"/>
        <v>#N/A</v>
      </c>
      <c r="R1383" s="84" t="str">
        <f t="shared" si="5"/>
        <v>#N/A</v>
      </c>
      <c r="S1383" s="107">
        <f t="shared" si="6"/>
        <v>-0.11</v>
      </c>
      <c r="T1383" s="108">
        <f t="shared" si="7"/>
        <v>-1</v>
      </c>
      <c r="U1383" s="106" t="str">
        <f t="shared" si="8"/>
        <v>#N/A</v>
      </c>
      <c r="V1383" s="84" t="str">
        <f t="shared" si="9"/>
        <v/>
      </c>
      <c r="W1383" s="109" t="str">
        <f t="shared" si="10"/>
        <v/>
      </c>
      <c r="X1383" s="109" t="str">
        <f t="shared" si="11"/>
        <v/>
      </c>
      <c r="Y1383" s="110" t="str">
        <f t="array" ref="Y1383">_xlfn.XLOOKUP(A1383,'Video Database'!L:L,'Video Database'!M:M,"")</f>
        <v>Bottom of Funnel</v>
      </c>
    </row>
    <row r="1384" ht="22.5" customHeight="1">
      <c r="A1384" s="113">
        <f t="shared" si="12"/>
        <v>1383</v>
      </c>
      <c r="B1384" s="98" t="str">
        <f t="array" ref="B1384">_xlfn.XLOOKUP(A1384,'Video Database'!L:L,'Video Database'!D:D,"")</f>
        <v>Erin</v>
      </c>
      <c r="C1384" s="98" t="str">
        <f t="array" ref="C1384">_xlfn.XLOOKUP(A1384,'Video Database'!L:L,'Video Database'!E:E,"")</f>
        <v>Account 4</v>
      </c>
      <c r="D1384" s="99" t="str">
        <f t="array" ref="D1384">_xlfn.XLOOKUP(A1384,'Video Database'!L:L,'Video Database'!G:G,"")</f>
        <v>Kaja Beauty 3-in-1 Eyeshadow Stack</v>
      </c>
      <c r="E1384" s="100">
        <f t="array" ref="E1384">_xlfn.XLOOKUP(A1384,'Video Database'!L:L,'Video Database'!H:H,"")</f>
        <v>0.7337</v>
      </c>
      <c r="F1384" s="101"/>
      <c r="G1384" s="87"/>
      <c r="H1384" s="114">
        <f t="array" ref="H1384">_xlfn.XLOOKUP(A1384,'Video Database'!L:L,'Video Database'!A:A,"")</f>
        <v>46208</v>
      </c>
      <c r="I1384" s="103"/>
      <c r="J1384" s="104"/>
      <c r="K1384" s="105"/>
      <c r="L1384" s="105" t="str">
        <f t="shared" si="13"/>
        <v/>
      </c>
      <c r="O1384" s="106" t="str">
        <f t="shared" si="2"/>
        <v>#N/A</v>
      </c>
      <c r="P1384" s="106" t="str">
        <f t="shared" si="3"/>
        <v>#N/A</v>
      </c>
      <c r="Q1384" s="84" t="str">
        <f t="shared" si="4"/>
        <v>#N/A</v>
      </c>
      <c r="R1384" s="84" t="str">
        <f t="shared" si="5"/>
        <v>#N/A</v>
      </c>
      <c r="S1384" s="107">
        <f t="shared" si="6"/>
        <v>-0.7337</v>
      </c>
      <c r="T1384" s="108">
        <f t="shared" si="7"/>
        <v>-1</v>
      </c>
      <c r="U1384" s="106" t="str">
        <f t="shared" si="8"/>
        <v>#N/A</v>
      </c>
      <c r="V1384" s="84" t="str">
        <f t="shared" si="9"/>
        <v/>
      </c>
      <c r="W1384" s="109" t="str">
        <f t="shared" si="10"/>
        <v/>
      </c>
      <c r="X1384" s="109" t="str">
        <f t="shared" si="11"/>
        <v/>
      </c>
      <c r="Y1384" s="110" t="str">
        <f t="array" ref="Y1384">_xlfn.XLOOKUP(A1384,'Video Database'!L:L,'Video Database'!M:M,"")</f>
        <v>Bottom of Funnel</v>
      </c>
    </row>
    <row r="1385" ht="22.5" customHeight="1">
      <c r="A1385" s="113">
        <f t="shared" si="12"/>
        <v>1384</v>
      </c>
      <c r="B1385" s="98" t="str">
        <f t="array" ref="B1385">_xlfn.XLOOKUP(A1385,'Video Database'!L:L,'Video Database'!D:D,"")</f>
        <v>Brittney</v>
      </c>
      <c r="C1385" s="98" t="str">
        <f t="array" ref="C1385">_xlfn.XLOOKUP(A1385,'Video Database'!L:L,'Video Database'!E:E,"")</f>
        <v>Account 4</v>
      </c>
      <c r="D1385" s="99" t="str">
        <f t="array" ref="D1385">_xlfn.XLOOKUP(A1385,'Video Database'!L:L,'Video Database'!G:G,"")</f>
        <v>Gruns Greens Popsicle Firecracker Gummies</v>
      </c>
      <c r="E1385" s="100">
        <f t="array" ref="E1385">_xlfn.XLOOKUP(A1385,'Video Database'!L:L,'Video Database'!H:H,"")</f>
        <v>0.11</v>
      </c>
      <c r="F1385" s="101"/>
      <c r="G1385" s="87"/>
      <c r="H1385" s="114">
        <f t="array" ref="H1385">_xlfn.XLOOKUP(A1385,'Video Database'!L:L,'Video Database'!A:A,"")</f>
        <v>46208</v>
      </c>
      <c r="I1385" s="103"/>
      <c r="J1385" s="104"/>
      <c r="K1385" s="105"/>
      <c r="L1385" s="105" t="str">
        <f t="shared" si="13"/>
        <v/>
      </c>
      <c r="O1385" s="106" t="str">
        <f t="shared" si="2"/>
        <v>#N/A</v>
      </c>
      <c r="P1385" s="106" t="str">
        <f t="shared" si="3"/>
        <v>#N/A</v>
      </c>
      <c r="Q1385" s="84" t="str">
        <f t="shared" si="4"/>
        <v>#N/A</v>
      </c>
      <c r="R1385" s="84" t="str">
        <f t="shared" si="5"/>
        <v>#N/A</v>
      </c>
      <c r="S1385" s="107">
        <f t="shared" si="6"/>
        <v>-0.11</v>
      </c>
      <c r="T1385" s="108">
        <f t="shared" si="7"/>
        <v>-1</v>
      </c>
      <c r="U1385" s="106" t="str">
        <f t="shared" si="8"/>
        <v>#N/A</v>
      </c>
      <c r="V1385" s="84" t="str">
        <f t="shared" si="9"/>
        <v/>
      </c>
      <c r="W1385" s="109" t="str">
        <f t="shared" si="10"/>
        <v/>
      </c>
      <c r="X1385" s="109" t="str">
        <f t="shared" si="11"/>
        <v/>
      </c>
      <c r="Y1385" s="110" t="str">
        <f t="array" ref="Y1385">_xlfn.XLOOKUP(A1385,'Video Database'!L:L,'Video Database'!M:M,"")</f>
        <v>Bottom of Funnel</v>
      </c>
    </row>
    <row r="1386" ht="22.5" customHeight="1">
      <c r="A1386" s="113">
        <f t="shared" si="12"/>
        <v>1385</v>
      </c>
      <c r="B1386" s="98" t="str">
        <f t="array" ref="B1386">_xlfn.XLOOKUP(A1386,'Video Database'!L:L,'Video Database'!D:D,"")</f>
        <v>Brittney</v>
      </c>
      <c r="C1386" s="98" t="str">
        <f t="array" ref="C1386">_xlfn.XLOOKUP(A1386,'Video Database'!L:L,'Video Database'!E:E,"")</f>
        <v>Account 4</v>
      </c>
      <c r="D1386" s="99" t="str">
        <f t="array" ref="D1386">_xlfn.XLOOKUP(A1386,'Video Database'!L:L,'Video Database'!G:G,"")</f>
        <v>Gruns Greens Popsicle Firecracker Gummies</v>
      </c>
      <c r="E1386" s="100">
        <f t="array" ref="E1386">_xlfn.XLOOKUP(A1386,'Video Database'!L:L,'Video Database'!H:H,"")</f>
        <v>0.11</v>
      </c>
      <c r="F1386" s="101"/>
      <c r="G1386" s="87"/>
      <c r="H1386" s="114">
        <f t="array" ref="H1386">_xlfn.XLOOKUP(A1386,'Video Database'!L:L,'Video Database'!A:A,"")</f>
        <v>46208</v>
      </c>
      <c r="I1386" s="103"/>
      <c r="J1386" s="104"/>
      <c r="K1386" s="105"/>
      <c r="L1386" s="105" t="str">
        <f t="shared" si="13"/>
        <v/>
      </c>
      <c r="O1386" s="106" t="str">
        <f t="shared" si="2"/>
        <v>#N/A</v>
      </c>
      <c r="P1386" s="106" t="str">
        <f t="shared" si="3"/>
        <v>#N/A</v>
      </c>
      <c r="Q1386" s="84" t="str">
        <f t="shared" si="4"/>
        <v>#N/A</v>
      </c>
      <c r="R1386" s="84" t="str">
        <f t="shared" si="5"/>
        <v>#N/A</v>
      </c>
      <c r="S1386" s="107">
        <f t="shared" si="6"/>
        <v>-0.11</v>
      </c>
      <c r="T1386" s="108">
        <f t="shared" si="7"/>
        <v>-1</v>
      </c>
      <c r="U1386" s="106" t="str">
        <f t="shared" si="8"/>
        <v>#N/A</v>
      </c>
      <c r="V1386" s="84" t="str">
        <f t="shared" si="9"/>
        <v/>
      </c>
      <c r="W1386" s="109" t="str">
        <f t="shared" si="10"/>
        <v/>
      </c>
      <c r="X1386" s="109" t="str">
        <f t="shared" si="11"/>
        <v/>
      </c>
      <c r="Y1386" s="110" t="str">
        <f t="array" ref="Y1386">_xlfn.XLOOKUP(A1386,'Video Database'!L:L,'Video Database'!M:M,"")</f>
        <v>Bottom of Funnel</v>
      </c>
    </row>
    <row r="1387" ht="22.5" customHeight="1">
      <c r="A1387" s="113">
        <f t="shared" si="12"/>
        <v>1386</v>
      </c>
      <c r="B1387" s="98" t="str">
        <f t="array" ref="B1387">_xlfn.XLOOKUP(A1387,'Video Database'!L:L,'Video Database'!D:D,"")</f>
        <v>Erin</v>
      </c>
      <c r="C1387" s="98" t="str">
        <f t="array" ref="C1387">_xlfn.XLOOKUP(A1387,'Video Database'!L:L,'Video Database'!E:E,"")</f>
        <v>Account 4</v>
      </c>
      <c r="D1387" s="99" t="str">
        <f t="array" ref="D1387">_xlfn.XLOOKUP(A1387,'Video Database'!L:L,'Video Database'!G:G,"")</f>
        <v>Carovo Hoop Earrings Set</v>
      </c>
      <c r="E1387" s="100">
        <f t="array" ref="E1387">_xlfn.XLOOKUP(A1387,'Video Database'!L:L,'Video Database'!H:H,"")</f>
        <v>0.7337</v>
      </c>
      <c r="F1387" s="101"/>
      <c r="G1387" s="87"/>
      <c r="H1387" s="114">
        <f t="array" ref="H1387">_xlfn.XLOOKUP(A1387,'Video Database'!L:L,'Video Database'!A:A,"")</f>
        <v>46208</v>
      </c>
      <c r="I1387" s="103"/>
      <c r="J1387" s="104"/>
      <c r="K1387" s="105"/>
      <c r="L1387" s="105" t="str">
        <f t="shared" si="13"/>
        <v/>
      </c>
      <c r="O1387" s="106" t="str">
        <f t="shared" si="2"/>
        <v>#N/A</v>
      </c>
      <c r="P1387" s="106" t="str">
        <f t="shared" si="3"/>
        <v>#N/A</v>
      </c>
      <c r="Q1387" s="84" t="str">
        <f t="shared" si="4"/>
        <v>#N/A</v>
      </c>
      <c r="R1387" s="84" t="str">
        <f t="shared" si="5"/>
        <v>#N/A</v>
      </c>
      <c r="S1387" s="107">
        <f t="shared" si="6"/>
        <v>-0.7337</v>
      </c>
      <c r="T1387" s="108">
        <f t="shared" si="7"/>
        <v>-1</v>
      </c>
      <c r="U1387" s="106" t="str">
        <f t="shared" si="8"/>
        <v>#N/A</v>
      </c>
      <c r="V1387" s="84" t="str">
        <f t="shared" si="9"/>
        <v/>
      </c>
      <c r="W1387" s="109" t="str">
        <f t="shared" si="10"/>
        <v/>
      </c>
      <c r="X1387" s="109" t="str">
        <f t="shared" si="11"/>
        <v/>
      </c>
      <c r="Y1387" s="110" t="str">
        <f t="array" ref="Y1387">_xlfn.XLOOKUP(A1387,'Video Database'!L:L,'Video Database'!M:M,"")</f>
        <v>Bottom of Funnel</v>
      </c>
    </row>
    <row r="1388" ht="22.5" customHeight="1">
      <c r="A1388" s="113">
        <f t="shared" si="12"/>
        <v>1387</v>
      </c>
      <c r="B1388" s="98" t="str">
        <f t="array" ref="B1388">_xlfn.XLOOKUP(A1388,'Video Database'!L:L,'Video Database'!D:D,"")</f>
        <v>Sierra</v>
      </c>
      <c r="C1388" s="98" t="str">
        <f t="array" ref="C1388">_xlfn.XLOOKUP(A1388,'Video Database'!L:L,'Video Database'!E:E,"")</f>
        <v>Account 4</v>
      </c>
      <c r="D1388" s="99" t="str">
        <f t="array" ref="D1388">_xlfn.XLOOKUP(A1388,'Video Database'!L:L,'Video Database'!G:G,"")</f>
        <v>Taste Salud Skin + Beauty Drink Mix</v>
      </c>
      <c r="E1388" s="100">
        <f t="array" ref="E1388">_xlfn.XLOOKUP(A1388,'Video Database'!L:L,'Video Database'!H:H,"")</f>
        <v>1.1</v>
      </c>
      <c r="F1388" s="101"/>
      <c r="G1388" s="87"/>
      <c r="H1388" s="114">
        <f t="array" ref="H1388">_xlfn.XLOOKUP(A1388,'Video Database'!L:L,'Video Database'!A:A,"")</f>
        <v>46208</v>
      </c>
      <c r="I1388" s="103"/>
      <c r="J1388" s="104"/>
      <c r="K1388" s="105"/>
      <c r="L1388" s="105" t="str">
        <f t="shared" si="13"/>
        <v/>
      </c>
      <c r="O1388" s="106" t="str">
        <f t="shared" si="2"/>
        <v>#N/A</v>
      </c>
      <c r="P1388" s="106" t="str">
        <f t="shared" si="3"/>
        <v>#N/A</v>
      </c>
      <c r="Q1388" s="84" t="str">
        <f t="shared" si="4"/>
        <v>#N/A</v>
      </c>
      <c r="R1388" s="84" t="str">
        <f t="shared" si="5"/>
        <v>#N/A</v>
      </c>
      <c r="S1388" s="107">
        <f t="shared" si="6"/>
        <v>-1.1</v>
      </c>
      <c r="T1388" s="108">
        <f t="shared" si="7"/>
        <v>-1</v>
      </c>
      <c r="U1388" s="106" t="str">
        <f t="shared" si="8"/>
        <v>#N/A</v>
      </c>
      <c r="V1388" s="84" t="str">
        <f t="shared" si="9"/>
        <v/>
      </c>
      <c r="W1388" s="109" t="str">
        <f t="shared" si="10"/>
        <v/>
      </c>
      <c r="X1388" s="109" t="str">
        <f t="shared" si="11"/>
        <v/>
      </c>
      <c r="Y1388" s="110" t="str">
        <f t="array" ref="Y1388">_xlfn.XLOOKUP(A1388,'Video Database'!L:L,'Video Database'!M:M,"")</f>
        <v>Middle of Funnel</v>
      </c>
    </row>
    <row r="1389" ht="22.5" customHeight="1">
      <c r="A1389" s="113">
        <f t="shared" si="12"/>
        <v>1388</v>
      </c>
      <c r="B1389" s="98" t="str">
        <f t="array" ref="B1389">_xlfn.XLOOKUP(A1389,'Video Database'!L:L,'Video Database'!D:D,"")</f>
        <v>Erin</v>
      </c>
      <c r="C1389" s="98" t="str">
        <f t="array" ref="C1389">_xlfn.XLOOKUP(A1389,'Video Database'!L:L,'Video Database'!E:E,"")</f>
        <v>Account 4</v>
      </c>
      <c r="D1389" s="99" t="str">
        <f t="array" ref="D1389">_xlfn.XLOOKUP(A1389,'Video Database'!L:L,'Video Database'!G:G,"")</f>
        <v>XL Microfiber Towel</v>
      </c>
      <c r="E1389" s="100">
        <f t="array" ref="E1389">_xlfn.XLOOKUP(A1389,'Video Database'!L:L,'Video Database'!H:H,"")</f>
        <v>0.7337</v>
      </c>
      <c r="F1389" s="101"/>
      <c r="G1389" s="87"/>
      <c r="H1389" s="114">
        <f t="array" ref="H1389">_xlfn.XLOOKUP(A1389,'Video Database'!L:L,'Video Database'!A:A,"")</f>
        <v>46208</v>
      </c>
      <c r="I1389" s="103"/>
      <c r="J1389" s="104"/>
      <c r="K1389" s="105"/>
      <c r="L1389" s="105" t="str">
        <f t="shared" si="13"/>
        <v/>
      </c>
      <c r="O1389" s="106" t="str">
        <f t="shared" si="2"/>
        <v>#N/A</v>
      </c>
      <c r="P1389" s="106" t="str">
        <f t="shared" si="3"/>
        <v>#N/A</v>
      </c>
      <c r="Q1389" s="84" t="str">
        <f t="shared" si="4"/>
        <v>#N/A</v>
      </c>
      <c r="R1389" s="84" t="str">
        <f t="shared" si="5"/>
        <v>#N/A</v>
      </c>
      <c r="S1389" s="107">
        <f t="shared" si="6"/>
        <v>-0.7337</v>
      </c>
      <c r="T1389" s="108">
        <f t="shared" si="7"/>
        <v>-1</v>
      </c>
      <c r="U1389" s="106" t="str">
        <f t="shared" si="8"/>
        <v>#N/A</v>
      </c>
      <c r="V1389" s="84" t="str">
        <f t="shared" si="9"/>
        <v/>
      </c>
      <c r="W1389" s="109" t="str">
        <f t="shared" si="10"/>
        <v/>
      </c>
      <c r="X1389" s="109" t="str">
        <f t="shared" si="11"/>
        <v/>
      </c>
      <c r="Y1389" s="110" t="str">
        <f t="array" ref="Y1389">_xlfn.XLOOKUP(A1389,'Video Database'!L:L,'Video Database'!M:M,"")</f>
        <v>Bottom of Funnel</v>
      </c>
    </row>
    <row r="1390" ht="22.5" customHeight="1">
      <c r="A1390" s="113">
        <f t="shared" si="12"/>
        <v>1389</v>
      </c>
      <c r="B1390" s="98" t="str">
        <f t="array" ref="B1390">_xlfn.XLOOKUP(A1390,'Video Database'!L:L,'Video Database'!D:D,"")</f>
        <v>Erin</v>
      </c>
      <c r="C1390" s="98" t="str">
        <f t="array" ref="C1390">_xlfn.XLOOKUP(A1390,'Video Database'!L:L,'Video Database'!E:E,"")</f>
        <v>Account 4</v>
      </c>
      <c r="D1390" s="99" t="str">
        <f t="array" ref="D1390">_xlfn.XLOOKUP(A1390,'Video Database'!L:L,'Video Database'!G:G,"")</f>
        <v>Faux Pearl Decorated Link Bracelet</v>
      </c>
      <c r="E1390" s="100">
        <f t="array" ref="E1390">_xlfn.XLOOKUP(A1390,'Video Database'!L:L,'Video Database'!H:H,"")</f>
        <v>0.7337</v>
      </c>
      <c r="F1390" s="101"/>
      <c r="G1390" s="87"/>
      <c r="H1390" s="114">
        <f t="array" ref="H1390">_xlfn.XLOOKUP(A1390,'Video Database'!L:L,'Video Database'!A:A,"")</f>
        <v>46208</v>
      </c>
      <c r="I1390" s="103"/>
      <c r="J1390" s="104"/>
      <c r="K1390" s="105"/>
      <c r="L1390" s="105" t="str">
        <f t="shared" si="13"/>
        <v/>
      </c>
      <c r="O1390" s="106" t="str">
        <f t="shared" si="2"/>
        <v>#N/A</v>
      </c>
      <c r="P1390" s="106" t="str">
        <f t="shared" si="3"/>
        <v>#N/A</v>
      </c>
      <c r="Q1390" s="84" t="str">
        <f t="shared" si="4"/>
        <v>#N/A</v>
      </c>
      <c r="R1390" s="84" t="str">
        <f t="shared" si="5"/>
        <v>#N/A</v>
      </c>
      <c r="S1390" s="107">
        <f t="shared" si="6"/>
        <v>-0.7337</v>
      </c>
      <c r="T1390" s="108">
        <f t="shared" si="7"/>
        <v>-1</v>
      </c>
      <c r="U1390" s="106" t="str">
        <f t="shared" si="8"/>
        <v>#N/A</v>
      </c>
      <c r="V1390" s="84" t="str">
        <f t="shared" si="9"/>
        <v/>
      </c>
      <c r="W1390" s="109" t="str">
        <f t="shared" si="10"/>
        <v/>
      </c>
      <c r="X1390" s="109" t="str">
        <f t="shared" si="11"/>
        <v/>
      </c>
      <c r="Y1390" s="110" t="str">
        <f t="array" ref="Y1390">_xlfn.XLOOKUP(A1390,'Video Database'!L:L,'Video Database'!M:M,"")</f>
        <v>Bottom of Funnel</v>
      </c>
    </row>
    <row r="1391" ht="22.5" customHeight="1">
      <c r="A1391" s="113">
        <f t="shared" si="12"/>
        <v>1390</v>
      </c>
      <c r="B1391" s="98" t="str">
        <f t="array" ref="B1391">_xlfn.XLOOKUP(A1391,'Video Database'!L:L,'Video Database'!D:D,"")</f>
        <v>Brittney</v>
      </c>
      <c r="C1391" s="98" t="str">
        <f t="array" ref="C1391">_xlfn.XLOOKUP(A1391,'Video Database'!L:L,'Video Database'!E:E,"")</f>
        <v>Account 4</v>
      </c>
      <c r="D1391" s="99" t="str">
        <f t="array" ref="D1391">_xlfn.XLOOKUP(A1391,'Video Database'!L:L,'Video Database'!G:G,"")</f>
        <v>Gruns Greens Popsicle Firecracker Gummies</v>
      </c>
      <c r="E1391" s="100">
        <f t="array" ref="E1391">_xlfn.XLOOKUP(A1391,'Video Database'!L:L,'Video Database'!H:H,"")</f>
        <v>0.11</v>
      </c>
      <c r="F1391" s="101"/>
      <c r="G1391" s="87"/>
      <c r="H1391" s="114">
        <f t="array" ref="H1391">_xlfn.XLOOKUP(A1391,'Video Database'!L:L,'Video Database'!A:A,"")</f>
        <v>46208</v>
      </c>
      <c r="I1391" s="103"/>
      <c r="J1391" s="104"/>
      <c r="K1391" s="105"/>
      <c r="L1391" s="105" t="str">
        <f t="shared" si="13"/>
        <v/>
      </c>
      <c r="O1391" s="106" t="str">
        <f t="shared" si="2"/>
        <v>#N/A</v>
      </c>
      <c r="P1391" s="106" t="str">
        <f t="shared" si="3"/>
        <v>#N/A</v>
      </c>
      <c r="Q1391" s="84" t="str">
        <f t="shared" si="4"/>
        <v>#N/A</v>
      </c>
      <c r="R1391" s="84" t="str">
        <f t="shared" si="5"/>
        <v>#N/A</v>
      </c>
      <c r="S1391" s="107">
        <f t="shared" si="6"/>
        <v>-0.11</v>
      </c>
      <c r="T1391" s="108">
        <f t="shared" si="7"/>
        <v>-1</v>
      </c>
      <c r="U1391" s="106" t="str">
        <f t="shared" si="8"/>
        <v>#N/A</v>
      </c>
      <c r="V1391" s="84" t="str">
        <f t="shared" si="9"/>
        <v/>
      </c>
      <c r="W1391" s="109" t="str">
        <f t="shared" si="10"/>
        <v/>
      </c>
      <c r="X1391" s="109" t="str">
        <f t="shared" si="11"/>
        <v/>
      </c>
      <c r="Y1391" s="110" t="str">
        <f t="array" ref="Y1391">_xlfn.XLOOKUP(A1391,'Video Database'!L:L,'Video Database'!M:M,"")</f>
        <v>Bottom of Funnel</v>
      </c>
    </row>
    <row r="1392" ht="22.5" customHeight="1">
      <c r="A1392" s="113">
        <f t="shared" si="12"/>
        <v>1391</v>
      </c>
      <c r="B1392" s="98" t="str">
        <f t="array" ref="B1392">_xlfn.XLOOKUP(A1392,'Video Database'!L:L,'Video Database'!D:D,"")</f>
        <v>Erin</v>
      </c>
      <c r="C1392" s="98" t="str">
        <f t="array" ref="C1392">_xlfn.XLOOKUP(A1392,'Video Database'!L:L,'Video Database'!E:E,"")</f>
        <v>Account 4</v>
      </c>
      <c r="D1392" s="99" t="str">
        <f t="array" ref="D1392">_xlfn.XLOOKUP(A1392,'Video Database'!L:L,'Video Database'!G:G,"")</f>
        <v>Medicube Kojic Accid Tumeric Pads</v>
      </c>
      <c r="E1392" s="100">
        <f t="array" ref="E1392">_xlfn.XLOOKUP(A1392,'Video Database'!L:L,'Video Database'!H:H,"")</f>
        <v>0.7337</v>
      </c>
      <c r="F1392" s="101"/>
      <c r="G1392" s="87"/>
      <c r="H1392" s="114">
        <f t="array" ref="H1392">_xlfn.XLOOKUP(A1392,'Video Database'!L:L,'Video Database'!A:A,"")</f>
        <v>46208</v>
      </c>
      <c r="I1392" s="103"/>
      <c r="J1392" s="104"/>
      <c r="K1392" s="105"/>
      <c r="L1392" s="105" t="str">
        <f t="shared" si="13"/>
        <v/>
      </c>
      <c r="O1392" s="106" t="str">
        <f t="shared" si="2"/>
        <v>#N/A</v>
      </c>
      <c r="P1392" s="106" t="str">
        <f t="shared" si="3"/>
        <v>#N/A</v>
      </c>
      <c r="Q1392" s="84" t="str">
        <f t="shared" si="4"/>
        <v>#N/A</v>
      </c>
      <c r="R1392" s="84" t="str">
        <f t="shared" si="5"/>
        <v>#N/A</v>
      </c>
      <c r="S1392" s="107">
        <f t="shared" si="6"/>
        <v>-0.7337</v>
      </c>
      <c r="T1392" s="108">
        <f t="shared" si="7"/>
        <v>-1</v>
      </c>
      <c r="U1392" s="106" t="str">
        <f t="shared" si="8"/>
        <v>#N/A</v>
      </c>
      <c r="V1392" s="84" t="str">
        <f t="shared" si="9"/>
        <v/>
      </c>
      <c r="W1392" s="109" t="str">
        <f t="shared" si="10"/>
        <v/>
      </c>
      <c r="X1392" s="109" t="str">
        <f t="shared" si="11"/>
        <v/>
      </c>
      <c r="Y1392" s="110" t="str">
        <f t="array" ref="Y1392">_xlfn.XLOOKUP(A1392,'Video Database'!L:L,'Video Database'!M:M,"")</f>
        <v>Bottom of Funnel</v>
      </c>
    </row>
    <row r="1393" ht="22.5" customHeight="1">
      <c r="A1393" s="113">
        <f t="shared" si="12"/>
        <v>1392</v>
      </c>
      <c r="B1393" s="98" t="str">
        <f t="array" ref="B1393">_xlfn.XLOOKUP(A1393,'Video Database'!L:L,'Video Database'!D:D,"")</f>
        <v>Brittney</v>
      </c>
      <c r="C1393" s="98" t="str">
        <f t="array" ref="C1393">_xlfn.XLOOKUP(A1393,'Video Database'!L:L,'Video Database'!E:E,"")</f>
        <v>Account 4</v>
      </c>
      <c r="D1393" s="99" t="str">
        <f t="array" ref="D1393">_xlfn.XLOOKUP(A1393,'Video Database'!L:L,'Video Database'!G:G,"")</f>
        <v>Gruns Greens Popsicle Firecracker Gummies</v>
      </c>
      <c r="E1393" s="100">
        <f t="array" ref="E1393">_xlfn.XLOOKUP(A1393,'Video Database'!L:L,'Video Database'!H:H,"")</f>
        <v>0.11</v>
      </c>
      <c r="F1393" s="101"/>
      <c r="G1393" s="87"/>
      <c r="H1393" s="114">
        <f t="array" ref="H1393">_xlfn.XLOOKUP(A1393,'Video Database'!L:L,'Video Database'!A:A,"")</f>
        <v>46208</v>
      </c>
      <c r="I1393" s="103"/>
      <c r="J1393" s="104"/>
      <c r="K1393" s="105"/>
      <c r="L1393" s="105" t="str">
        <f t="shared" si="13"/>
        <v/>
      </c>
      <c r="O1393" s="106" t="str">
        <f t="shared" si="2"/>
        <v>#N/A</v>
      </c>
      <c r="P1393" s="106" t="str">
        <f t="shared" si="3"/>
        <v>#N/A</v>
      </c>
      <c r="Q1393" s="84" t="str">
        <f t="shared" si="4"/>
        <v>#N/A</v>
      </c>
      <c r="R1393" s="84" t="str">
        <f t="shared" si="5"/>
        <v>#N/A</v>
      </c>
      <c r="S1393" s="107">
        <f t="shared" si="6"/>
        <v>-0.11</v>
      </c>
      <c r="T1393" s="108">
        <f t="shared" si="7"/>
        <v>-1</v>
      </c>
      <c r="U1393" s="106" t="str">
        <f t="shared" si="8"/>
        <v>#N/A</v>
      </c>
      <c r="V1393" s="84" t="str">
        <f t="shared" si="9"/>
        <v/>
      </c>
      <c r="W1393" s="109" t="str">
        <f t="shared" si="10"/>
        <v/>
      </c>
      <c r="X1393" s="109" t="str">
        <f t="shared" si="11"/>
        <v/>
      </c>
      <c r="Y1393" s="110" t="str">
        <f t="array" ref="Y1393">_xlfn.XLOOKUP(A1393,'Video Database'!L:L,'Video Database'!M:M,"")</f>
        <v>Bottom of Funnel</v>
      </c>
    </row>
  </sheetData>
  <conditionalFormatting sqref="J1:J1393">
    <cfRule type="expression" dxfId="6" priority="1">
      <formula>AND($J1="",$F1&lt;&gt;"")</formula>
    </cfRule>
  </conditionalFormatting>
  <dataValidations>
    <dataValidation type="custom" allowBlank="1" showDropDown="1" sqref="F2:F1393 J2:J1393 T2:T1393 W2:X1393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4.88"/>
    <col customWidth="1" min="3" max="3" width="12.5"/>
    <col customWidth="1" min="4" max="4" width="10.13"/>
    <col customWidth="1" min="5" max="5" width="6.13"/>
    <col customWidth="1" min="6" max="6" width="12.5"/>
    <col customWidth="1" min="7" max="7" width="10.0"/>
    <col customWidth="1" min="8" max="8" width="6.63"/>
    <col customWidth="1" min="9" max="9" width="8.38"/>
    <col customWidth="1" min="10" max="10" width="12.88"/>
    <col customWidth="1" min="11" max="12" width="10.13"/>
    <col customWidth="1" min="13" max="13" width="6.63"/>
    <col customWidth="1" min="14" max="14" width="7.13"/>
    <col customWidth="1" min="15" max="15" width="12.63"/>
    <col customWidth="1" min="16" max="16" width="12.0"/>
    <col customWidth="1" min="17" max="17" width="17.88"/>
    <col customWidth="1" min="18" max="18" width="13.63"/>
    <col customWidth="1" min="19" max="19" width="4.75"/>
    <col customWidth="1" min="20" max="20" width="13.75"/>
    <col customWidth="1" min="21" max="21" width="6.13"/>
    <col customWidth="1" min="22" max="22" width="10.13"/>
    <col customWidth="1" min="23" max="23" width="12.0"/>
    <col customWidth="1" min="24" max="24" width="17.88"/>
    <col customWidth="1" min="25" max="25" width="12.63"/>
    <col customWidth="1" min="26" max="26" width="5.25"/>
    <col customWidth="1" min="27" max="66" width="12.5"/>
  </cols>
  <sheetData>
    <row r="1">
      <c r="G1" s="115" t="s">
        <v>127</v>
      </c>
      <c r="H1" s="116" t="s">
        <v>119</v>
      </c>
      <c r="I1" s="116" t="s">
        <v>120</v>
      </c>
      <c r="J1" s="116" t="s">
        <v>122</v>
      </c>
      <c r="K1" s="115" t="s">
        <v>138</v>
      </c>
      <c r="L1" s="116" t="s">
        <v>140</v>
      </c>
      <c r="M1" s="116" t="s">
        <v>149</v>
      </c>
      <c r="N1" s="116" t="s">
        <v>87</v>
      </c>
      <c r="O1" s="117"/>
      <c r="V1" s="59" t="s">
        <v>87</v>
      </c>
      <c r="W1" s="59" t="s">
        <v>151</v>
      </c>
      <c r="X1" s="59" t="s">
        <v>157</v>
      </c>
      <c r="Y1" s="59" t="s">
        <v>158</v>
      </c>
      <c r="AA1" s="118"/>
      <c r="AB1" s="59"/>
      <c r="AC1" s="59"/>
      <c r="AD1" s="59"/>
      <c r="AE1" s="59"/>
      <c r="AF1" s="119"/>
      <c r="AG1" s="59"/>
      <c r="AH1" s="59"/>
      <c r="AI1" s="59"/>
      <c r="AJ1" s="59"/>
      <c r="AK1" s="119"/>
      <c r="AL1" s="119"/>
      <c r="AM1" s="119"/>
      <c r="AN1" s="119"/>
      <c r="AO1" s="119"/>
      <c r="AP1" s="119"/>
      <c r="AQ1" s="119"/>
      <c r="AR1" s="119"/>
      <c r="AS1" s="119"/>
      <c r="AT1" s="59"/>
      <c r="AU1" s="59"/>
      <c r="AV1" s="59"/>
      <c r="AW1" s="59"/>
      <c r="AX1" s="59"/>
      <c r="AY1" s="59"/>
      <c r="AZ1" s="118"/>
      <c r="BA1" s="59"/>
      <c r="BB1" s="59"/>
      <c r="BC1" s="59"/>
      <c r="BD1" s="59"/>
    </row>
    <row r="2">
      <c r="G2" s="111">
        <f>IFERROR(__xludf.DUMMYFUNCTION("ARRAY_CONSTRAIN(
  CHOOSECOLS(
    SORT(
      FILTER(
        'Performance Data'!A2:X2235,
        'Performance Data'!A2:A2235&lt;&gt;"""",
        'Performance Data'!B2:B2235&lt;&gt;""""
      ),
      19,
      FALSE
    ),
    1,2,3,4,7,10,19,20
  ),
  10,
  8
)"),1146.0)</f>
        <v>1146</v>
      </c>
      <c r="H2" s="111" t="str">
        <f>IFERROR(__xludf.DUMMYFUNCTION("""COMPUTED_VALUE"""),"Sierra")</f>
        <v>Sierra</v>
      </c>
      <c r="I2" s="111" t="str">
        <f>IFERROR(__xludf.DUMMYFUNCTION("""COMPUTED_VALUE"""),"Account 4")</f>
        <v>Account 4</v>
      </c>
      <c r="J2" s="111" t="str">
        <f>IFERROR(__xludf.DUMMYFUNCTION("""COMPUTED_VALUE"""),"Taste Salud Skin + Beauty Drink Mix")</f>
        <v>Taste Salud Skin + Beauty Drink Mix</v>
      </c>
      <c r="K2" s="111">
        <f>IFERROR(__xludf.DUMMYFUNCTION("""COMPUTED_VALUE"""),2.0)</f>
        <v>2</v>
      </c>
      <c r="L2" s="121">
        <f>IFERROR(__xludf.DUMMYFUNCTION("""COMPUTED_VALUE"""),14.57)</f>
        <v>14.57</v>
      </c>
      <c r="M2" s="121">
        <f>IFERROR(__xludf.DUMMYFUNCTION("""COMPUTED_VALUE"""),13.47)</f>
        <v>13.47</v>
      </c>
      <c r="N2" s="122">
        <f>IFERROR(__xludf.DUMMYFUNCTION("""COMPUTED_VALUE"""),12.245454545454544)</f>
        <v>12.24545455</v>
      </c>
      <c r="V2" s="122">
        <f t="shared" ref="V2:V7" si="1">if(S2=0,"",T2/S2)</f>
        <v>0.7030947776</v>
      </c>
      <c r="W2" s="60">
        <f t="shared" ref="W2:W7" si="2">if(U2=0,"",S2/U2)</f>
        <v>1.683255814</v>
      </c>
      <c r="X2" s="121">
        <f t="shared" ref="X2:X7" si="3">if(Q2=0,"",R2/Q2)</f>
        <v>0.1873404255</v>
      </c>
      <c r="Y2" s="121">
        <f t="shared" ref="Y2:Y7" si="4">if(Q2=0,"",T2/Q2)</f>
        <v>0.07734042553</v>
      </c>
    </row>
    <row r="3">
      <c r="G3" s="111">
        <f>IFERROR(__xludf.DUMMYFUNCTION("""COMPUTED_VALUE"""),901.0)</f>
        <v>901</v>
      </c>
      <c r="H3" s="111" t="str">
        <f>IFERROR(__xludf.DUMMYFUNCTION("""COMPUTED_VALUE"""),"Blakely")</f>
        <v>Blakely</v>
      </c>
      <c r="I3" s="111" t="str">
        <f>IFERROR(__xludf.DUMMYFUNCTION("""COMPUTED_VALUE"""),"Account 4")</f>
        <v>Account 4</v>
      </c>
      <c r="J3" s="111" t="str">
        <f>IFERROR(__xludf.DUMMYFUNCTION("""COMPUTED_VALUE"""),"JOYMODE Ignite Libido Support")</f>
        <v>JOYMODE Ignite Libido Support</v>
      </c>
      <c r="K3" s="111">
        <f>IFERROR(__xludf.DUMMYFUNCTION("""COMPUTED_VALUE"""),4.0)</f>
        <v>4</v>
      </c>
      <c r="L3" s="121">
        <f>IFERROR(__xludf.DUMMYFUNCTION("""COMPUTED_VALUE"""),13.2)</f>
        <v>13.2</v>
      </c>
      <c r="M3" s="121">
        <f>IFERROR(__xludf.DUMMYFUNCTION("""COMPUTED_VALUE"""),13.09)</f>
        <v>13.09</v>
      </c>
      <c r="N3" s="122">
        <f>IFERROR(__xludf.DUMMYFUNCTION("""COMPUTED_VALUE"""),119.0)</f>
        <v>119</v>
      </c>
      <c r="V3" s="122">
        <f t="shared" si="1"/>
        <v>-0.9188070612</v>
      </c>
      <c r="W3" s="60">
        <f t="shared" si="2"/>
        <v>41.85093</v>
      </c>
      <c r="X3" s="121">
        <f t="shared" si="3"/>
        <v>0.06623781676</v>
      </c>
      <c r="Y3" s="121">
        <f t="shared" si="4"/>
        <v>-0.7495697856</v>
      </c>
    </row>
    <row r="4">
      <c r="G4" s="111">
        <f>IFERROR(__xludf.DUMMYFUNCTION("""COMPUTED_VALUE"""),299.0)</f>
        <v>299</v>
      </c>
      <c r="H4" s="111" t="str">
        <f>IFERROR(__xludf.DUMMYFUNCTION("""COMPUTED_VALUE"""),"Blakely")</f>
        <v>Blakely</v>
      </c>
      <c r="I4" s="111" t="str">
        <f>IFERROR(__xludf.DUMMYFUNCTION("""COMPUTED_VALUE"""),"Account 2")</f>
        <v>Account 2</v>
      </c>
      <c r="J4" s="111" t="str">
        <f>IFERROR(__xludf.DUMMYFUNCTION("""COMPUTED_VALUE"""),"Beast Bites Creatine Gummies")</f>
        <v>Beast Bites Creatine Gummies</v>
      </c>
      <c r="K4" s="111">
        <f>IFERROR(__xludf.DUMMYFUNCTION("""COMPUTED_VALUE"""),5.0)</f>
        <v>5</v>
      </c>
      <c r="L4" s="121">
        <f>IFERROR(__xludf.DUMMYFUNCTION("""COMPUTED_VALUE"""),11.84)</f>
        <v>11.84</v>
      </c>
      <c r="M4" s="121">
        <f>IFERROR(__xludf.DUMMYFUNCTION("""COMPUTED_VALUE"""),11.73)</f>
        <v>11.73</v>
      </c>
      <c r="N4" s="122">
        <f>IFERROR(__xludf.DUMMYFUNCTION("""COMPUTED_VALUE"""),106.63636363636364)</f>
        <v>106.6363636</v>
      </c>
      <c r="V4" s="122">
        <f t="shared" si="1"/>
        <v>-0.6864357864</v>
      </c>
      <c r="W4" s="60">
        <f t="shared" si="2"/>
        <v>17.325</v>
      </c>
      <c r="X4" s="121">
        <f t="shared" si="3"/>
        <v>0.3449206349</v>
      </c>
      <c r="Y4" s="121">
        <f t="shared" si="4"/>
        <v>-0.7550793651</v>
      </c>
    </row>
    <row r="5">
      <c r="G5" s="111">
        <f>IFERROR(__xludf.DUMMYFUNCTION("""COMPUTED_VALUE"""),634.0)</f>
        <v>634</v>
      </c>
      <c r="H5" s="111" t="str">
        <f>IFERROR(__xludf.DUMMYFUNCTION("""COMPUTED_VALUE"""),"Blakely")</f>
        <v>Blakely</v>
      </c>
      <c r="I5" s="111" t="str">
        <f>IFERROR(__xludf.DUMMYFUNCTION("""COMPUTED_VALUE"""),"Account 2")</f>
        <v>Account 2</v>
      </c>
      <c r="J5" s="111" t="str">
        <f>IFERROR(__xludf.DUMMYFUNCTION("""COMPUTED_VALUE"""),"JOYMODE Ignite Libido Support")</f>
        <v>JOYMODE Ignite Libido Support</v>
      </c>
      <c r="K5" s="111">
        <f>IFERROR(__xludf.DUMMYFUNCTION("""COMPUTED_VALUE"""),2.0)</f>
        <v>2</v>
      </c>
      <c r="L5" s="121">
        <f>IFERROR(__xludf.DUMMYFUNCTION("""COMPUTED_VALUE"""),8.8)</f>
        <v>8.8</v>
      </c>
      <c r="M5" s="121">
        <f>IFERROR(__xludf.DUMMYFUNCTION("""COMPUTED_VALUE"""),8.690000000000001)</f>
        <v>8.69</v>
      </c>
      <c r="N5" s="122">
        <f>IFERROR(__xludf.DUMMYFUNCTION("""COMPUTED_VALUE"""),79.00000000000001)</f>
        <v>79</v>
      </c>
      <c r="V5" s="122">
        <f t="shared" si="1"/>
        <v>-0.5065162907</v>
      </c>
      <c r="W5" s="60">
        <f t="shared" si="2"/>
        <v>3.99</v>
      </c>
      <c r="X5" s="121">
        <f t="shared" si="3"/>
        <v>0.1678992248</v>
      </c>
      <c r="Y5" s="121">
        <f t="shared" si="4"/>
        <v>-0.1723333333</v>
      </c>
    </row>
    <row r="6">
      <c r="G6" s="111">
        <f>IFERROR(__xludf.DUMMYFUNCTION("""COMPUTED_VALUE"""),734.0)</f>
        <v>734</v>
      </c>
      <c r="H6" s="111" t="str">
        <f>IFERROR(__xludf.DUMMYFUNCTION("""COMPUTED_VALUE"""),"Brittney")</f>
        <v>Brittney</v>
      </c>
      <c r="I6" s="111" t="str">
        <f>IFERROR(__xludf.DUMMYFUNCTION("""COMPUTED_VALUE"""),"Account 4")</f>
        <v>Account 4</v>
      </c>
      <c r="J6" s="111" t="str">
        <f>IFERROR(__xludf.DUMMYFUNCTION("""COMPUTED_VALUE"""),"Gruns Greens Popsicle Firecracker Gummies")</f>
        <v>Gruns Greens Popsicle Firecracker Gummies</v>
      </c>
      <c r="K6" s="111">
        <f>IFERROR(__xludf.DUMMYFUNCTION("""COMPUTED_VALUE"""),4.0)</f>
        <v>4</v>
      </c>
      <c r="L6" s="121">
        <f>IFERROR(__xludf.DUMMYFUNCTION("""COMPUTED_VALUE"""),8.59)</f>
        <v>8.59</v>
      </c>
      <c r="M6" s="121">
        <f>IFERROR(__xludf.DUMMYFUNCTION("""COMPUTED_VALUE"""),8.48)</f>
        <v>8.48</v>
      </c>
      <c r="N6" s="122">
        <f>IFERROR(__xludf.DUMMYFUNCTION("""COMPUTED_VALUE"""),77.0909090909091)</f>
        <v>77.09090909</v>
      </c>
      <c r="V6" s="122">
        <f t="shared" si="1"/>
        <v>-1</v>
      </c>
      <c r="W6" s="111" t="str">
        <f t="shared" si="2"/>
        <v/>
      </c>
      <c r="X6" s="121">
        <f t="shared" si="3"/>
        <v>0</v>
      </c>
      <c r="Y6" s="121">
        <f t="shared" si="4"/>
        <v>-1.1</v>
      </c>
    </row>
    <row r="7">
      <c r="G7" s="111">
        <f>IFERROR(__xludf.DUMMYFUNCTION("""COMPUTED_VALUE"""),1013.0)</f>
        <v>1013</v>
      </c>
      <c r="H7" s="111" t="str">
        <f>IFERROR(__xludf.DUMMYFUNCTION("""COMPUTED_VALUE"""),"Blakely")</f>
        <v>Blakely</v>
      </c>
      <c r="I7" s="111" t="str">
        <f>IFERROR(__xludf.DUMMYFUNCTION("""COMPUTED_VALUE"""),"Account 3")</f>
        <v>Account 3</v>
      </c>
      <c r="J7" s="111" t="str">
        <f>IFERROR(__xludf.DUMMYFUNCTION("""COMPUTED_VALUE"""),"tarte CC Color-Correct Tinted Serum")</f>
        <v>tarte CC Color-Correct Tinted Serum</v>
      </c>
      <c r="K7" s="111">
        <f>IFERROR(__xludf.DUMMYFUNCTION("""COMPUTED_VALUE"""),1.0)</f>
        <v>1</v>
      </c>
      <c r="L7" s="121">
        <f>IFERROR(__xludf.DUMMYFUNCTION("""COMPUTED_VALUE"""),7.2)</f>
        <v>7.2</v>
      </c>
      <c r="M7" s="121">
        <f>IFERROR(__xludf.DUMMYFUNCTION("""COMPUTED_VALUE"""),7.09)</f>
        <v>7.09</v>
      </c>
      <c r="N7" s="122">
        <f>IFERROR(__xludf.DUMMYFUNCTION("""COMPUTED_VALUE"""),64.45454545454545)</f>
        <v>64.45454545</v>
      </c>
      <c r="V7" s="122">
        <f t="shared" si="1"/>
        <v>-1</v>
      </c>
      <c r="W7" s="111" t="str">
        <f t="shared" si="2"/>
        <v/>
      </c>
      <c r="X7" s="121">
        <f t="shared" si="3"/>
        <v>0</v>
      </c>
      <c r="Y7" s="121">
        <f t="shared" si="4"/>
        <v>-1.1</v>
      </c>
    </row>
    <row r="8">
      <c r="G8" s="111">
        <f>IFERROR(__xludf.DUMMYFUNCTION("""COMPUTED_VALUE"""),725.0)</f>
        <v>725</v>
      </c>
      <c r="H8" s="111" t="str">
        <f>IFERROR(__xludf.DUMMYFUNCTION("""COMPUTED_VALUE"""),"Blakely")</f>
        <v>Blakely</v>
      </c>
      <c r="I8" s="111" t="str">
        <f>IFERROR(__xludf.DUMMYFUNCTION("""COMPUTED_VALUE"""),"Account 3")</f>
        <v>Account 3</v>
      </c>
      <c r="J8" s="111" t="str">
        <f>IFERROR(__xludf.DUMMYFUNCTION("""COMPUTED_VALUE"""),"Swanson Full Spectrum Spearmint Leaf")</f>
        <v>Swanson Full Spectrum Spearmint Leaf</v>
      </c>
      <c r="K8" s="111">
        <f>IFERROR(__xludf.DUMMYFUNCTION("""COMPUTED_VALUE"""),1.0)</f>
        <v>1</v>
      </c>
      <c r="L8" s="121">
        <f>IFERROR(__xludf.DUMMYFUNCTION("""COMPUTED_VALUE"""),7.12)</f>
        <v>7.12</v>
      </c>
      <c r="M8" s="121">
        <f>IFERROR(__xludf.DUMMYFUNCTION("""COMPUTED_VALUE"""),7.01)</f>
        <v>7.01</v>
      </c>
      <c r="N8" s="122">
        <f>IFERROR(__xludf.DUMMYFUNCTION("""COMPUTED_VALUE"""),63.72727272727273)</f>
        <v>63.72727273</v>
      </c>
    </row>
    <row r="9">
      <c r="G9" s="111">
        <f>IFERROR(__xludf.DUMMYFUNCTION("""COMPUTED_VALUE"""),1065.0)</f>
        <v>1065</v>
      </c>
      <c r="H9" s="111" t="str">
        <f>IFERROR(__xludf.DUMMYFUNCTION("""COMPUTED_VALUE"""),"Blakely")</f>
        <v>Blakely</v>
      </c>
      <c r="I9" s="111" t="str">
        <f>IFERROR(__xludf.DUMMYFUNCTION("""COMPUTED_VALUE"""),"Account 4")</f>
        <v>Account 4</v>
      </c>
      <c r="J9" s="111" t="str">
        <f>IFERROR(__xludf.DUMMYFUNCTION("""COMPUTED_VALUE"""),"IRIS Hormone Health Drink Mix")</f>
        <v>IRIS Hormone Health Drink Mix</v>
      </c>
      <c r="K9" s="111">
        <f>IFERROR(__xludf.DUMMYFUNCTION("""COMPUTED_VALUE"""),2.0)</f>
        <v>2</v>
      </c>
      <c r="L9" s="121">
        <f>IFERROR(__xludf.DUMMYFUNCTION("""COMPUTED_VALUE"""),5.93)</f>
        <v>5.93</v>
      </c>
      <c r="M9" s="121">
        <f>IFERROR(__xludf.DUMMYFUNCTION("""COMPUTED_VALUE"""),5.819999999999999)</f>
        <v>5.82</v>
      </c>
      <c r="N9" s="122">
        <f>IFERROR(__xludf.DUMMYFUNCTION("""COMPUTED_VALUE"""),52.90909090909091)</f>
        <v>52.90909091</v>
      </c>
    </row>
    <row r="10">
      <c r="G10" s="111">
        <f>IFERROR(__xludf.DUMMYFUNCTION("""COMPUTED_VALUE"""),1348.0)</f>
        <v>1348</v>
      </c>
      <c r="H10" s="111" t="str">
        <f>IFERROR(__xludf.DUMMYFUNCTION("""COMPUTED_VALUE"""),"Sierra")</f>
        <v>Sierra</v>
      </c>
      <c r="I10" s="111" t="str">
        <f>IFERROR(__xludf.DUMMYFUNCTION("""COMPUTED_VALUE"""),"Account 4")</f>
        <v>Account 4</v>
      </c>
      <c r="J10" s="111" t="str">
        <f>IFERROR(__xludf.DUMMYFUNCTION("""COMPUTED_VALUE"""),"Taste Salud Skin + Beauty Drink Mix")</f>
        <v>Taste Salud Skin + Beauty Drink Mix</v>
      </c>
      <c r="K10" s="111">
        <f>IFERROR(__xludf.DUMMYFUNCTION("""COMPUTED_VALUE"""),1.0)</f>
        <v>1</v>
      </c>
      <c r="L10" s="121">
        <f>IFERROR(__xludf.DUMMYFUNCTION("""COMPUTED_VALUE"""),5.76)</f>
        <v>5.76</v>
      </c>
      <c r="M10" s="121">
        <f>IFERROR(__xludf.DUMMYFUNCTION("""COMPUTED_VALUE"""),4.66)</f>
        <v>4.66</v>
      </c>
      <c r="N10" s="122">
        <f>IFERROR(__xludf.DUMMYFUNCTION("""COMPUTED_VALUE"""),4.236363636363636)</f>
        <v>4.236363636</v>
      </c>
      <c r="Z10" s="59" t="s">
        <v>87</v>
      </c>
    </row>
    <row r="11">
      <c r="G11" s="111">
        <f>IFERROR(__xludf.DUMMYFUNCTION("""COMPUTED_VALUE"""),451.0)</f>
        <v>451</v>
      </c>
      <c r="H11" s="111" t="str">
        <f>IFERROR(__xludf.DUMMYFUNCTION("""COMPUTED_VALUE"""),"Blakely")</f>
        <v>Blakely</v>
      </c>
      <c r="I11" s="111" t="str">
        <f>IFERROR(__xludf.DUMMYFUNCTION("""COMPUTED_VALUE"""),"Account 3")</f>
        <v>Account 3</v>
      </c>
      <c r="J11" s="111" t="str">
        <f>IFERROR(__xludf.DUMMYFUNCTION("""COMPUTED_VALUE"""),"Cutler Nutrition Liquid Carnitine 3000")</f>
        <v>Cutler Nutrition Liquid Carnitine 3000</v>
      </c>
      <c r="K11" s="111">
        <f>IFERROR(__xludf.DUMMYFUNCTION("""COMPUTED_VALUE"""),1.0)</f>
        <v>1</v>
      </c>
      <c r="L11" s="121">
        <f>IFERROR(__xludf.DUMMYFUNCTION("""COMPUTED_VALUE"""),4.5)</f>
        <v>4.5</v>
      </c>
      <c r="M11" s="121">
        <f>IFERROR(__xludf.DUMMYFUNCTION("""COMPUTED_VALUE"""),4.39)</f>
        <v>4.39</v>
      </c>
      <c r="N11" s="122">
        <f>IFERROR(__xludf.DUMMYFUNCTION("""COMPUTED_VALUE"""),39.90909090909091)</f>
        <v>39.90909091</v>
      </c>
      <c r="Z11" s="122">
        <f t="shared" ref="Z11:Z14" si="5">if(X11=0,"",X11/W11)</f>
        <v>-0.5823969643</v>
      </c>
    </row>
    <row r="12">
      <c r="Z12" s="122">
        <f t="shared" si="5"/>
        <v>-0.8359122798</v>
      </c>
    </row>
    <row r="13">
      <c r="Z13" s="122">
        <f t="shared" si="5"/>
        <v>-0.7490216162</v>
      </c>
    </row>
    <row r="14">
      <c r="N14" s="123" t="s">
        <v>87</v>
      </c>
      <c r="O14" s="123" t="s">
        <v>158</v>
      </c>
      <c r="P14" s="123" t="s">
        <v>151</v>
      </c>
      <c r="Q14" s="123" t="s">
        <v>157</v>
      </c>
      <c r="R14" s="123" t="s">
        <v>166</v>
      </c>
      <c r="Z14" s="122">
        <f t="shared" si="5"/>
        <v>-0.6625600606</v>
      </c>
    </row>
    <row r="15">
      <c r="N15" s="124">
        <f t="shared" ref="N15:N75" si="6">if(L15=0,"",M15/L15)</f>
        <v>14.89772727</v>
      </c>
      <c r="O15" s="125">
        <f t="shared" ref="O15:O75" si="7">if(H15=0,"",M15/H15)</f>
        <v>1.63875</v>
      </c>
      <c r="P15" s="126">
        <f t="shared" ref="P15:P75" si="8">if(I15=0,"",L15/I15)</f>
        <v>0.1955555556</v>
      </c>
      <c r="Q15" s="125">
        <f t="shared" ref="Q15:Q75" si="9">if(H15=0,"",K15/H15)</f>
        <v>1.74875</v>
      </c>
      <c r="R15" s="127">
        <f t="shared" ref="R15:R75" si="10">if(I15=0,"",H15/I15)</f>
        <v>1.777777778</v>
      </c>
    </row>
    <row r="16">
      <c r="N16" s="124">
        <f t="shared" si="6"/>
        <v>4.865102639</v>
      </c>
      <c r="O16" s="125">
        <f t="shared" si="7"/>
        <v>0.5351612903</v>
      </c>
      <c r="P16" s="126">
        <f t="shared" si="8"/>
        <v>0.5683333333</v>
      </c>
      <c r="Q16" s="125">
        <f t="shared" si="9"/>
        <v>0.6451612903</v>
      </c>
      <c r="R16" s="127">
        <f t="shared" si="10"/>
        <v>5.166666667</v>
      </c>
    </row>
    <row r="17">
      <c r="N17" s="124">
        <f t="shared" si="6"/>
        <v>2.14229249</v>
      </c>
      <c r="O17" s="125">
        <f t="shared" si="7"/>
        <v>0.2356521739</v>
      </c>
      <c r="P17" s="126">
        <f t="shared" si="8"/>
        <v>1.012</v>
      </c>
      <c r="Q17" s="125">
        <f t="shared" si="9"/>
        <v>0.3456521739</v>
      </c>
      <c r="R17" s="127">
        <f t="shared" si="10"/>
        <v>9.2</v>
      </c>
      <c r="T17" s="111" t="s">
        <v>154</v>
      </c>
      <c r="U17" s="111" t="s">
        <v>155</v>
      </c>
      <c r="V17" s="111" t="s">
        <v>140</v>
      </c>
      <c r="W17" s="111" t="s">
        <v>156</v>
      </c>
      <c r="X17" s="111" t="s">
        <v>149</v>
      </c>
      <c r="Y17" s="111" t="s">
        <v>138</v>
      </c>
      <c r="Z17" s="59" t="s">
        <v>87</v>
      </c>
    </row>
    <row r="18">
      <c r="N18" s="124">
        <f t="shared" si="6"/>
        <v>2.272727273</v>
      </c>
      <c r="O18" s="125">
        <f t="shared" si="7"/>
        <v>0.25</v>
      </c>
      <c r="P18" s="126">
        <f t="shared" si="8"/>
        <v>1.466666667</v>
      </c>
      <c r="Q18" s="125">
        <f t="shared" si="9"/>
        <v>0.36</v>
      </c>
      <c r="R18" s="127">
        <f t="shared" si="10"/>
        <v>13.33333333</v>
      </c>
      <c r="T18" s="111" t="s">
        <v>133</v>
      </c>
      <c r="U18" s="111">
        <v>833.0</v>
      </c>
      <c r="V18" s="121">
        <v>77.75</v>
      </c>
      <c r="W18" s="60">
        <v>485.3893000000028</v>
      </c>
      <c r="X18" s="121">
        <v>-407.63930000000147</v>
      </c>
      <c r="Y18" s="111">
        <v>27.0</v>
      </c>
      <c r="Z18" s="122">
        <f t="shared" ref="Z18:Z20" si="11">if(X18=0,"",X18/W18)</f>
        <v>-0.8398192956</v>
      </c>
    </row>
    <row r="19">
      <c r="N19" s="124">
        <f t="shared" si="6"/>
        <v>1.595744681</v>
      </c>
      <c r="O19" s="125">
        <f t="shared" si="7"/>
        <v>0.1755319149</v>
      </c>
      <c r="P19" s="126">
        <f t="shared" si="8"/>
        <v>0.8616666667</v>
      </c>
      <c r="Q19" s="125">
        <f t="shared" si="9"/>
        <v>0.2855319149</v>
      </c>
      <c r="R19" s="127">
        <f t="shared" si="10"/>
        <v>7.833333333</v>
      </c>
      <c r="T19" s="111" t="s">
        <v>175</v>
      </c>
      <c r="U19" s="111">
        <v>144.0</v>
      </c>
      <c r="V19" s="121">
        <v>21.73</v>
      </c>
      <c r="W19" s="60">
        <v>104.93999999999984</v>
      </c>
      <c r="X19" s="121">
        <v>-83.20999999999997</v>
      </c>
      <c r="Y19" s="111">
        <v>4.0</v>
      </c>
      <c r="Z19" s="122">
        <f t="shared" si="11"/>
        <v>-0.7929292929</v>
      </c>
    </row>
    <row r="20">
      <c r="N20" s="124">
        <f t="shared" si="6"/>
        <v>7.090909091</v>
      </c>
      <c r="O20" s="125">
        <f t="shared" si="7"/>
        <v>0.78</v>
      </c>
      <c r="P20" s="126">
        <f t="shared" si="8"/>
        <v>0.88</v>
      </c>
      <c r="Q20" s="125">
        <f t="shared" si="9"/>
        <v>0.89</v>
      </c>
      <c r="R20" s="127">
        <f t="shared" si="10"/>
        <v>8</v>
      </c>
      <c r="T20" s="111" t="s">
        <v>181</v>
      </c>
      <c r="U20" s="111">
        <v>415.0</v>
      </c>
      <c r="V20" s="121">
        <v>101.15899999999999</v>
      </c>
      <c r="W20" s="60">
        <v>45.64999999999982</v>
      </c>
      <c r="X20" s="121">
        <v>55.509000000000086</v>
      </c>
      <c r="Y20" s="111">
        <v>37.0</v>
      </c>
      <c r="Z20" s="122">
        <f t="shared" si="11"/>
        <v>1.215969332</v>
      </c>
    </row>
    <row r="21">
      <c r="N21" s="124">
        <f t="shared" si="6"/>
        <v>7.181818182</v>
      </c>
      <c r="O21" s="125">
        <f t="shared" si="7"/>
        <v>0.79</v>
      </c>
      <c r="P21" s="126">
        <f t="shared" si="8"/>
        <v>0.55</v>
      </c>
      <c r="Q21" s="125">
        <f t="shared" si="9"/>
        <v>0.9</v>
      </c>
      <c r="R21" s="127">
        <f t="shared" si="10"/>
        <v>5</v>
      </c>
    </row>
    <row r="22">
      <c r="N22" s="124">
        <f t="shared" si="6"/>
        <v>2.984848485</v>
      </c>
      <c r="O22" s="125">
        <f t="shared" si="7"/>
        <v>0.3283333333</v>
      </c>
      <c r="P22" s="126">
        <f t="shared" si="8"/>
        <v>0.33</v>
      </c>
      <c r="Q22" s="125">
        <f t="shared" si="9"/>
        <v>0.4383333333</v>
      </c>
      <c r="R22" s="127">
        <f t="shared" si="10"/>
        <v>3</v>
      </c>
    </row>
    <row r="23">
      <c r="N23" s="124">
        <f t="shared" si="6"/>
        <v>3.090909091</v>
      </c>
      <c r="O23" s="125">
        <f t="shared" si="7"/>
        <v>0.34</v>
      </c>
      <c r="P23" s="126">
        <f t="shared" si="8"/>
        <v>0.88</v>
      </c>
      <c r="Q23" s="125">
        <f t="shared" si="9"/>
        <v>0.45</v>
      </c>
      <c r="R23" s="127">
        <f t="shared" si="10"/>
        <v>8</v>
      </c>
    </row>
    <row r="24">
      <c r="N24" s="124">
        <f t="shared" si="6"/>
        <v>0.8181818182</v>
      </c>
      <c r="O24" s="125">
        <f t="shared" si="7"/>
        <v>0.09</v>
      </c>
      <c r="P24" s="126">
        <f t="shared" si="8"/>
        <v>0.55</v>
      </c>
      <c r="Q24" s="125">
        <f t="shared" si="9"/>
        <v>0.2</v>
      </c>
      <c r="R24" s="127">
        <f t="shared" si="10"/>
        <v>5</v>
      </c>
    </row>
    <row r="25">
      <c r="N25" s="124">
        <f t="shared" si="6"/>
        <v>0.1818181818</v>
      </c>
      <c r="O25" s="125">
        <f t="shared" si="7"/>
        <v>0.02</v>
      </c>
      <c r="P25" s="126">
        <f t="shared" si="8"/>
        <v>0.88</v>
      </c>
      <c r="Q25" s="125">
        <f t="shared" si="9"/>
        <v>0.13</v>
      </c>
      <c r="R25" s="127">
        <f t="shared" si="10"/>
        <v>8</v>
      </c>
    </row>
    <row r="26">
      <c r="N26" s="124">
        <f t="shared" si="6"/>
        <v>-0.1866028708</v>
      </c>
      <c r="O26" s="125">
        <f t="shared" si="7"/>
        <v>-0.02052631579</v>
      </c>
      <c r="P26" s="126">
        <f t="shared" si="8"/>
        <v>2.09</v>
      </c>
      <c r="Q26" s="125">
        <f t="shared" si="9"/>
        <v>0.08947368421</v>
      </c>
      <c r="R26" s="127">
        <f t="shared" si="10"/>
        <v>19</v>
      </c>
    </row>
    <row r="27">
      <c r="N27" s="124">
        <f t="shared" si="6"/>
        <v>-1</v>
      </c>
      <c r="O27" s="125">
        <f t="shared" si="7"/>
        <v>-0.11</v>
      </c>
      <c r="P27" s="128" t="str">
        <f t="shared" si="8"/>
        <v/>
      </c>
      <c r="Q27" s="125">
        <f t="shared" si="9"/>
        <v>0</v>
      </c>
      <c r="R27" s="127" t="str">
        <f t="shared" si="10"/>
        <v/>
      </c>
    </row>
    <row r="28">
      <c r="N28" s="124">
        <f t="shared" si="6"/>
        <v>-1</v>
      </c>
      <c r="O28" s="125">
        <f t="shared" si="7"/>
        <v>-0.11</v>
      </c>
      <c r="P28" s="128" t="str">
        <f t="shared" si="8"/>
        <v/>
      </c>
      <c r="Q28" s="125">
        <f t="shared" si="9"/>
        <v>0</v>
      </c>
      <c r="R28" s="127" t="str">
        <f t="shared" si="10"/>
        <v/>
      </c>
    </row>
    <row r="29">
      <c r="N29" s="124">
        <f t="shared" si="6"/>
        <v>-1</v>
      </c>
      <c r="O29" s="125">
        <f t="shared" si="7"/>
        <v>-0.11</v>
      </c>
      <c r="P29" s="128" t="str">
        <f t="shared" si="8"/>
        <v/>
      </c>
      <c r="Q29" s="125">
        <f t="shared" si="9"/>
        <v>0</v>
      </c>
      <c r="R29" s="127" t="str">
        <f t="shared" si="10"/>
        <v/>
      </c>
    </row>
    <row r="30">
      <c r="N30" s="124">
        <f t="shared" si="6"/>
        <v>-1</v>
      </c>
      <c r="O30" s="125">
        <f t="shared" si="7"/>
        <v>-0.11</v>
      </c>
      <c r="P30" s="128" t="str">
        <f t="shared" si="8"/>
        <v/>
      </c>
      <c r="Q30" s="125">
        <f t="shared" si="9"/>
        <v>0</v>
      </c>
      <c r="R30" s="127" t="str">
        <f t="shared" si="10"/>
        <v/>
      </c>
    </row>
    <row r="31">
      <c r="N31" s="124">
        <f t="shared" si="6"/>
        <v>-1</v>
      </c>
      <c r="O31" s="125">
        <f t="shared" si="7"/>
        <v>-0.11</v>
      </c>
      <c r="P31" s="128" t="str">
        <f t="shared" si="8"/>
        <v/>
      </c>
      <c r="Q31" s="125">
        <f t="shared" si="9"/>
        <v>0</v>
      </c>
      <c r="R31" s="127" t="str">
        <f t="shared" si="10"/>
        <v/>
      </c>
    </row>
    <row r="32">
      <c r="B32" s="112"/>
      <c r="N32" s="124">
        <f t="shared" si="6"/>
        <v>-1</v>
      </c>
      <c r="O32" s="125">
        <f t="shared" si="7"/>
        <v>-0.11</v>
      </c>
      <c r="P32" s="128" t="str">
        <f t="shared" si="8"/>
        <v/>
      </c>
      <c r="Q32" s="125">
        <f t="shared" si="9"/>
        <v>0</v>
      </c>
      <c r="R32" s="127" t="str">
        <f t="shared" si="10"/>
        <v/>
      </c>
    </row>
    <row r="33">
      <c r="N33" s="124">
        <f t="shared" si="6"/>
        <v>-1</v>
      </c>
      <c r="O33" s="125">
        <f t="shared" si="7"/>
        <v>-0.11</v>
      </c>
      <c r="P33" s="128" t="str">
        <f t="shared" si="8"/>
        <v/>
      </c>
      <c r="Q33" s="125">
        <f t="shared" si="9"/>
        <v>0</v>
      </c>
      <c r="R33" s="127" t="str">
        <f t="shared" si="10"/>
        <v/>
      </c>
    </row>
    <row r="34">
      <c r="N34" s="124">
        <f t="shared" si="6"/>
        <v>-1</v>
      </c>
      <c r="O34" s="125">
        <f t="shared" si="7"/>
        <v>-0.11</v>
      </c>
      <c r="P34" s="128" t="str">
        <f t="shared" si="8"/>
        <v/>
      </c>
      <c r="Q34" s="125">
        <f t="shared" si="9"/>
        <v>0</v>
      </c>
      <c r="R34" s="127" t="str">
        <f t="shared" si="10"/>
        <v/>
      </c>
    </row>
    <row r="35">
      <c r="N35" s="124">
        <f t="shared" si="6"/>
        <v>-1</v>
      </c>
      <c r="O35" s="125">
        <f t="shared" si="7"/>
        <v>-0.11</v>
      </c>
      <c r="P35" s="128" t="str">
        <f t="shared" si="8"/>
        <v/>
      </c>
      <c r="Q35" s="125">
        <f t="shared" si="9"/>
        <v>0</v>
      </c>
      <c r="R35" s="127" t="str">
        <f t="shared" si="10"/>
        <v/>
      </c>
    </row>
    <row r="36">
      <c r="N36" s="124">
        <f t="shared" si="6"/>
        <v>-1</v>
      </c>
      <c r="O36" s="125">
        <f t="shared" si="7"/>
        <v>-0.11</v>
      </c>
      <c r="P36" s="128" t="str">
        <f t="shared" si="8"/>
        <v/>
      </c>
      <c r="Q36" s="125">
        <f t="shared" si="9"/>
        <v>0</v>
      </c>
      <c r="R36" s="127" t="str">
        <f t="shared" si="10"/>
        <v/>
      </c>
    </row>
    <row r="37">
      <c r="N37" s="124">
        <f t="shared" si="6"/>
        <v>-1</v>
      </c>
      <c r="O37" s="125">
        <f t="shared" si="7"/>
        <v>-0.11</v>
      </c>
      <c r="P37" s="128" t="str">
        <f t="shared" si="8"/>
        <v/>
      </c>
      <c r="Q37" s="125">
        <f t="shared" si="9"/>
        <v>0</v>
      </c>
      <c r="R37" s="127" t="str">
        <f t="shared" si="10"/>
        <v/>
      </c>
    </row>
    <row r="38">
      <c r="N38" s="124">
        <f t="shared" si="6"/>
        <v>-1</v>
      </c>
      <c r="O38" s="125">
        <f t="shared" si="7"/>
        <v>-0.11</v>
      </c>
      <c r="P38" s="128" t="str">
        <f t="shared" si="8"/>
        <v/>
      </c>
      <c r="Q38" s="125">
        <f t="shared" si="9"/>
        <v>0</v>
      </c>
      <c r="R38" s="127" t="str">
        <f t="shared" si="10"/>
        <v/>
      </c>
    </row>
    <row r="39">
      <c r="N39" s="124">
        <f t="shared" si="6"/>
        <v>-1</v>
      </c>
      <c r="O39" s="125">
        <f t="shared" si="7"/>
        <v>-0.11</v>
      </c>
      <c r="P39" s="128" t="str">
        <f t="shared" si="8"/>
        <v/>
      </c>
      <c r="Q39" s="125">
        <f t="shared" si="9"/>
        <v>0</v>
      </c>
      <c r="R39" s="127" t="str">
        <f t="shared" si="10"/>
        <v/>
      </c>
    </row>
    <row r="40">
      <c r="N40" s="124">
        <f t="shared" si="6"/>
        <v>-1</v>
      </c>
      <c r="O40" s="125">
        <f t="shared" si="7"/>
        <v>-0.11</v>
      </c>
      <c r="P40" s="128" t="str">
        <f t="shared" si="8"/>
        <v/>
      </c>
      <c r="Q40" s="125">
        <f t="shared" si="9"/>
        <v>0</v>
      </c>
      <c r="R40" s="127" t="str">
        <f t="shared" si="10"/>
        <v/>
      </c>
    </row>
    <row r="41">
      <c r="N41" s="124">
        <f t="shared" si="6"/>
        <v>-1</v>
      </c>
      <c r="O41" s="125">
        <f t="shared" si="7"/>
        <v>-0.11</v>
      </c>
      <c r="P41" s="128" t="str">
        <f t="shared" si="8"/>
        <v/>
      </c>
      <c r="Q41" s="125">
        <f t="shared" si="9"/>
        <v>0</v>
      </c>
      <c r="R41" s="127" t="str">
        <f t="shared" si="10"/>
        <v/>
      </c>
    </row>
    <row r="42">
      <c r="N42" s="124">
        <f t="shared" si="6"/>
        <v>-1</v>
      </c>
      <c r="O42" s="125">
        <f t="shared" si="7"/>
        <v>-0.11</v>
      </c>
      <c r="P42" s="128" t="str">
        <f t="shared" si="8"/>
        <v/>
      </c>
      <c r="Q42" s="125">
        <f t="shared" si="9"/>
        <v>0</v>
      </c>
      <c r="R42" s="127" t="str">
        <f t="shared" si="10"/>
        <v/>
      </c>
    </row>
    <row r="43">
      <c r="N43" s="124">
        <f t="shared" si="6"/>
        <v>-1</v>
      </c>
      <c r="O43" s="125">
        <f t="shared" si="7"/>
        <v>-0.11</v>
      </c>
      <c r="P43" s="128" t="str">
        <f t="shared" si="8"/>
        <v/>
      </c>
      <c r="Q43" s="125">
        <f t="shared" si="9"/>
        <v>0</v>
      </c>
      <c r="R43" s="127" t="str">
        <f t="shared" si="10"/>
        <v/>
      </c>
    </row>
    <row r="44">
      <c r="N44" s="124">
        <f t="shared" si="6"/>
        <v>-1</v>
      </c>
      <c r="O44" s="125">
        <f t="shared" si="7"/>
        <v>-0.11</v>
      </c>
      <c r="P44" s="128" t="str">
        <f t="shared" si="8"/>
        <v/>
      </c>
      <c r="Q44" s="125">
        <f t="shared" si="9"/>
        <v>0</v>
      </c>
      <c r="R44" s="127" t="str">
        <f t="shared" si="10"/>
        <v/>
      </c>
    </row>
    <row r="45">
      <c r="N45" s="124">
        <f t="shared" si="6"/>
        <v>-1</v>
      </c>
      <c r="O45" s="125">
        <f t="shared" si="7"/>
        <v>-0.11</v>
      </c>
      <c r="P45" s="128" t="str">
        <f t="shared" si="8"/>
        <v/>
      </c>
      <c r="Q45" s="125">
        <f t="shared" si="9"/>
        <v>0</v>
      </c>
      <c r="R45" s="127" t="str">
        <f t="shared" si="10"/>
        <v/>
      </c>
    </row>
    <row r="46">
      <c r="N46" s="124">
        <f t="shared" si="6"/>
        <v>-1</v>
      </c>
      <c r="O46" s="125">
        <f t="shared" si="7"/>
        <v>-0.11</v>
      </c>
      <c r="P46" s="128" t="str">
        <f t="shared" si="8"/>
        <v/>
      </c>
      <c r="Q46" s="125">
        <f t="shared" si="9"/>
        <v>0</v>
      </c>
      <c r="R46" s="127" t="str">
        <f t="shared" si="10"/>
        <v/>
      </c>
    </row>
    <row r="47">
      <c r="N47" s="124">
        <f t="shared" si="6"/>
        <v>-1</v>
      </c>
      <c r="O47" s="125">
        <f t="shared" si="7"/>
        <v>-0.11</v>
      </c>
      <c r="P47" s="128" t="str">
        <f t="shared" si="8"/>
        <v/>
      </c>
      <c r="Q47" s="125">
        <f t="shared" si="9"/>
        <v>0</v>
      </c>
      <c r="R47" s="127" t="str">
        <f t="shared" si="10"/>
        <v/>
      </c>
    </row>
    <row r="48">
      <c r="N48" s="124">
        <f t="shared" si="6"/>
        <v>-1</v>
      </c>
      <c r="O48" s="125">
        <f t="shared" si="7"/>
        <v>-0.11</v>
      </c>
      <c r="P48" s="128" t="str">
        <f t="shared" si="8"/>
        <v/>
      </c>
      <c r="Q48" s="125">
        <f t="shared" si="9"/>
        <v>0</v>
      </c>
      <c r="R48" s="127" t="str">
        <f t="shared" si="10"/>
        <v/>
      </c>
    </row>
    <row r="49">
      <c r="N49" s="124">
        <f t="shared" si="6"/>
        <v>-1</v>
      </c>
      <c r="O49" s="125">
        <f t="shared" si="7"/>
        <v>-0.11</v>
      </c>
      <c r="P49" s="128" t="str">
        <f t="shared" si="8"/>
        <v/>
      </c>
      <c r="Q49" s="125">
        <f t="shared" si="9"/>
        <v>0</v>
      </c>
      <c r="R49" s="127" t="str">
        <f t="shared" si="10"/>
        <v/>
      </c>
    </row>
    <row r="50">
      <c r="N50" s="124">
        <f t="shared" si="6"/>
        <v>-0.4103194103</v>
      </c>
      <c r="O50" s="125">
        <f t="shared" si="7"/>
        <v>-0.04513513514</v>
      </c>
      <c r="P50" s="126">
        <f t="shared" si="8"/>
        <v>2.035</v>
      </c>
      <c r="Q50" s="125">
        <f t="shared" si="9"/>
        <v>0.06486486486</v>
      </c>
      <c r="R50" s="127">
        <f t="shared" si="10"/>
        <v>18.5</v>
      </c>
    </row>
    <row r="51">
      <c r="N51" s="124">
        <f t="shared" si="6"/>
        <v>-1</v>
      </c>
      <c r="O51" s="125">
        <f t="shared" si="7"/>
        <v>-0.11</v>
      </c>
      <c r="P51" s="128" t="str">
        <f t="shared" si="8"/>
        <v/>
      </c>
      <c r="Q51" s="125">
        <f t="shared" si="9"/>
        <v>0</v>
      </c>
      <c r="R51" s="127" t="str">
        <f t="shared" si="10"/>
        <v/>
      </c>
    </row>
    <row r="52">
      <c r="N52" s="124">
        <f t="shared" si="6"/>
        <v>-0.3686868687</v>
      </c>
      <c r="O52" s="125">
        <f t="shared" si="7"/>
        <v>-0.04055555556</v>
      </c>
      <c r="P52" s="126">
        <f t="shared" si="8"/>
        <v>5.94</v>
      </c>
      <c r="Q52" s="125">
        <f t="shared" si="9"/>
        <v>0.06944444444</v>
      </c>
      <c r="R52" s="127">
        <f t="shared" si="10"/>
        <v>54</v>
      </c>
    </row>
    <row r="53">
      <c r="N53" s="124">
        <f t="shared" si="6"/>
        <v>-1</v>
      </c>
      <c r="O53" s="125">
        <f t="shared" si="7"/>
        <v>-0.11</v>
      </c>
      <c r="P53" s="128" t="str">
        <f t="shared" si="8"/>
        <v/>
      </c>
      <c r="Q53" s="125">
        <f t="shared" si="9"/>
        <v>0</v>
      </c>
      <c r="R53" s="127" t="str">
        <f t="shared" si="10"/>
        <v/>
      </c>
    </row>
    <row r="54">
      <c r="N54" s="124">
        <f t="shared" si="6"/>
        <v>-0.679144385</v>
      </c>
      <c r="O54" s="125">
        <f t="shared" si="7"/>
        <v>-0.07470588235</v>
      </c>
      <c r="P54" s="126">
        <f t="shared" si="8"/>
        <v>3.74</v>
      </c>
      <c r="Q54" s="125">
        <f t="shared" si="9"/>
        <v>0.03529411765</v>
      </c>
      <c r="R54" s="127">
        <f t="shared" si="10"/>
        <v>34</v>
      </c>
    </row>
    <row r="55">
      <c r="N55" s="124">
        <f t="shared" si="6"/>
        <v>-1</v>
      </c>
      <c r="O55" s="125">
        <f t="shared" si="7"/>
        <v>-0.11</v>
      </c>
      <c r="P55" s="128" t="str">
        <f t="shared" si="8"/>
        <v/>
      </c>
      <c r="Q55" s="125">
        <f t="shared" si="9"/>
        <v>0</v>
      </c>
      <c r="R55" s="127" t="str">
        <f t="shared" si="10"/>
        <v/>
      </c>
    </row>
    <row r="56">
      <c r="N56" s="124">
        <f t="shared" si="6"/>
        <v>-1</v>
      </c>
      <c r="O56" s="125">
        <f t="shared" si="7"/>
        <v>-0.11</v>
      </c>
      <c r="P56" s="128" t="str">
        <f t="shared" si="8"/>
        <v/>
      </c>
      <c r="Q56" s="125">
        <f t="shared" si="9"/>
        <v>0</v>
      </c>
      <c r="R56" s="127" t="str">
        <f t="shared" si="10"/>
        <v/>
      </c>
    </row>
    <row r="57">
      <c r="N57" s="124">
        <f t="shared" si="6"/>
        <v>-1</v>
      </c>
      <c r="O57" s="125">
        <f t="shared" si="7"/>
        <v>-1.1</v>
      </c>
      <c r="P57" s="128" t="str">
        <f t="shared" si="8"/>
        <v/>
      </c>
      <c r="Q57" s="125">
        <f t="shared" si="9"/>
        <v>0</v>
      </c>
      <c r="R57" s="127" t="str">
        <f t="shared" si="10"/>
        <v/>
      </c>
    </row>
    <row r="58">
      <c r="N58" s="124">
        <f t="shared" si="6"/>
        <v>-1</v>
      </c>
      <c r="O58" s="125">
        <f t="shared" si="7"/>
        <v>-1.1</v>
      </c>
      <c r="P58" s="128" t="str">
        <f t="shared" si="8"/>
        <v/>
      </c>
      <c r="Q58" s="125">
        <f t="shared" si="9"/>
        <v>0</v>
      </c>
      <c r="R58" s="127" t="str">
        <f t="shared" si="10"/>
        <v/>
      </c>
    </row>
    <row r="59">
      <c r="N59" s="124">
        <f t="shared" si="6"/>
        <v>-1</v>
      </c>
      <c r="O59" s="125">
        <f t="shared" si="7"/>
        <v>-0.7337</v>
      </c>
      <c r="P59" s="128" t="str">
        <f t="shared" si="8"/>
        <v/>
      </c>
      <c r="Q59" s="125">
        <f t="shared" si="9"/>
        <v>0</v>
      </c>
      <c r="R59" s="127" t="str">
        <f t="shared" si="10"/>
        <v/>
      </c>
    </row>
    <row r="60">
      <c r="N60" s="124">
        <f t="shared" si="6"/>
        <v>-1</v>
      </c>
      <c r="O60" s="125">
        <f t="shared" si="7"/>
        <v>-1.1</v>
      </c>
      <c r="P60" s="128" t="str">
        <f t="shared" si="8"/>
        <v/>
      </c>
      <c r="Q60" s="125">
        <f t="shared" si="9"/>
        <v>0</v>
      </c>
      <c r="R60" s="127" t="str">
        <f t="shared" si="10"/>
        <v/>
      </c>
    </row>
    <row r="61">
      <c r="N61" s="124">
        <f t="shared" si="6"/>
        <v>-0.4013774105</v>
      </c>
      <c r="O61" s="125">
        <f t="shared" si="7"/>
        <v>-0.4415151515</v>
      </c>
      <c r="P61" s="126">
        <f t="shared" si="8"/>
        <v>9.075</v>
      </c>
      <c r="Q61" s="125">
        <f t="shared" si="9"/>
        <v>0.6584848485</v>
      </c>
      <c r="R61" s="127">
        <f t="shared" si="10"/>
        <v>8.25</v>
      </c>
    </row>
    <row r="62">
      <c r="N62" s="124">
        <f t="shared" si="6"/>
        <v>-1</v>
      </c>
      <c r="O62" s="125">
        <f t="shared" si="7"/>
        <v>-0.7337</v>
      </c>
      <c r="P62" s="128" t="str">
        <f t="shared" si="8"/>
        <v/>
      </c>
      <c r="Q62" s="125">
        <f t="shared" si="9"/>
        <v>0</v>
      </c>
      <c r="R62" s="127" t="str">
        <f t="shared" si="10"/>
        <v/>
      </c>
    </row>
    <row r="63">
      <c r="N63" s="124">
        <f t="shared" si="6"/>
        <v>-1</v>
      </c>
      <c r="O63" s="125">
        <f t="shared" si="7"/>
        <v>-0.7337</v>
      </c>
      <c r="P63" s="128" t="str">
        <f t="shared" si="8"/>
        <v/>
      </c>
      <c r="Q63" s="125">
        <f t="shared" si="9"/>
        <v>0</v>
      </c>
      <c r="R63" s="127" t="str">
        <f t="shared" si="10"/>
        <v/>
      </c>
    </row>
    <row r="64">
      <c r="N64" s="124">
        <f t="shared" si="6"/>
        <v>-0.6061732717</v>
      </c>
      <c r="O64" s="125">
        <f t="shared" si="7"/>
        <v>-0.4366608696</v>
      </c>
      <c r="P64" s="126">
        <f t="shared" si="8"/>
        <v>11.04546667</v>
      </c>
      <c r="Q64" s="125">
        <f t="shared" si="9"/>
        <v>0.2836956522</v>
      </c>
      <c r="R64" s="127">
        <f t="shared" si="10"/>
        <v>15.33333333</v>
      </c>
    </row>
    <row r="65">
      <c r="N65" s="124">
        <f t="shared" si="6"/>
        <v>-1</v>
      </c>
      <c r="O65" s="125">
        <f t="shared" si="7"/>
        <v>-0.7337</v>
      </c>
      <c r="P65" s="128" t="str">
        <f t="shared" si="8"/>
        <v/>
      </c>
      <c r="Q65" s="125">
        <f t="shared" si="9"/>
        <v>0</v>
      </c>
      <c r="R65" s="127" t="str">
        <f t="shared" si="10"/>
        <v/>
      </c>
    </row>
    <row r="66">
      <c r="N66" s="124">
        <f t="shared" si="6"/>
        <v>-0.5065162907</v>
      </c>
      <c r="O66" s="125">
        <f t="shared" si="7"/>
        <v>-0.1723333333</v>
      </c>
      <c r="P66" s="126">
        <f t="shared" si="8"/>
        <v>3.99</v>
      </c>
      <c r="Q66" s="125">
        <f t="shared" si="9"/>
        <v>0.1678992248</v>
      </c>
      <c r="R66" s="127">
        <f t="shared" si="10"/>
        <v>11.72727273</v>
      </c>
    </row>
    <row r="67">
      <c r="N67" s="124">
        <f t="shared" si="6"/>
        <v>-0.8485602782</v>
      </c>
      <c r="O67" s="125">
        <f t="shared" si="7"/>
        <v>-0.6093575</v>
      </c>
      <c r="P67" s="126">
        <f t="shared" si="8"/>
        <v>28.7243</v>
      </c>
      <c r="Q67" s="125">
        <f t="shared" si="9"/>
        <v>0.10875</v>
      </c>
      <c r="R67" s="127">
        <f t="shared" si="10"/>
        <v>40</v>
      </c>
    </row>
    <row r="68">
      <c r="N68" s="124">
        <f t="shared" si="6"/>
        <v>-1</v>
      </c>
      <c r="O68" s="125">
        <f t="shared" si="7"/>
        <v>-0.7337</v>
      </c>
      <c r="P68" s="128" t="str">
        <f t="shared" si="8"/>
        <v/>
      </c>
      <c r="Q68" s="125">
        <f t="shared" si="9"/>
        <v>0</v>
      </c>
      <c r="R68" s="127" t="str">
        <f t="shared" si="10"/>
        <v/>
      </c>
    </row>
    <row r="69">
      <c r="N69" s="124">
        <f t="shared" si="6"/>
        <v>-0.9059251125</v>
      </c>
      <c r="O69" s="125">
        <f t="shared" si="7"/>
        <v>-0.6270088889</v>
      </c>
      <c r="P69" s="126">
        <f t="shared" si="8"/>
        <v>31.1454</v>
      </c>
      <c r="Q69" s="125">
        <f t="shared" si="9"/>
        <v>0.06511111111</v>
      </c>
      <c r="R69" s="127">
        <f t="shared" si="10"/>
        <v>45</v>
      </c>
    </row>
    <row r="70">
      <c r="N70" s="124">
        <f t="shared" si="6"/>
        <v>-0.9684848485</v>
      </c>
      <c r="O70" s="125">
        <f t="shared" si="7"/>
        <v>-1.065333333</v>
      </c>
      <c r="P70" s="126">
        <f t="shared" si="8"/>
        <v>33</v>
      </c>
      <c r="Q70" s="125">
        <f t="shared" si="9"/>
        <v>0.03466666667</v>
      </c>
      <c r="R70" s="127">
        <f t="shared" si="10"/>
        <v>30</v>
      </c>
    </row>
    <row r="71">
      <c r="N71" s="124">
        <f t="shared" si="6"/>
        <v>-1</v>
      </c>
      <c r="O71" s="125">
        <f t="shared" si="7"/>
        <v>-1.067</v>
      </c>
      <c r="P71" s="128" t="str">
        <f t="shared" si="8"/>
        <v/>
      </c>
      <c r="Q71" s="125">
        <f t="shared" si="9"/>
        <v>0</v>
      </c>
      <c r="R71" s="127" t="str">
        <f t="shared" si="10"/>
        <v/>
      </c>
    </row>
    <row r="72">
      <c r="N72" s="124">
        <f t="shared" si="6"/>
        <v>-1</v>
      </c>
      <c r="O72" s="125">
        <f t="shared" si="7"/>
        <v>-1.1</v>
      </c>
      <c r="P72" s="128" t="str">
        <f t="shared" si="8"/>
        <v/>
      </c>
      <c r="Q72" s="125">
        <f t="shared" si="9"/>
        <v>0</v>
      </c>
      <c r="R72" s="127" t="str">
        <f t="shared" si="10"/>
        <v/>
      </c>
    </row>
    <row r="73">
      <c r="N73" s="124">
        <f t="shared" si="6"/>
        <v>-1</v>
      </c>
      <c r="O73" s="125">
        <f t="shared" si="7"/>
        <v>-0.6829204082</v>
      </c>
      <c r="P73" s="128" t="str">
        <f t="shared" si="8"/>
        <v/>
      </c>
      <c r="Q73" s="125">
        <f t="shared" si="9"/>
        <v>0</v>
      </c>
      <c r="R73" s="127" t="str">
        <f t="shared" si="10"/>
        <v/>
      </c>
    </row>
    <row r="74">
      <c r="N74" s="124">
        <f t="shared" si="6"/>
        <v>-0.8090157876</v>
      </c>
      <c r="O74" s="125">
        <f t="shared" si="7"/>
        <v>-0.7122186667</v>
      </c>
      <c r="P74" s="126">
        <f t="shared" si="8"/>
        <v>16.5066</v>
      </c>
      <c r="Q74" s="125">
        <f t="shared" si="9"/>
        <v>0.1681333333</v>
      </c>
      <c r="R74" s="127">
        <f t="shared" si="10"/>
        <v>18.75</v>
      </c>
    </row>
    <row r="75">
      <c r="N75" s="124">
        <f t="shared" si="6"/>
        <v>-1</v>
      </c>
      <c r="O75" s="125">
        <f t="shared" si="7"/>
        <v>-0.8813</v>
      </c>
      <c r="P75" s="128" t="str">
        <f t="shared" si="8"/>
        <v/>
      </c>
      <c r="Q75" s="125">
        <f t="shared" si="9"/>
        <v>0</v>
      </c>
      <c r="R75" s="127" t="str">
        <f t="shared" si="10"/>
        <v/>
      </c>
    </row>
    <row r="95">
      <c r="B95" s="112"/>
    </row>
    <row r="96">
      <c r="B96" s="112"/>
    </row>
    <row r="97">
      <c r="B97" s="112"/>
    </row>
    <row r="98">
      <c r="B98" s="112"/>
    </row>
    <row r="99">
      <c r="B99" s="112"/>
    </row>
    <row r="100">
      <c r="B100" s="112"/>
    </row>
    <row r="101">
      <c r="B101" s="112"/>
    </row>
    <row r="102">
      <c r="B102" s="112"/>
    </row>
    <row r="103">
      <c r="B103" s="112"/>
    </row>
    <row r="104">
      <c r="B104" s="112"/>
    </row>
    <row r="105">
      <c r="B105" s="112"/>
    </row>
    <row r="106">
      <c r="B106" s="112"/>
    </row>
    <row r="107">
      <c r="B107" s="112"/>
    </row>
    <row r="108">
      <c r="B108" s="112"/>
    </row>
    <row r="109">
      <c r="B109" s="112"/>
    </row>
    <row r="110">
      <c r="B110" s="112"/>
    </row>
    <row r="111">
      <c r="B111" s="112"/>
    </row>
    <row r="112">
      <c r="B112" s="112"/>
    </row>
    <row r="113">
      <c r="B113" s="112"/>
    </row>
    <row r="114">
      <c r="B114" s="112"/>
    </row>
    <row r="115">
      <c r="B115" s="112"/>
    </row>
    <row r="116">
      <c r="B116" s="112"/>
    </row>
    <row r="117">
      <c r="B117" s="112"/>
    </row>
    <row r="118">
      <c r="B118" s="112"/>
    </row>
    <row r="119">
      <c r="B119" s="112"/>
    </row>
    <row r="120">
      <c r="B120" s="112"/>
    </row>
    <row r="121">
      <c r="B121" s="112"/>
    </row>
    <row r="122">
      <c r="B122" s="112"/>
    </row>
    <row r="123">
      <c r="B123" s="112"/>
    </row>
    <row r="124">
      <c r="B124" s="112"/>
    </row>
    <row r="125">
      <c r="B125" s="112"/>
    </row>
    <row r="126">
      <c r="B126" s="112"/>
    </row>
    <row r="127">
      <c r="B127" s="112"/>
    </row>
    <row r="128">
      <c r="B128" s="112"/>
    </row>
    <row r="129">
      <c r="B129" s="112"/>
    </row>
    <row r="130">
      <c r="B130" s="112"/>
    </row>
    <row r="131">
      <c r="B131" s="112"/>
    </row>
    <row r="132">
      <c r="B132" s="112"/>
    </row>
    <row r="133">
      <c r="B133" s="112"/>
    </row>
    <row r="134">
      <c r="B134" s="112"/>
    </row>
    <row r="135">
      <c r="B135" s="112"/>
    </row>
    <row r="136">
      <c r="B136" s="112"/>
    </row>
    <row r="137">
      <c r="B137" s="112"/>
    </row>
    <row r="138">
      <c r="B138" s="112"/>
    </row>
    <row r="139">
      <c r="B139" s="112"/>
    </row>
    <row r="140">
      <c r="B140" s="112"/>
    </row>
    <row r="141">
      <c r="B141" s="112"/>
    </row>
    <row r="142">
      <c r="B142" s="112"/>
    </row>
    <row r="143">
      <c r="B143" s="112"/>
    </row>
    <row r="144">
      <c r="B144" s="112"/>
    </row>
    <row r="145">
      <c r="B145" s="112"/>
    </row>
    <row r="146">
      <c r="B146" s="112"/>
    </row>
    <row r="147">
      <c r="B147" s="112"/>
    </row>
    <row r="148">
      <c r="B148" s="112"/>
    </row>
    <row r="149">
      <c r="B149" s="112"/>
    </row>
    <row r="150">
      <c r="B150" s="112"/>
    </row>
    <row r="151">
      <c r="B151" s="112"/>
    </row>
    <row r="152">
      <c r="B152" s="112"/>
    </row>
    <row r="153">
      <c r="B153" s="112"/>
    </row>
    <row r="154">
      <c r="B154" s="112"/>
    </row>
    <row r="155">
      <c r="B155" s="112"/>
    </row>
    <row r="156">
      <c r="B156" s="112"/>
    </row>
    <row r="157">
      <c r="B157" s="112"/>
    </row>
    <row r="158">
      <c r="B158" s="112"/>
    </row>
    <row r="159">
      <c r="B159" s="112"/>
    </row>
    <row r="160">
      <c r="B160" s="112"/>
    </row>
    <row r="161">
      <c r="B161" s="112"/>
    </row>
    <row r="162">
      <c r="B162" s="112"/>
    </row>
    <row r="163">
      <c r="B163" s="112"/>
    </row>
    <row r="164">
      <c r="B164" s="112"/>
    </row>
    <row r="165">
      <c r="B165" s="112"/>
    </row>
    <row r="166">
      <c r="B166" s="112"/>
    </row>
    <row r="167">
      <c r="B167" s="112"/>
    </row>
    <row r="168">
      <c r="B168" s="112"/>
    </row>
    <row r="169">
      <c r="B169" s="112"/>
    </row>
    <row r="170">
      <c r="B170" s="112"/>
    </row>
    <row r="171">
      <c r="B171" s="112"/>
    </row>
    <row r="172">
      <c r="B172" s="112"/>
    </row>
    <row r="173">
      <c r="B173" s="112"/>
    </row>
    <row r="174">
      <c r="B174" s="112"/>
    </row>
    <row r="175">
      <c r="B175" s="112"/>
    </row>
    <row r="176">
      <c r="B176" s="112"/>
    </row>
    <row r="177">
      <c r="B177" s="112"/>
    </row>
    <row r="178">
      <c r="B178" s="112"/>
    </row>
    <row r="179">
      <c r="B179" s="112"/>
    </row>
    <row r="180">
      <c r="B180" s="112"/>
    </row>
    <row r="181">
      <c r="B181" s="112"/>
    </row>
    <row r="182">
      <c r="B182" s="112"/>
    </row>
    <row r="183">
      <c r="B183" s="112"/>
    </row>
    <row r="184">
      <c r="B184" s="112"/>
    </row>
    <row r="185">
      <c r="B185" s="112"/>
    </row>
    <row r="186">
      <c r="B186" s="112"/>
    </row>
    <row r="187">
      <c r="B187" s="112"/>
    </row>
    <row r="188">
      <c r="B188" s="112"/>
    </row>
    <row r="189">
      <c r="B189" s="112"/>
    </row>
    <row r="190">
      <c r="B190" s="112"/>
    </row>
    <row r="191">
      <c r="B191" s="112"/>
    </row>
    <row r="192">
      <c r="B192" s="112"/>
    </row>
    <row r="193">
      <c r="B193" s="112"/>
    </row>
    <row r="194">
      <c r="B194" s="112"/>
    </row>
    <row r="195">
      <c r="B195" s="112"/>
    </row>
    <row r="196">
      <c r="B196" s="112"/>
    </row>
    <row r="197">
      <c r="B197" s="112"/>
    </row>
    <row r="198">
      <c r="B198" s="112"/>
    </row>
    <row r="199">
      <c r="B199" s="112"/>
    </row>
    <row r="200">
      <c r="B200" s="112"/>
    </row>
    <row r="201">
      <c r="B201" s="112"/>
    </row>
    <row r="202">
      <c r="B202" s="112"/>
    </row>
    <row r="203">
      <c r="B203" s="112"/>
    </row>
    <row r="204">
      <c r="B204" s="112"/>
    </row>
    <row r="205">
      <c r="B205" s="112"/>
    </row>
    <row r="206">
      <c r="B206" s="112"/>
    </row>
    <row r="207">
      <c r="B207" s="112"/>
    </row>
    <row r="208">
      <c r="B208" s="112"/>
    </row>
    <row r="209">
      <c r="B209" s="112"/>
    </row>
    <row r="210">
      <c r="B210" s="112"/>
    </row>
    <row r="211">
      <c r="B211" s="112"/>
    </row>
    <row r="212">
      <c r="B212" s="112"/>
    </row>
    <row r="213">
      <c r="B213" s="112"/>
    </row>
    <row r="214">
      <c r="B214" s="112"/>
    </row>
    <row r="215">
      <c r="B215" s="112"/>
    </row>
    <row r="216">
      <c r="B216" s="112"/>
    </row>
    <row r="217">
      <c r="B217" s="112"/>
    </row>
    <row r="218">
      <c r="B218" s="112"/>
    </row>
    <row r="219">
      <c r="B219" s="112"/>
    </row>
    <row r="220">
      <c r="B220" s="112"/>
    </row>
    <row r="221">
      <c r="B221" s="112"/>
    </row>
    <row r="222">
      <c r="B222" s="112"/>
    </row>
    <row r="223">
      <c r="B223" s="112"/>
    </row>
    <row r="224">
      <c r="B224" s="112"/>
    </row>
    <row r="225">
      <c r="B225" s="112"/>
    </row>
    <row r="226">
      <c r="B226" s="112"/>
    </row>
    <row r="227">
      <c r="B227" s="112"/>
    </row>
    <row r="228">
      <c r="B228" s="112"/>
    </row>
    <row r="229">
      <c r="B229" s="112"/>
    </row>
    <row r="230">
      <c r="B230" s="112"/>
    </row>
    <row r="231">
      <c r="B231" s="112"/>
    </row>
    <row r="232">
      <c r="B232" s="112"/>
    </row>
    <row r="233">
      <c r="B233" s="112"/>
    </row>
    <row r="234">
      <c r="B234" s="112"/>
    </row>
    <row r="235">
      <c r="B235" s="112"/>
    </row>
    <row r="236">
      <c r="B236" s="112"/>
    </row>
    <row r="237">
      <c r="B237" s="112"/>
    </row>
    <row r="238">
      <c r="B238" s="112"/>
    </row>
    <row r="239">
      <c r="B239" s="112"/>
    </row>
    <row r="240">
      <c r="B240" s="112"/>
    </row>
    <row r="241">
      <c r="B241" s="112"/>
    </row>
    <row r="242">
      <c r="B242" s="112"/>
    </row>
    <row r="243">
      <c r="B243" s="112"/>
    </row>
    <row r="244">
      <c r="B244" s="112"/>
    </row>
    <row r="245">
      <c r="B245" s="112"/>
    </row>
    <row r="246">
      <c r="B246" s="112"/>
    </row>
    <row r="247">
      <c r="B247" s="112"/>
    </row>
    <row r="248">
      <c r="B248" s="112"/>
    </row>
    <row r="249">
      <c r="B249" s="112"/>
    </row>
    <row r="250">
      <c r="B250" s="112"/>
    </row>
    <row r="251">
      <c r="B251" s="112"/>
    </row>
    <row r="252">
      <c r="B252" s="112"/>
    </row>
    <row r="253">
      <c r="B253" s="112"/>
    </row>
    <row r="254">
      <c r="B254" s="112"/>
    </row>
    <row r="255">
      <c r="B255" s="112"/>
    </row>
    <row r="256">
      <c r="B256" s="112"/>
    </row>
    <row r="257">
      <c r="B257" s="112"/>
    </row>
    <row r="258">
      <c r="B258" s="112"/>
    </row>
    <row r="259">
      <c r="B259" s="112"/>
    </row>
    <row r="260">
      <c r="B260" s="112"/>
    </row>
    <row r="261">
      <c r="B261" s="112"/>
    </row>
    <row r="262">
      <c r="B262" s="112"/>
    </row>
    <row r="263">
      <c r="B263" s="112"/>
    </row>
    <row r="264">
      <c r="B264" s="112"/>
    </row>
    <row r="265">
      <c r="B265" s="112"/>
    </row>
    <row r="266">
      <c r="B266" s="112"/>
    </row>
    <row r="267">
      <c r="B267" s="112"/>
    </row>
    <row r="268">
      <c r="B268" s="112"/>
    </row>
    <row r="269">
      <c r="B269" s="112"/>
    </row>
    <row r="270">
      <c r="B270" s="112"/>
    </row>
    <row r="271">
      <c r="B271" s="112"/>
    </row>
    <row r="272">
      <c r="B272" s="112"/>
    </row>
    <row r="273">
      <c r="B273" s="112"/>
    </row>
    <row r="274">
      <c r="B274" s="112"/>
    </row>
    <row r="275">
      <c r="B275" s="112"/>
    </row>
    <row r="276">
      <c r="B276" s="112"/>
    </row>
    <row r="277">
      <c r="B277" s="112"/>
    </row>
    <row r="278">
      <c r="B278" s="112"/>
    </row>
    <row r="279">
      <c r="B279" s="112"/>
    </row>
    <row r="280">
      <c r="B280" s="112"/>
    </row>
    <row r="281">
      <c r="B281" s="112"/>
    </row>
    <row r="282">
      <c r="B282" s="112"/>
    </row>
    <row r="283">
      <c r="B283" s="112"/>
    </row>
    <row r="284">
      <c r="B284" s="112"/>
    </row>
    <row r="285">
      <c r="B285" s="112"/>
    </row>
    <row r="286">
      <c r="B286" s="112"/>
    </row>
    <row r="287">
      <c r="B287" s="112"/>
    </row>
    <row r="288">
      <c r="B288" s="112"/>
    </row>
    <row r="289">
      <c r="B289" s="112"/>
    </row>
    <row r="290">
      <c r="B290" s="112"/>
    </row>
    <row r="291">
      <c r="B291" s="112"/>
    </row>
    <row r="292">
      <c r="B292" s="112"/>
    </row>
    <row r="293">
      <c r="B293" s="112"/>
    </row>
    <row r="294">
      <c r="B294" s="112"/>
    </row>
    <row r="295">
      <c r="B295" s="112"/>
    </row>
    <row r="296">
      <c r="B296" s="112"/>
    </row>
    <row r="297">
      <c r="B297" s="112"/>
    </row>
    <row r="298">
      <c r="B298" s="112"/>
    </row>
    <row r="299">
      <c r="B299" s="112"/>
    </row>
    <row r="300">
      <c r="B300" s="112"/>
    </row>
    <row r="301">
      <c r="B301" s="112"/>
    </row>
    <row r="302">
      <c r="B302" s="112"/>
    </row>
    <row r="303">
      <c r="B303" s="112"/>
    </row>
    <row r="304">
      <c r="B304" s="112"/>
    </row>
    <row r="305">
      <c r="B305" s="112"/>
    </row>
    <row r="306">
      <c r="B306" s="112"/>
    </row>
    <row r="307">
      <c r="B307" s="112"/>
    </row>
    <row r="308">
      <c r="B308" s="112"/>
    </row>
    <row r="309">
      <c r="B309" s="112"/>
    </row>
    <row r="310">
      <c r="B310" s="112"/>
    </row>
    <row r="311">
      <c r="B311" s="112"/>
    </row>
    <row r="312">
      <c r="B312" s="112"/>
    </row>
    <row r="313">
      <c r="B313" s="112"/>
    </row>
    <row r="314">
      <c r="B314" s="112"/>
    </row>
    <row r="315">
      <c r="B315" s="112"/>
    </row>
    <row r="316">
      <c r="B316" s="112"/>
    </row>
    <row r="317">
      <c r="B317" s="112"/>
    </row>
    <row r="318">
      <c r="B318" s="112"/>
    </row>
    <row r="319">
      <c r="B319" s="112"/>
    </row>
    <row r="320">
      <c r="B320" s="112"/>
    </row>
    <row r="321">
      <c r="B321" s="112"/>
    </row>
    <row r="322">
      <c r="B322" s="112"/>
    </row>
    <row r="323">
      <c r="B323" s="112"/>
    </row>
    <row r="324">
      <c r="B324" s="112"/>
    </row>
    <row r="325">
      <c r="B325" s="112"/>
    </row>
    <row r="326">
      <c r="B326" s="112"/>
    </row>
    <row r="327">
      <c r="B327" s="112"/>
    </row>
    <row r="328">
      <c r="B328" s="112"/>
    </row>
    <row r="329">
      <c r="B329" s="112"/>
    </row>
    <row r="330">
      <c r="B330" s="112"/>
    </row>
    <row r="331">
      <c r="B331" s="112"/>
    </row>
    <row r="332">
      <c r="B332" s="112"/>
    </row>
    <row r="333">
      <c r="B333" s="112"/>
    </row>
    <row r="334">
      <c r="B334" s="112"/>
    </row>
    <row r="335">
      <c r="B335" s="112"/>
    </row>
    <row r="336">
      <c r="B336" s="112"/>
    </row>
    <row r="337">
      <c r="B337" s="112"/>
    </row>
    <row r="338">
      <c r="B338" s="112"/>
    </row>
    <row r="339">
      <c r="B339" s="112"/>
    </row>
    <row r="340">
      <c r="B340" s="112"/>
    </row>
    <row r="341">
      <c r="B341" s="112"/>
    </row>
    <row r="342">
      <c r="B342" s="112"/>
    </row>
    <row r="343">
      <c r="B343" s="112"/>
    </row>
    <row r="344">
      <c r="B344" s="112"/>
    </row>
    <row r="345">
      <c r="B345" s="112"/>
    </row>
    <row r="346">
      <c r="B346" s="112"/>
    </row>
    <row r="347">
      <c r="B347" s="112"/>
    </row>
    <row r="348">
      <c r="B348" s="112"/>
    </row>
    <row r="349">
      <c r="B349" s="112"/>
    </row>
    <row r="350">
      <c r="B350" s="112"/>
    </row>
    <row r="351">
      <c r="B351" s="112"/>
    </row>
    <row r="352">
      <c r="B352" s="112"/>
    </row>
    <row r="353">
      <c r="B353" s="112"/>
    </row>
    <row r="354">
      <c r="B354" s="112"/>
    </row>
    <row r="355">
      <c r="B355" s="112"/>
    </row>
    <row r="356">
      <c r="B356" s="112"/>
    </row>
    <row r="357">
      <c r="B357" s="112"/>
    </row>
    <row r="358">
      <c r="B358" s="112"/>
    </row>
    <row r="359">
      <c r="B359" s="112"/>
    </row>
    <row r="360">
      <c r="B360" s="112"/>
    </row>
    <row r="361">
      <c r="B361" s="112"/>
    </row>
    <row r="362">
      <c r="B362" s="112"/>
    </row>
    <row r="363">
      <c r="B363" s="112"/>
    </row>
    <row r="364">
      <c r="B364" s="112"/>
    </row>
    <row r="365">
      <c r="B365" s="112"/>
    </row>
    <row r="366">
      <c r="B366" s="112"/>
    </row>
    <row r="367">
      <c r="B367" s="112"/>
    </row>
    <row r="368">
      <c r="B368" s="112"/>
    </row>
    <row r="369">
      <c r="B369" s="112"/>
    </row>
    <row r="370">
      <c r="B370" s="112"/>
    </row>
    <row r="371">
      <c r="B371" s="112"/>
    </row>
    <row r="372">
      <c r="B372" s="112"/>
    </row>
    <row r="373">
      <c r="B373" s="112"/>
    </row>
    <row r="374">
      <c r="B374" s="112"/>
    </row>
    <row r="375">
      <c r="B375" s="112"/>
    </row>
    <row r="376">
      <c r="B376" s="112"/>
    </row>
    <row r="377">
      <c r="B377" s="112"/>
    </row>
    <row r="378">
      <c r="B378" s="112"/>
    </row>
    <row r="379">
      <c r="B379" s="112"/>
    </row>
    <row r="380">
      <c r="B380" s="112"/>
    </row>
    <row r="381">
      <c r="B381" s="112"/>
    </row>
    <row r="382">
      <c r="B382" s="112"/>
    </row>
    <row r="383">
      <c r="B383" s="112"/>
    </row>
    <row r="384">
      <c r="B384" s="112"/>
    </row>
    <row r="385">
      <c r="B385" s="112"/>
    </row>
    <row r="386">
      <c r="B386" s="112"/>
    </row>
    <row r="387">
      <c r="B387" s="112"/>
    </row>
    <row r="388">
      <c r="B388" s="112"/>
    </row>
    <row r="389">
      <c r="B389" s="112"/>
    </row>
    <row r="390">
      <c r="B390" s="112"/>
    </row>
    <row r="391">
      <c r="B391" s="112"/>
    </row>
    <row r="392">
      <c r="B392" s="112"/>
    </row>
    <row r="393">
      <c r="B393" s="112"/>
    </row>
    <row r="394">
      <c r="B394" s="112"/>
    </row>
    <row r="395">
      <c r="B395" s="112"/>
    </row>
    <row r="396">
      <c r="B396" s="112"/>
    </row>
    <row r="397">
      <c r="B397" s="112"/>
    </row>
    <row r="398">
      <c r="B398" s="112"/>
    </row>
    <row r="399">
      <c r="B399" s="112"/>
    </row>
    <row r="400">
      <c r="B400" s="112"/>
    </row>
    <row r="401">
      <c r="B401" s="112"/>
    </row>
    <row r="402">
      <c r="B402" s="112"/>
    </row>
    <row r="403">
      <c r="B403" s="112"/>
    </row>
    <row r="404">
      <c r="B404" s="112"/>
    </row>
    <row r="405">
      <c r="B405" s="112"/>
    </row>
    <row r="406">
      <c r="B406" s="112"/>
    </row>
    <row r="407">
      <c r="B407" s="112"/>
    </row>
    <row r="408">
      <c r="B408" s="112"/>
    </row>
    <row r="409">
      <c r="B409" s="112"/>
    </row>
    <row r="410">
      <c r="B410" s="112"/>
    </row>
    <row r="411">
      <c r="B411" s="112"/>
    </row>
    <row r="412">
      <c r="B412" s="112"/>
    </row>
    <row r="413">
      <c r="B413" s="112"/>
    </row>
    <row r="414">
      <c r="B414" s="112"/>
    </row>
    <row r="415">
      <c r="B415" s="112"/>
    </row>
    <row r="416">
      <c r="B416" s="112"/>
    </row>
    <row r="417">
      <c r="B417" s="112"/>
    </row>
    <row r="418">
      <c r="B418" s="112"/>
    </row>
    <row r="419">
      <c r="B419" s="112"/>
    </row>
    <row r="420">
      <c r="B420" s="112"/>
    </row>
    <row r="421">
      <c r="B421" s="112"/>
    </row>
    <row r="422">
      <c r="B422" s="112"/>
    </row>
    <row r="423">
      <c r="B423" s="112"/>
    </row>
    <row r="424">
      <c r="B424" s="112"/>
    </row>
    <row r="425">
      <c r="B425" s="112"/>
    </row>
    <row r="426">
      <c r="B426" s="112"/>
    </row>
    <row r="427">
      <c r="B427" s="112"/>
    </row>
    <row r="428">
      <c r="B428" s="112"/>
    </row>
    <row r="429">
      <c r="B429" s="112"/>
    </row>
    <row r="430">
      <c r="B430" s="112"/>
    </row>
    <row r="431">
      <c r="B431" s="112"/>
    </row>
    <row r="432">
      <c r="B432" s="112"/>
    </row>
    <row r="433">
      <c r="B433" s="112"/>
    </row>
    <row r="434">
      <c r="B434" s="112"/>
    </row>
    <row r="435">
      <c r="B435" s="112"/>
    </row>
    <row r="436">
      <c r="B436" s="112"/>
    </row>
    <row r="437">
      <c r="B437" s="112"/>
    </row>
    <row r="438">
      <c r="B438" s="112"/>
    </row>
    <row r="439">
      <c r="B439" s="112"/>
    </row>
    <row r="440">
      <c r="B440" s="112"/>
    </row>
    <row r="441">
      <c r="B441" s="112"/>
    </row>
    <row r="442">
      <c r="B442" s="112"/>
    </row>
    <row r="443">
      <c r="B443" s="112"/>
    </row>
    <row r="444">
      <c r="B444" s="112"/>
    </row>
    <row r="445">
      <c r="B445" s="112"/>
    </row>
    <row r="446">
      <c r="B446" s="112"/>
    </row>
    <row r="447">
      <c r="B447" s="112"/>
    </row>
    <row r="448">
      <c r="B448" s="112"/>
    </row>
    <row r="449">
      <c r="B449" s="112"/>
    </row>
    <row r="450">
      <c r="B450" s="112"/>
    </row>
    <row r="451">
      <c r="B451" s="112"/>
    </row>
    <row r="452">
      <c r="B452" s="112"/>
    </row>
    <row r="453">
      <c r="B453" s="112"/>
    </row>
    <row r="454">
      <c r="B454" s="112"/>
    </row>
    <row r="455">
      <c r="B455" s="112"/>
    </row>
    <row r="456">
      <c r="B456" s="112"/>
    </row>
    <row r="457">
      <c r="B457" s="112"/>
    </row>
    <row r="458">
      <c r="B458" s="112"/>
    </row>
    <row r="459">
      <c r="B459" s="112"/>
    </row>
    <row r="460">
      <c r="B460" s="112"/>
    </row>
    <row r="461">
      <c r="B461" s="112"/>
    </row>
    <row r="462">
      <c r="B462" s="112"/>
    </row>
    <row r="463">
      <c r="B463" s="112"/>
    </row>
    <row r="464">
      <c r="B464" s="112"/>
    </row>
    <row r="465">
      <c r="B465" s="112"/>
    </row>
    <row r="466">
      <c r="B466" s="112"/>
    </row>
    <row r="467">
      <c r="B467" s="112"/>
    </row>
    <row r="468">
      <c r="B468" s="112"/>
    </row>
    <row r="469">
      <c r="B469" s="112"/>
    </row>
    <row r="470">
      <c r="B470" s="112"/>
    </row>
    <row r="471">
      <c r="B471" s="112"/>
    </row>
    <row r="472">
      <c r="B472" s="112"/>
    </row>
    <row r="473">
      <c r="B473" s="112"/>
    </row>
    <row r="474">
      <c r="B474" s="112"/>
    </row>
    <row r="475">
      <c r="B475" s="112"/>
    </row>
    <row r="476">
      <c r="B476" s="112"/>
    </row>
    <row r="477">
      <c r="B477" s="112"/>
    </row>
    <row r="478">
      <c r="B478" s="112"/>
    </row>
    <row r="479">
      <c r="B479" s="112"/>
    </row>
    <row r="480">
      <c r="B480" s="112"/>
    </row>
    <row r="481">
      <c r="B481" s="112"/>
    </row>
    <row r="482">
      <c r="B482" s="112"/>
    </row>
    <row r="483">
      <c r="B483" s="112"/>
    </row>
    <row r="484">
      <c r="B484" s="112"/>
    </row>
    <row r="485">
      <c r="B485" s="112"/>
    </row>
    <row r="486">
      <c r="B486" s="112"/>
    </row>
    <row r="487">
      <c r="B487" s="112"/>
    </row>
    <row r="488">
      <c r="B488" s="112"/>
    </row>
    <row r="489">
      <c r="B489" s="112"/>
    </row>
    <row r="490">
      <c r="B490" s="112"/>
    </row>
    <row r="491">
      <c r="B491" s="112"/>
    </row>
    <row r="492">
      <c r="B492" s="112"/>
    </row>
    <row r="493">
      <c r="B493" s="112"/>
    </row>
    <row r="494">
      <c r="B494" s="112"/>
    </row>
    <row r="495">
      <c r="B495" s="112"/>
    </row>
    <row r="496">
      <c r="B496" s="112"/>
    </row>
    <row r="497">
      <c r="B497" s="112"/>
    </row>
    <row r="498">
      <c r="B498" s="112"/>
    </row>
    <row r="499">
      <c r="B499" s="112"/>
    </row>
    <row r="500">
      <c r="B500" s="112"/>
    </row>
    <row r="501">
      <c r="B501" s="112"/>
    </row>
    <row r="502">
      <c r="B502" s="112"/>
    </row>
    <row r="503">
      <c r="B503" s="112"/>
    </row>
    <row r="504">
      <c r="B504" s="112"/>
    </row>
    <row r="505">
      <c r="B505" s="112"/>
    </row>
    <row r="506">
      <c r="B506" s="112"/>
    </row>
    <row r="507">
      <c r="B507" s="112"/>
    </row>
    <row r="508">
      <c r="B508" s="112"/>
    </row>
    <row r="509">
      <c r="B509" s="112"/>
    </row>
    <row r="510">
      <c r="B510" s="112"/>
    </row>
    <row r="511">
      <c r="B511" s="112"/>
    </row>
    <row r="512">
      <c r="B512" s="112"/>
    </row>
    <row r="513">
      <c r="B513" s="112"/>
    </row>
    <row r="514">
      <c r="B514" s="112"/>
    </row>
    <row r="515">
      <c r="B515" s="112"/>
    </row>
    <row r="516">
      <c r="B516" s="112"/>
    </row>
    <row r="517">
      <c r="B517" s="112"/>
    </row>
    <row r="518">
      <c r="B518" s="112"/>
    </row>
    <row r="519">
      <c r="B519" s="112"/>
    </row>
    <row r="520">
      <c r="B520" s="112"/>
    </row>
    <row r="521">
      <c r="B521" s="112"/>
    </row>
    <row r="522">
      <c r="B522" s="112"/>
    </row>
    <row r="523">
      <c r="B523" s="112"/>
    </row>
    <row r="524">
      <c r="B524" s="112"/>
    </row>
    <row r="525">
      <c r="B525" s="112"/>
    </row>
    <row r="526">
      <c r="B526" s="112"/>
    </row>
    <row r="527">
      <c r="B527" s="112"/>
    </row>
    <row r="528">
      <c r="B528" s="112"/>
    </row>
    <row r="529">
      <c r="B529" s="112"/>
    </row>
    <row r="530">
      <c r="B530" s="112"/>
    </row>
    <row r="531">
      <c r="B531" s="112"/>
    </row>
    <row r="532">
      <c r="B532" s="112"/>
    </row>
    <row r="533">
      <c r="B533" s="112"/>
    </row>
    <row r="534">
      <c r="B534" s="112"/>
    </row>
    <row r="535">
      <c r="B535" s="112"/>
    </row>
    <row r="536">
      <c r="B536" s="112"/>
    </row>
    <row r="537">
      <c r="B537" s="112"/>
    </row>
    <row r="538">
      <c r="B538" s="112"/>
    </row>
    <row r="539">
      <c r="B539" s="112"/>
    </row>
    <row r="540">
      <c r="B540" s="112"/>
    </row>
    <row r="541">
      <c r="B541" s="112"/>
    </row>
    <row r="542">
      <c r="B542" s="112"/>
    </row>
    <row r="543">
      <c r="B543" s="112"/>
    </row>
    <row r="544">
      <c r="B544" s="112"/>
    </row>
    <row r="545">
      <c r="B545" s="112"/>
    </row>
    <row r="546">
      <c r="B546" s="112"/>
    </row>
    <row r="547">
      <c r="B547" s="112"/>
    </row>
    <row r="548">
      <c r="B548" s="112"/>
    </row>
    <row r="549">
      <c r="B549" s="112"/>
    </row>
    <row r="550">
      <c r="B550" s="112"/>
    </row>
    <row r="551">
      <c r="B551" s="112"/>
    </row>
    <row r="552">
      <c r="B552" s="112"/>
    </row>
    <row r="553">
      <c r="B553" s="112"/>
    </row>
    <row r="554">
      <c r="B554" s="112"/>
    </row>
    <row r="555">
      <c r="B555" s="112"/>
    </row>
    <row r="556">
      <c r="B556" s="112"/>
    </row>
    <row r="557">
      <c r="B557" s="112"/>
    </row>
    <row r="558">
      <c r="B558" s="112"/>
    </row>
    <row r="559">
      <c r="B559" s="112"/>
    </row>
    <row r="560">
      <c r="B560" s="112"/>
    </row>
    <row r="561">
      <c r="B561" s="112"/>
    </row>
    <row r="562">
      <c r="B562" s="112"/>
    </row>
    <row r="563">
      <c r="B563" s="112"/>
    </row>
    <row r="564">
      <c r="B564" s="112"/>
    </row>
    <row r="565">
      <c r="B565" s="112"/>
    </row>
    <row r="566">
      <c r="B566" s="112"/>
    </row>
    <row r="567">
      <c r="B567" s="112"/>
    </row>
    <row r="568">
      <c r="B568" s="112"/>
    </row>
    <row r="569">
      <c r="B569" s="112"/>
    </row>
    <row r="570">
      <c r="B570" s="112"/>
    </row>
    <row r="571">
      <c r="B571" s="112"/>
    </row>
    <row r="572">
      <c r="B572" s="112"/>
    </row>
    <row r="573">
      <c r="B573" s="112"/>
    </row>
    <row r="574">
      <c r="B574" s="112"/>
    </row>
    <row r="575">
      <c r="B575" s="112"/>
    </row>
    <row r="576">
      <c r="B576" s="112"/>
    </row>
    <row r="577">
      <c r="B577" s="112"/>
    </row>
    <row r="578">
      <c r="B578" s="112"/>
    </row>
    <row r="579">
      <c r="B579" s="112"/>
    </row>
    <row r="580">
      <c r="B580" s="112"/>
    </row>
    <row r="581">
      <c r="B581" s="112"/>
    </row>
    <row r="582">
      <c r="B582" s="112"/>
    </row>
    <row r="583">
      <c r="B583" s="112"/>
    </row>
    <row r="584">
      <c r="B584" s="112"/>
    </row>
    <row r="585">
      <c r="B585" s="112"/>
    </row>
    <row r="586">
      <c r="B586" s="112"/>
    </row>
    <row r="587">
      <c r="B587" s="112"/>
    </row>
    <row r="588">
      <c r="B588" s="112"/>
    </row>
    <row r="589">
      <c r="B589" s="112"/>
    </row>
    <row r="590">
      <c r="B590" s="112"/>
    </row>
    <row r="591">
      <c r="B591" s="112"/>
    </row>
    <row r="592">
      <c r="B592" s="112"/>
    </row>
    <row r="593">
      <c r="B593" s="112"/>
    </row>
    <row r="594">
      <c r="B594" s="112"/>
    </row>
    <row r="595">
      <c r="B595" s="112"/>
    </row>
    <row r="596">
      <c r="B596" s="112"/>
    </row>
    <row r="597">
      <c r="B597" s="112"/>
    </row>
    <row r="598">
      <c r="B598" s="112"/>
    </row>
    <row r="599">
      <c r="B599" s="112"/>
    </row>
    <row r="600">
      <c r="B600" s="112"/>
    </row>
    <row r="601">
      <c r="B601" s="112"/>
    </row>
    <row r="602">
      <c r="B602" s="112"/>
    </row>
    <row r="603">
      <c r="B603" s="112"/>
    </row>
    <row r="604">
      <c r="B604" s="112"/>
    </row>
    <row r="605">
      <c r="B605" s="112"/>
    </row>
    <row r="606">
      <c r="B606" s="112"/>
    </row>
    <row r="607">
      <c r="B607" s="112"/>
    </row>
    <row r="608">
      <c r="B608" s="112"/>
    </row>
    <row r="609">
      <c r="B609" s="112"/>
    </row>
    <row r="610">
      <c r="B610" s="112"/>
    </row>
    <row r="611">
      <c r="B611" s="112"/>
    </row>
    <row r="612">
      <c r="B612" s="112"/>
    </row>
    <row r="613">
      <c r="B613" s="112"/>
    </row>
    <row r="614">
      <c r="B614" s="112"/>
    </row>
    <row r="615">
      <c r="B615" s="112"/>
    </row>
    <row r="616">
      <c r="B616" s="112"/>
    </row>
    <row r="617">
      <c r="B617" s="112"/>
    </row>
    <row r="618">
      <c r="B618" s="112"/>
    </row>
    <row r="619">
      <c r="B619" s="112"/>
    </row>
    <row r="620">
      <c r="B620" s="112"/>
    </row>
    <row r="621">
      <c r="B621" s="112"/>
    </row>
    <row r="622">
      <c r="B622" s="112"/>
    </row>
    <row r="623">
      <c r="B623" s="112"/>
    </row>
    <row r="624">
      <c r="B624" s="112"/>
    </row>
    <row r="625">
      <c r="B625" s="112"/>
    </row>
    <row r="626">
      <c r="B626" s="112"/>
    </row>
    <row r="627">
      <c r="B627" s="112"/>
    </row>
    <row r="628">
      <c r="B628" s="112"/>
    </row>
    <row r="629">
      <c r="B629" s="112"/>
    </row>
    <row r="630">
      <c r="B630" s="112"/>
    </row>
    <row r="631">
      <c r="B631" s="112"/>
    </row>
    <row r="632">
      <c r="B632" s="112"/>
    </row>
    <row r="633">
      <c r="B633" s="112"/>
    </row>
    <row r="634">
      <c r="B634" s="112"/>
    </row>
    <row r="635">
      <c r="B635" s="112"/>
    </row>
    <row r="636">
      <c r="B636" s="112"/>
    </row>
    <row r="637">
      <c r="B637" s="112"/>
    </row>
    <row r="638">
      <c r="B638" s="112"/>
    </row>
    <row r="639">
      <c r="B639" s="112"/>
    </row>
    <row r="640">
      <c r="B640" s="112"/>
    </row>
    <row r="641">
      <c r="B641" s="112"/>
    </row>
    <row r="642">
      <c r="B642" s="112"/>
    </row>
    <row r="643">
      <c r="B643" s="112"/>
    </row>
    <row r="644">
      <c r="B644" s="112"/>
    </row>
    <row r="645">
      <c r="B645" s="112"/>
    </row>
    <row r="646">
      <c r="B646" s="112"/>
    </row>
    <row r="647">
      <c r="B647" s="112"/>
    </row>
    <row r="648">
      <c r="B648" s="112"/>
    </row>
    <row r="649">
      <c r="B649" s="112"/>
    </row>
    <row r="650">
      <c r="B650" s="112"/>
    </row>
    <row r="651">
      <c r="B651" s="112"/>
    </row>
    <row r="652">
      <c r="B652" s="112"/>
    </row>
    <row r="653">
      <c r="B653" s="112"/>
    </row>
    <row r="654">
      <c r="B654" s="112"/>
    </row>
    <row r="655">
      <c r="B655" s="112"/>
    </row>
    <row r="656">
      <c r="B656" s="112"/>
    </row>
    <row r="657">
      <c r="B657" s="112"/>
    </row>
    <row r="658">
      <c r="B658" s="112"/>
    </row>
    <row r="659">
      <c r="B659" s="112"/>
    </row>
    <row r="660">
      <c r="B660" s="112"/>
    </row>
    <row r="661">
      <c r="B661" s="112"/>
    </row>
    <row r="662">
      <c r="B662" s="112"/>
    </row>
    <row r="663">
      <c r="B663" s="112"/>
    </row>
    <row r="664">
      <c r="B664" s="112"/>
    </row>
    <row r="665">
      <c r="B665" s="112"/>
    </row>
    <row r="666">
      <c r="B666" s="112"/>
    </row>
    <row r="667">
      <c r="B667" s="112"/>
    </row>
    <row r="668">
      <c r="B668" s="112"/>
    </row>
    <row r="669">
      <c r="B669" s="112"/>
    </row>
    <row r="670">
      <c r="B670" s="112"/>
    </row>
    <row r="671">
      <c r="B671" s="112"/>
    </row>
    <row r="672">
      <c r="B672" s="112"/>
    </row>
    <row r="673">
      <c r="B673" s="112"/>
    </row>
    <row r="674">
      <c r="B674" s="112"/>
    </row>
    <row r="675">
      <c r="B675" s="112"/>
    </row>
    <row r="676">
      <c r="B676" s="112"/>
    </row>
    <row r="677">
      <c r="B677" s="112"/>
    </row>
    <row r="678">
      <c r="B678" s="112"/>
    </row>
    <row r="679">
      <c r="B679" s="112"/>
    </row>
    <row r="680">
      <c r="B680" s="112"/>
    </row>
    <row r="681">
      <c r="B681" s="112"/>
    </row>
    <row r="682">
      <c r="B682" s="112"/>
    </row>
    <row r="683">
      <c r="B683" s="112"/>
    </row>
    <row r="684">
      <c r="B684" s="112"/>
    </row>
    <row r="685">
      <c r="B685" s="112"/>
    </row>
    <row r="686">
      <c r="B686" s="112"/>
    </row>
    <row r="687">
      <c r="B687" s="112"/>
    </row>
    <row r="688">
      <c r="B688" s="112"/>
    </row>
    <row r="689">
      <c r="B689" s="112"/>
    </row>
    <row r="690">
      <c r="B690" s="112"/>
    </row>
    <row r="691">
      <c r="B691" s="112"/>
    </row>
    <row r="692">
      <c r="B692" s="112"/>
    </row>
    <row r="693">
      <c r="B693" s="112"/>
    </row>
    <row r="694">
      <c r="B694" s="112"/>
    </row>
    <row r="695">
      <c r="B695" s="112"/>
    </row>
    <row r="696">
      <c r="B696" s="112"/>
    </row>
    <row r="697">
      <c r="B697" s="112"/>
    </row>
    <row r="698">
      <c r="B698" s="112"/>
    </row>
    <row r="699">
      <c r="B699" s="112"/>
    </row>
    <row r="700">
      <c r="B700" s="112"/>
    </row>
    <row r="701">
      <c r="B701" s="112"/>
    </row>
    <row r="702">
      <c r="B702" s="112"/>
    </row>
    <row r="703">
      <c r="B703" s="112"/>
    </row>
    <row r="704">
      <c r="B704" s="112"/>
    </row>
    <row r="705">
      <c r="B705" s="112"/>
    </row>
    <row r="706">
      <c r="B706" s="112"/>
    </row>
    <row r="707">
      <c r="B707" s="112"/>
    </row>
    <row r="708">
      <c r="B708" s="112"/>
    </row>
    <row r="709">
      <c r="B709" s="112"/>
    </row>
    <row r="710">
      <c r="B710" s="112"/>
    </row>
    <row r="711">
      <c r="B711" s="112"/>
    </row>
    <row r="712">
      <c r="B712" s="112"/>
    </row>
    <row r="713">
      <c r="B713" s="112"/>
    </row>
    <row r="714">
      <c r="B714" s="112"/>
    </row>
    <row r="715">
      <c r="B715" s="112"/>
    </row>
    <row r="716">
      <c r="B716" s="112"/>
    </row>
    <row r="717">
      <c r="B717" s="112"/>
    </row>
    <row r="718">
      <c r="B718" s="112"/>
    </row>
    <row r="719">
      <c r="B719" s="112"/>
    </row>
    <row r="720">
      <c r="B720" s="112"/>
    </row>
    <row r="721">
      <c r="B721" s="112"/>
    </row>
    <row r="722">
      <c r="B722" s="112"/>
    </row>
    <row r="723">
      <c r="B723" s="112"/>
    </row>
    <row r="724">
      <c r="B724" s="112"/>
    </row>
    <row r="725">
      <c r="B725" s="112"/>
    </row>
    <row r="726">
      <c r="B726" s="112"/>
    </row>
    <row r="727">
      <c r="B727" s="112"/>
    </row>
    <row r="728">
      <c r="B728" s="112"/>
    </row>
    <row r="729">
      <c r="B729" s="112"/>
    </row>
    <row r="730">
      <c r="B730" s="112"/>
    </row>
    <row r="731">
      <c r="B731" s="112"/>
    </row>
    <row r="732">
      <c r="B732" s="112"/>
    </row>
    <row r="733">
      <c r="B733" s="112"/>
    </row>
    <row r="734">
      <c r="B734" s="112"/>
    </row>
    <row r="735">
      <c r="B735" s="112"/>
    </row>
    <row r="736">
      <c r="B736" s="112"/>
    </row>
    <row r="737">
      <c r="B737" s="112"/>
    </row>
    <row r="738">
      <c r="B738" s="112"/>
    </row>
    <row r="739">
      <c r="B739" s="112"/>
    </row>
    <row r="740">
      <c r="B740" s="112"/>
    </row>
    <row r="741">
      <c r="B741" s="112"/>
    </row>
    <row r="742">
      <c r="B742" s="112"/>
    </row>
    <row r="743">
      <c r="B743" s="112"/>
    </row>
    <row r="744">
      <c r="B744" s="112"/>
    </row>
    <row r="745">
      <c r="B745" s="112"/>
    </row>
    <row r="746">
      <c r="B746" s="112"/>
    </row>
    <row r="747">
      <c r="B747" s="112"/>
    </row>
    <row r="748">
      <c r="B748" s="112"/>
    </row>
    <row r="749">
      <c r="B749" s="112"/>
    </row>
    <row r="750">
      <c r="B750" s="112"/>
    </row>
    <row r="751">
      <c r="B751" s="112"/>
    </row>
    <row r="752">
      <c r="B752" s="112"/>
    </row>
    <row r="753">
      <c r="B753" s="112"/>
    </row>
    <row r="754">
      <c r="B754" s="112"/>
    </row>
    <row r="755">
      <c r="B755" s="112"/>
    </row>
    <row r="756">
      <c r="B756" s="112"/>
    </row>
    <row r="757">
      <c r="B757" s="112"/>
    </row>
    <row r="758">
      <c r="B758" s="112"/>
    </row>
    <row r="759">
      <c r="B759" s="112"/>
    </row>
    <row r="760">
      <c r="B760" s="112"/>
    </row>
    <row r="761">
      <c r="B761" s="112"/>
    </row>
    <row r="762">
      <c r="B762" s="112"/>
    </row>
    <row r="763">
      <c r="B763" s="112"/>
    </row>
    <row r="764">
      <c r="B764" s="112"/>
    </row>
    <row r="765">
      <c r="B765" s="112"/>
    </row>
    <row r="766">
      <c r="B766" s="112"/>
    </row>
    <row r="767">
      <c r="B767" s="112"/>
    </row>
    <row r="768">
      <c r="B768" s="112"/>
    </row>
    <row r="769">
      <c r="B769" s="112"/>
    </row>
    <row r="770">
      <c r="B770" s="112"/>
    </row>
    <row r="771">
      <c r="B771" s="112"/>
    </row>
    <row r="772">
      <c r="B772" s="112"/>
    </row>
    <row r="773">
      <c r="B773" s="112"/>
    </row>
    <row r="774">
      <c r="B774" s="112"/>
    </row>
    <row r="775">
      <c r="B775" s="112"/>
    </row>
    <row r="776">
      <c r="B776" s="112"/>
    </row>
    <row r="777">
      <c r="B777" s="112"/>
    </row>
    <row r="778">
      <c r="B778" s="112"/>
    </row>
    <row r="779">
      <c r="B779" s="112"/>
    </row>
    <row r="780">
      <c r="B780" s="112"/>
    </row>
    <row r="781">
      <c r="B781" s="112"/>
    </row>
    <row r="782">
      <c r="B782" s="112"/>
    </row>
    <row r="783">
      <c r="B783" s="112"/>
    </row>
    <row r="784">
      <c r="B784" s="112"/>
    </row>
    <row r="785">
      <c r="B785" s="112"/>
    </row>
    <row r="786">
      <c r="B786" s="112"/>
    </row>
    <row r="787">
      <c r="B787" s="112"/>
    </row>
    <row r="788">
      <c r="B788" s="112"/>
    </row>
    <row r="789">
      <c r="B789" s="112"/>
    </row>
    <row r="790">
      <c r="B790" s="112"/>
    </row>
    <row r="791">
      <c r="B791" s="112"/>
    </row>
    <row r="792">
      <c r="B792" s="112"/>
    </row>
    <row r="793">
      <c r="B793" s="112"/>
    </row>
    <row r="794">
      <c r="B794" s="112"/>
    </row>
    <row r="795">
      <c r="B795" s="112"/>
    </row>
    <row r="796">
      <c r="B796" s="112"/>
    </row>
    <row r="797">
      <c r="B797" s="112"/>
    </row>
    <row r="798">
      <c r="B798" s="112"/>
    </row>
    <row r="799">
      <c r="B799" s="112"/>
    </row>
    <row r="800">
      <c r="B800" s="112"/>
    </row>
    <row r="801">
      <c r="B801" s="112"/>
    </row>
    <row r="802">
      <c r="B802" s="112"/>
    </row>
    <row r="803">
      <c r="B803" s="112"/>
    </row>
    <row r="804">
      <c r="B804" s="112"/>
    </row>
    <row r="805">
      <c r="B805" s="112"/>
    </row>
    <row r="806">
      <c r="B806" s="112"/>
    </row>
    <row r="807">
      <c r="B807" s="112"/>
    </row>
    <row r="808">
      <c r="B808" s="112"/>
    </row>
    <row r="809">
      <c r="B809" s="112"/>
    </row>
    <row r="810">
      <c r="B810" s="112"/>
    </row>
    <row r="811">
      <c r="B811" s="112"/>
    </row>
    <row r="812">
      <c r="B812" s="112"/>
    </row>
    <row r="813">
      <c r="B813" s="112"/>
    </row>
    <row r="814">
      <c r="B814" s="112"/>
    </row>
    <row r="815">
      <c r="B815" s="112"/>
    </row>
    <row r="816">
      <c r="B816" s="112"/>
    </row>
    <row r="817">
      <c r="B817" s="112"/>
    </row>
    <row r="818">
      <c r="B818" s="112"/>
    </row>
    <row r="819">
      <c r="B819" s="112"/>
    </row>
    <row r="820">
      <c r="B820" s="112"/>
    </row>
    <row r="821">
      <c r="B821" s="112"/>
    </row>
    <row r="822">
      <c r="B822" s="112"/>
    </row>
    <row r="823">
      <c r="B823" s="112"/>
    </row>
    <row r="824">
      <c r="B824" s="112"/>
    </row>
    <row r="825">
      <c r="B825" s="112"/>
    </row>
    <row r="826">
      <c r="B826" s="112"/>
    </row>
    <row r="827">
      <c r="B827" s="112"/>
    </row>
    <row r="828">
      <c r="B828" s="112"/>
    </row>
    <row r="829">
      <c r="B829" s="112"/>
    </row>
    <row r="830">
      <c r="B830" s="112"/>
    </row>
    <row r="831">
      <c r="B831" s="112"/>
    </row>
    <row r="832">
      <c r="B832" s="112"/>
    </row>
    <row r="833">
      <c r="B833" s="112"/>
    </row>
    <row r="834">
      <c r="B834" s="112"/>
    </row>
    <row r="835">
      <c r="B835" s="112"/>
    </row>
    <row r="836">
      <c r="B836" s="112"/>
    </row>
    <row r="837">
      <c r="B837" s="112"/>
    </row>
    <row r="838">
      <c r="B838" s="112"/>
    </row>
    <row r="839">
      <c r="B839" s="112"/>
    </row>
    <row r="840">
      <c r="B840" s="112"/>
    </row>
    <row r="841">
      <c r="B841" s="112"/>
    </row>
    <row r="842">
      <c r="B842" s="112"/>
    </row>
    <row r="843">
      <c r="B843" s="112"/>
    </row>
    <row r="844">
      <c r="B844" s="112"/>
    </row>
    <row r="845">
      <c r="B845" s="112"/>
    </row>
    <row r="846">
      <c r="B846" s="112"/>
    </row>
    <row r="847">
      <c r="B847" s="112"/>
    </row>
    <row r="848">
      <c r="B848" s="112"/>
    </row>
    <row r="849">
      <c r="B849" s="112"/>
    </row>
    <row r="850">
      <c r="B850" s="112"/>
    </row>
    <row r="851">
      <c r="B851" s="112"/>
    </row>
    <row r="852">
      <c r="B852" s="112"/>
    </row>
    <row r="853">
      <c r="B853" s="112"/>
    </row>
    <row r="854">
      <c r="B854" s="112"/>
    </row>
    <row r="855">
      <c r="B855" s="112"/>
    </row>
    <row r="856">
      <c r="B856" s="112"/>
    </row>
    <row r="857">
      <c r="B857" s="112"/>
    </row>
    <row r="858">
      <c r="B858" s="112"/>
    </row>
    <row r="859">
      <c r="B859" s="112"/>
    </row>
    <row r="860">
      <c r="B860" s="112"/>
    </row>
    <row r="861">
      <c r="B861" s="112"/>
    </row>
    <row r="862">
      <c r="B862" s="112"/>
    </row>
    <row r="863">
      <c r="B863" s="112"/>
    </row>
    <row r="864">
      <c r="B864" s="112"/>
    </row>
    <row r="865">
      <c r="B865" s="112"/>
    </row>
    <row r="866">
      <c r="B866" s="112"/>
    </row>
    <row r="867">
      <c r="B867" s="112"/>
    </row>
    <row r="868">
      <c r="B868" s="112"/>
    </row>
    <row r="869">
      <c r="B869" s="112"/>
    </row>
    <row r="870">
      <c r="B870" s="112"/>
    </row>
    <row r="871">
      <c r="B871" s="112"/>
    </row>
    <row r="872">
      <c r="B872" s="112"/>
    </row>
    <row r="873">
      <c r="B873" s="112"/>
    </row>
    <row r="874">
      <c r="B874" s="112"/>
    </row>
    <row r="875">
      <c r="B875" s="112"/>
    </row>
    <row r="876">
      <c r="B876" s="112"/>
    </row>
    <row r="877">
      <c r="B877" s="112"/>
    </row>
    <row r="878">
      <c r="B878" s="112"/>
    </row>
    <row r="879">
      <c r="B879" s="112"/>
    </row>
    <row r="880">
      <c r="B880" s="112"/>
    </row>
    <row r="881">
      <c r="B881" s="112"/>
    </row>
    <row r="882">
      <c r="B882" s="112"/>
    </row>
    <row r="883">
      <c r="B883" s="112"/>
    </row>
    <row r="884">
      <c r="B884" s="112"/>
    </row>
    <row r="885">
      <c r="B885" s="112"/>
    </row>
    <row r="886">
      <c r="B886" s="112"/>
    </row>
    <row r="887">
      <c r="B887" s="112"/>
    </row>
    <row r="888">
      <c r="B888" s="112"/>
    </row>
    <row r="889">
      <c r="B889" s="112"/>
    </row>
    <row r="890">
      <c r="B890" s="112"/>
    </row>
    <row r="891">
      <c r="B891" s="112"/>
    </row>
    <row r="892">
      <c r="B892" s="112"/>
    </row>
    <row r="893">
      <c r="B893" s="112"/>
    </row>
    <row r="894">
      <c r="B894" s="112"/>
    </row>
    <row r="895">
      <c r="B895" s="112"/>
    </row>
    <row r="896">
      <c r="B896" s="112"/>
    </row>
    <row r="897">
      <c r="B897" s="112"/>
    </row>
    <row r="898">
      <c r="B898" s="112"/>
    </row>
    <row r="899">
      <c r="B899" s="112"/>
    </row>
    <row r="900">
      <c r="B900" s="112"/>
    </row>
    <row r="901">
      <c r="B901" s="112"/>
    </row>
    <row r="902">
      <c r="B902" s="112"/>
    </row>
    <row r="903">
      <c r="B903" s="112"/>
    </row>
    <row r="904">
      <c r="B904" s="112"/>
    </row>
    <row r="905">
      <c r="B905" s="112"/>
    </row>
    <row r="906">
      <c r="B906" s="112"/>
    </row>
    <row r="907">
      <c r="B907" s="112"/>
    </row>
    <row r="908">
      <c r="B908" s="112"/>
    </row>
    <row r="909">
      <c r="B909" s="112"/>
    </row>
    <row r="910">
      <c r="B910" s="112"/>
    </row>
    <row r="911">
      <c r="B911" s="112"/>
    </row>
    <row r="912">
      <c r="B912" s="112"/>
    </row>
    <row r="913">
      <c r="B913" s="112"/>
    </row>
    <row r="914">
      <c r="B914" s="112"/>
    </row>
    <row r="915">
      <c r="B915" s="112"/>
    </row>
    <row r="916">
      <c r="B916" s="112"/>
    </row>
    <row r="917">
      <c r="B917" s="112"/>
    </row>
    <row r="918">
      <c r="B918" s="112"/>
    </row>
    <row r="919">
      <c r="B919" s="112"/>
    </row>
    <row r="920">
      <c r="B920" s="112"/>
    </row>
    <row r="921">
      <c r="B921" s="112"/>
    </row>
    <row r="922">
      <c r="B922" s="112"/>
    </row>
    <row r="923">
      <c r="B923" s="112"/>
    </row>
    <row r="924">
      <c r="B924" s="112"/>
    </row>
    <row r="925">
      <c r="B925" s="112"/>
    </row>
    <row r="926">
      <c r="B926" s="112"/>
    </row>
    <row r="927">
      <c r="B927" s="112"/>
    </row>
    <row r="928">
      <c r="B928" s="112"/>
    </row>
    <row r="929">
      <c r="B929" s="112"/>
    </row>
    <row r="930">
      <c r="B930" s="112"/>
    </row>
    <row r="931">
      <c r="B931" s="112"/>
    </row>
    <row r="932">
      <c r="B932" s="112"/>
    </row>
    <row r="933">
      <c r="B933" s="112"/>
    </row>
    <row r="934">
      <c r="B934" s="112"/>
    </row>
    <row r="935">
      <c r="B935" s="112"/>
    </row>
    <row r="936">
      <c r="B936" s="112"/>
    </row>
    <row r="937">
      <c r="B937" s="112"/>
    </row>
    <row r="938">
      <c r="B938" s="112"/>
    </row>
    <row r="939">
      <c r="B939" s="112"/>
    </row>
    <row r="940">
      <c r="B940" s="112"/>
    </row>
    <row r="941">
      <c r="B941" s="112"/>
    </row>
    <row r="942">
      <c r="B942" s="112"/>
    </row>
    <row r="943">
      <c r="B943" s="112"/>
    </row>
    <row r="944">
      <c r="B944" s="112"/>
    </row>
    <row r="945">
      <c r="B945" s="112"/>
    </row>
    <row r="946">
      <c r="B946" s="112"/>
    </row>
    <row r="947">
      <c r="B947" s="112"/>
    </row>
    <row r="948">
      <c r="B948" s="112"/>
    </row>
    <row r="949">
      <c r="B949" s="112"/>
    </row>
    <row r="950">
      <c r="B950" s="112"/>
    </row>
    <row r="951">
      <c r="B951" s="112"/>
    </row>
    <row r="952">
      <c r="B952" s="112"/>
    </row>
    <row r="953">
      <c r="B953" s="112"/>
    </row>
    <row r="954">
      <c r="B954" s="112"/>
    </row>
    <row r="955">
      <c r="B955" s="112"/>
    </row>
    <row r="956">
      <c r="B956" s="112"/>
    </row>
    <row r="957">
      <c r="B957" s="112"/>
    </row>
    <row r="958">
      <c r="B958" s="112"/>
    </row>
    <row r="959">
      <c r="B959" s="112"/>
    </row>
    <row r="960">
      <c r="B960" s="112"/>
    </row>
    <row r="961">
      <c r="B961" s="112"/>
    </row>
    <row r="962">
      <c r="B962" s="112"/>
    </row>
    <row r="963">
      <c r="B963" s="112"/>
    </row>
    <row r="964">
      <c r="B964" s="112"/>
    </row>
    <row r="965">
      <c r="B965" s="112"/>
    </row>
    <row r="966">
      <c r="B966" s="112"/>
    </row>
    <row r="967">
      <c r="B967" s="112"/>
    </row>
    <row r="968">
      <c r="B968" s="112"/>
    </row>
    <row r="969">
      <c r="B969" s="112"/>
    </row>
    <row r="970">
      <c r="B970" s="112"/>
    </row>
    <row r="971">
      <c r="B971" s="112"/>
    </row>
    <row r="972">
      <c r="B972" s="112"/>
    </row>
    <row r="973">
      <c r="B973" s="112"/>
    </row>
    <row r="974">
      <c r="B974" s="112"/>
    </row>
    <row r="975">
      <c r="B975" s="112"/>
    </row>
    <row r="976">
      <c r="B976" s="112"/>
    </row>
    <row r="977">
      <c r="B977" s="112"/>
    </row>
    <row r="978">
      <c r="B978" s="112"/>
    </row>
    <row r="979">
      <c r="B979" s="112"/>
    </row>
    <row r="980">
      <c r="B980" s="112"/>
    </row>
    <row r="981">
      <c r="B981" s="112"/>
    </row>
    <row r="982">
      <c r="B982" s="112"/>
    </row>
    <row r="983">
      <c r="B983" s="112"/>
    </row>
    <row r="984">
      <c r="B984" s="112"/>
    </row>
    <row r="985">
      <c r="B985" s="112"/>
    </row>
    <row r="986">
      <c r="B986" s="112"/>
    </row>
    <row r="987">
      <c r="B987" s="112"/>
    </row>
    <row r="988">
      <c r="B988" s="112"/>
    </row>
    <row r="989">
      <c r="B989" s="112"/>
    </row>
    <row r="990">
      <c r="B990" s="112"/>
    </row>
    <row r="991">
      <c r="B991" s="112"/>
    </row>
    <row r="992">
      <c r="B992" s="112"/>
    </row>
    <row r="993">
      <c r="B993" s="112"/>
    </row>
    <row r="994">
      <c r="B994" s="112"/>
    </row>
    <row r="995">
      <c r="B995" s="112"/>
    </row>
    <row r="996">
      <c r="B996" s="112"/>
    </row>
    <row r="997">
      <c r="B997" s="112"/>
    </row>
    <row r="998">
      <c r="B998" s="112"/>
    </row>
    <row r="999">
      <c r="B999" s="112"/>
    </row>
    <row r="1000">
      <c r="B1000" s="112"/>
    </row>
    <row r="1001">
      <c r="B1001" s="112"/>
    </row>
    <row r="1002">
      <c r="B1002" s="112"/>
    </row>
    <row r="1003">
      <c r="B1003" s="112"/>
    </row>
    <row r="1004">
      <c r="B1004" s="112"/>
    </row>
    <row r="1005">
      <c r="B1005" s="112"/>
    </row>
    <row r="1006">
      <c r="B1006" s="112"/>
    </row>
    <row r="1007">
      <c r="B1007" s="112"/>
    </row>
    <row r="1008">
      <c r="B1008" s="112"/>
    </row>
    <row r="1009">
      <c r="B1009" s="112"/>
    </row>
    <row r="1010">
      <c r="B1010" s="112"/>
    </row>
    <row r="1011">
      <c r="B1011" s="112"/>
    </row>
    <row r="1012">
      <c r="B1012" s="112"/>
    </row>
    <row r="1013">
      <c r="B1013" s="112"/>
    </row>
    <row r="1014">
      <c r="B1014" s="112"/>
    </row>
    <row r="1015">
      <c r="B1015" s="112"/>
    </row>
    <row r="1016">
      <c r="B1016" s="112"/>
    </row>
    <row r="1017">
      <c r="B1017" s="112"/>
    </row>
    <row r="1018">
      <c r="B1018" s="112"/>
    </row>
    <row r="1019">
      <c r="B1019" s="112"/>
    </row>
    <row r="1020">
      <c r="B1020" s="112"/>
    </row>
    <row r="1021">
      <c r="B1021" s="112"/>
    </row>
    <row r="1022">
      <c r="B1022" s="112"/>
    </row>
    <row r="1023">
      <c r="B1023" s="112"/>
    </row>
    <row r="1024">
      <c r="B1024" s="112"/>
    </row>
    <row r="1025">
      <c r="B1025" s="112"/>
    </row>
    <row r="1026">
      <c r="B1026" s="112"/>
    </row>
    <row r="1027">
      <c r="B1027" s="112"/>
    </row>
    <row r="1028">
      <c r="B1028" s="112"/>
    </row>
    <row r="1029">
      <c r="B1029" s="112"/>
    </row>
    <row r="1030">
      <c r="B1030" s="112"/>
    </row>
    <row r="1031">
      <c r="B1031" s="112"/>
    </row>
    <row r="1032">
      <c r="B1032" s="112"/>
    </row>
    <row r="1033">
      <c r="B1033" s="112"/>
    </row>
    <row r="1034">
      <c r="B1034" s="112"/>
    </row>
    <row r="1035">
      <c r="B1035" s="112"/>
    </row>
    <row r="1036">
      <c r="B1036" s="112"/>
    </row>
    <row r="1037">
      <c r="B1037" s="112"/>
    </row>
    <row r="1038">
      <c r="B1038" s="112"/>
    </row>
    <row r="1039">
      <c r="B1039" s="112"/>
    </row>
    <row r="1040">
      <c r="B1040" s="112"/>
    </row>
    <row r="1041">
      <c r="B1041" s="112"/>
    </row>
    <row r="1042">
      <c r="B1042" s="112"/>
    </row>
    <row r="1043">
      <c r="B1043" s="112"/>
    </row>
    <row r="1044">
      <c r="B1044" s="112"/>
    </row>
    <row r="1045">
      <c r="B1045" s="112"/>
    </row>
    <row r="1046">
      <c r="B1046" s="112"/>
    </row>
    <row r="1047">
      <c r="B1047" s="112"/>
    </row>
    <row r="1048">
      <c r="B1048" s="112"/>
    </row>
    <row r="1049">
      <c r="B1049" s="112"/>
    </row>
    <row r="1050">
      <c r="B1050" s="112"/>
    </row>
    <row r="1051">
      <c r="B1051" s="112"/>
    </row>
    <row r="1052">
      <c r="B1052" s="112"/>
    </row>
    <row r="1053">
      <c r="B1053" s="112"/>
    </row>
    <row r="1054">
      <c r="B1054" s="112"/>
    </row>
    <row r="1055">
      <c r="B1055" s="112"/>
    </row>
    <row r="1056">
      <c r="B1056" s="112"/>
    </row>
    <row r="1057">
      <c r="B1057" s="112"/>
    </row>
    <row r="1058">
      <c r="B1058" s="112"/>
    </row>
    <row r="1059">
      <c r="B1059" s="112"/>
    </row>
    <row r="1060">
      <c r="B1060" s="112"/>
    </row>
    <row r="1061">
      <c r="B1061" s="112"/>
    </row>
    <row r="1062">
      <c r="B1062" s="112"/>
    </row>
    <row r="1063">
      <c r="B1063" s="112"/>
    </row>
    <row r="1064">
      <c r="B1064" s="112"/>
    </row>
    <row r="1065">
      <c r="B1065" s="112"/>
    </row>
    <row r="1066">
      <c r="B1066" s="112"/>
    </row>
    <row r="1067">
      <c r="B1067" s="112"/>
    </row>
    <row r="1068">
      <c r="B1068" s="112"/>
    </row>
    <row r="1069">
      <c r="B1069" s="112"/>
    </row>
    <row r="1070">
      <c r="B1070" s="112"/>
    </row>
    <row r="1071">
      <c r="B1071" s="112"/>
    </row>
    <row r="1072">
      <c r="B1072" s="112"/>
    </row>
    <row r="1073">
      <c r="B1073" s="112"/>
    </row>
    <row r="1074">
      <c r="B1074" s="112"/>
    </row>
    <row r="1075">
      <c r="B1075" s="112"/>
    </row>
    <row r="1076">
      <c r="B1076" s="112"/>
    </row>
    <row r="1077">
      <c r="B1077" s="112"/>
    </row>
    <row r="1078">
      <c r="B1078" s="112"/>
    </row>
    <row r="1079">
      <c r="B1079" s="112"/>
    </row>
    <row r="1080">
      <c r="B1080" s="112"/>
    </row>
    <row r="1081">
      <c r="B1081" s="112"/>
    </row>
    <row r="1082">
      <c r="B1082" s="112"/>
    </row>
    <row r="1083">
      <c r="B1083" s="112"/>
    </row>
    <row r="1084">
      <c r="B1084" s="112"/>
    </row>
    <row r="1085">
      <c r="B1085" s="112"/>
    </row>
    <row r="1086">
      <c r="B1086" s="112"/>
    </row>
    <row r="1087">
      <c r="B1087" s="112"/>
    </row>
    <row r="1088">
      <c r="B1088" s="112"/>
    </row>
    <row r="1089">
      <c r="B1089" s="112"/>
    </row>
    <row r="1090">
      <c r="B1090" s="112"/>
    </row>
    <row r="1091">
      <c r="B1091" s="112"/>
    </row>
    <row r="1092">
      <c r="B1092" s="112"/>
    </row>
    <row r="1093">
      <c r="B1093" s="112"/>
    </row>
    <row r="1094">
      <c r="B1094" s="112"/>
    </row>
    <row r="1095">
      <c r="B1095" s="112"/>
    </row>
    <row r="1096">
      <c r="B1096" s="112"/>
    </row>
    <row r="1097">
      <c r="B1097" s="112"/>
    </row>
    <row r="1098">
      <c r="B1098" s="112"/>
    </row>
    <row r="1099">
      <c r="B1099" s="112"/>
    </row>
    <row r="1100">
      <c r="B1100" s="112"/>
    </row>
    <row r="1101">
      <c r="B1101" s="112"/>
    </row>
    <row r="1102">
      <c r="B1102" s="112"/>
    </row>
    <row r="1103">
      <c r="B1103" s="112"/>
    </row>
    <row r="1104">
      <c r="B1104" s="112"/>
    </row>
    <row r="1105">
      <c r="B1105" s="112"/>
    </row>
    <row r="1106">
      <c r="B1106" s="112"/>
    </row>
    <row r="1107">
      <c r="B1107" s="112"/>
    </row>
    <row r="1108">
      <c r="B1108" s="112"/>
    </row>
    <row r="1109">
      <c r="B1109" s="112"/>
    </row>
    <row r="1110">
      <c r="B1110" s="112"/>
    </row>
    <row r="1111">
      <c r="B1111" s="112"/>
    </row>
    <row r="1112">
      <c r="B1112" s="112"/>
    </row>
    <row r="1113">
      <c r="B1113" s="112"/>
    </row>
    <row r="1114">
      <c r="B1114" s="112"/>
    </row>
    <row r="1115">
      <c r="B1115" s="112"/>
    </row>
    <row r="1116">
      <c r="B1116" s="112"/>
    </row>
    <row r="1117">
      <c r="B1117" s="112"/>
    </row>
    <row r="1118">
      <c r="B1118" s="112"/>
    </row>
    <row r="1119">
      <c r="B1119" s="112"/>
    </row>
    <row r="1120">
      <c r="B1120" s="112"/>
    </row>
    <row r="1121">
      <c r="B1121" s="112"/>
    </row>
    <row r="1122">
      <c r="B1122" s="112"/>
    </row>
    <row r="1123">
      <c r="B1123" s="112"/>
    </row>
    <row r="1124">
      <c r="B1124" s="112"/>
    </row>
    <row r="1125">
      <c r="B1125" s="112"/>
    </row>
    <row r="1126">
      <c r="B1126" s="112"/>
    </row>
    <row r="1127">
      <c r="B1127" s="112"/>
    </row>
    <row r="1128">
      <c r="B1128" s="112"/>
    </row>
    <row r="1129">
      <c r="B1129" s="112"/>
    </row>
    <row r="1130">
      <c r="B1130" s="112"/>
    </row>
    <row r="1131">
      <c r="B1131" s="112"/>
    </row>
    <row r="1132">
      <c r="B1132" s="112"/>
    </row>
    <row r="1133">
      <c r="B1133" s="112"/>
    </row>
    <row r="1134">
      <c r="B1134" s="112"/>
    </row>
    <row r="1135">
      <c r="B1135" s="112"/>
    </row>
    <row r="1136">
      <c r="B1136" s="112"/>
    </row>
    <row r="1137">
      <c r="B1137" s="112"/>
    </row>
    <row r="1138">
      <c r="B1138" s="112"/>
    </row>
    <row r="1139">
      <c r="B1139" s="112"/>
    </row>
    <row r="1140">
      <c r="B1140" s="112"/>
    </row>
    <row r="1141">
      <c r="B1141" s="112"/>
    </row>
    <row r="1142">
      <c r="B1142" s="112"/>
    </row>
    <row r="1143">
      <c r="B1143" s="112"/>
    </row>
    <row r="1144">
      <c r="B1144" s="112"/>
    </row>
    <row r="1145">
      <c r="B1145" s="112"/>
    </row>
    <row r="1146">
      <c r="B1146" s="112"/>
    </row>
    <row r="1147">
      <c r="B1147" s="112"/>
    </row>
    <row r="1148">
      <c r="B1148" s="112"/>
    </row>
    <row r="1149">
      <c r="B1149" s="112"/>
    </row>
    <row r="1150">
      <c r="B1150" s="112"/>
    </row>
    <row r="1151">
      <c r="B1151" s="112"/>
    </row>
    <row r="1152">
      <c r="B1152" s="112"/>
    </row>
    <row r="1153">
      <c r="B1153" s="112"/>
    </row>
    <row r="1154">
      <c r="B1154" s="112"/>
    </row>
    <row r="1155">
      <c r="B1155" s="112"/>
    </row>
    <row r="1156">
      <c r="B1156" s="112"/>
    </row>
    <row r="1157">
      <c r="B1157" s="112"/>
    </row>
    <row r="1158">
      <c r="B1158" s="112"/>
    </row>
    <row r="1159">
      <c r="B1159" s="112"/>
    </row>
    <row r="1160">
      <c r="B1160" s="112"/>
    </row>
    <row r="1161">
      <c r="B1161" s="112"/>
    </row>
    <row r="1162">
      <c r="B1162" s="112"/>
    </row>
    <row r="1163">
      <c r="B1163" s="112"/>
    </row>
    <row r="1164">
      <c r="B1164" s="112"/>
    </row>
    <row r="1165">
      <c r="B1165" s="112"/>
    </row>
    <row r="1166">
      <c r="B1166" s="112"/>
    </row>
    <row r="1167">
      <c r="B1167" s="112"/>
    </row>
    <row r="1168">
      <c r="B1168" s="112"/>
    </row>
    <row r="1169">
      <c r="B1169" s="112"/>
    </row>
    <row r="1170">
      <c r="B1170" s="112"/>
    </row>
    <row r="1171">
      <c r="B1171" s="112"/>
    </row>
    <row r="1172">
      <c r="B1172" s="112"/>
    </row>
    <row r="1173">
      <c r="B1173" s="112"/>
    </row>
    <row r="1174">
      <c r="B1174" s="112"/>
    </row>
    <row r="1175">
      <c r="B1175" s="112"/>
    </row>
    <row r="1176">
      <c r="B1176" s="112"/>
    </row>
    <row r="1177">
      <c r="B1177" s="112"/>
    </row>
    <row r="1178">
      <c r="B1178" s="112"/>
    </row>
    <row r="1179">
      <c r="B1179" s="112"/>
    </row>
    <row r="1180">
      <c r="B1180" s="112"/>
    </row>
    <row r="1181">
      <c r="B1181" s="112"/>
    </row>
    <row r="1182">
      <c r="B1182" s="112"/>
    </row>
    <row r="1183">
      <c r="B1183" s="112"/>
    </row>
    <row r="1184">
      <c r="B1184" s="112"/>
    </row>
    <row r="1185">
      <c r="B1185" s="112"/>
    </row>
    <row r="1186">
      <c r="B1186" s="112"/>
    </row>
    <row r="1187">
      <c r="B1187" s="112"/>
    </row>
    <row r="1188">
      <c r="B1188" s="112"/>
    </row>
    <row r="1189">
      <c r="B1189" s="112"/>
    </row>
    <row r="1190">
      <c r="B1190" s="112"/>
    </row>
    <row r="1191">
      <c r="B1191" s="112"/>
    </row>
    <row r="1192">
      <c r="B1192" s="112"/>
    </row>
    <row r="1193">
      <c r="B1193" s="112"/>
    </row>
    <row r="1194">
      <c r="B1194" s="112"/>
    </row>
    <row r="1195">
      <c r="B1195" s="112"/>
    </row>
    <row r="1196">
      <c r="B1196" s="112"/>
    </row>
    <row r="1197">
      <c r="B1197" s="112"/>
    </row>
    <row r="1198">
      <c r="B1198" s="112"/>
    </row>
    <row r="1199">
      <c r="B1199" s="112"/>
    </row>
    <row r="1200">
      <c r="B1200" s="112"/>
    </row>
    <row r="1201">
      <c r="B1201" s="112"/>
    </row>
    <row r="1202">
      <c r="B1202" s="112"/>
    </row>
    <row r="1203">
      <c r="B1203" s="112"/>
    </row>
    <row r="1204">
      <c r="B1204" s="112"/>
    </row>
    <row r="1205">
      <c r="B1205" s="112"/>
    </row>
    <row r="1206">
      <c r="B1206" s="112"/>
    </row>
    <row r="1207">
      <c r="B1207" s="112"/>
    </row>
    <row r="1208">
      <c r="B1208" s="112"/>
    </row>
    <row r="1209">
      <c r="B1209" s="112"/>
    </row>
    <row r="1210">
      <c r="B1210" s="112"/>
    </row>
    <row r="1211">
      <c r="B1211" s="112"/>
    </row>
    <row r="1212">
      <c r="B1212" s="112"/>
    </row>
    <row r="1213">
      <c r="B1213" s="112"/>
    </row>
    <row r="1214">
      <c r="B1214" s="112"/>
    </row>
    <row r="1215">
      <c r="B1215" s="112"/>
    </row>
    <row r="1216">
      <c r="B1216" s="112"/>
    </row>
    <row r="1217">
      <c r="B1217" s="112"/>
    </row>
    <row r="1218">
      <c r="B1218" s="112"/>
    </row>
    <row r="1219">
      <c r="B1219" s="112"/>
    </row>
    <row r="1220">
      <c r="B1220" s="112"/>
    </row>
    <row r="1221">
      <c r="B1221" s="112"/>
    </row>
    <row r="1222">
      <c r="B1222" s="112"/>
    </row>
    <row r="1223">
      <c r="B1223" s="112"/>
    </row>
    <row r="1224">
      <c r="B1224" s="112"/>
    </row>
    <row r="1225">
      <c r="B1225" s="112"/>
    </row>
    <row r="1226">
      <c r="B1226" s="112"/>
    </row>
    <row r="1227">
      <c r="B1227" s="112"/>
    </row>
    <row r="1228">
      <c r="B1228" s="112"/>
    </row>
    <row r="1229">
      <c r="B1229" s="112"/>
    </row>
    <row r="1230">
      <c r="B1230" s="112"/>
    </row>
    <row r="1231">
      <c r="B1231" s="112"/>
    </row>
    <row r="1232">
      <c r="B1232" s="112"/>
    </row>
    <row r="1233">
      <c r="B1233" s="112"/>
    </row>
    <row r="1234">
      <c r="B1234" s="112"/>
    </row>
    <row r="1235">
      <c r="B1235" s="112"/>
    </row>
    <row r="1236">
      <c r="B1236" s="112"/>
    </row>
    <row r="1237">
      <c r="B1237" s="112"/>
    </row>
    <row r="1238">
      <c r="B1238" s="112"/>
    </row>
    <row r="1239">
      <c r="B1239" s="112"/>
    </row>
    <row r="1240">
      <c r="B1240" s="112"/>
    </row>
    <row r="1241">
      <c r="B1241" s="112"/>
    </row>
    <row r="1242">
      <c r="B1242" s="112"/>
    </row>
    <row r="1243">
      <c r="B1243" s="112"/>
    </row>
    <row r="1244">
      <c r="B1244" s="112"/>
    </row>
    <row r="1245">
      <c r="B1245" s="112"/>
    </row>
    <row r="1246">
      <c r="B1246" s="112"/>
    </row>
    <row r="1247">
      <c r="B1247" s="112"/>
    </row>
    <row r="1248">
      <c r="B1248" s="112"/>
    </row>
    <row r="1249">
      <c r="B1249" s="112"/>
    </row>
    <row r="1250">
      <c r="B1250" s="112"/>
    </row>
    <row r="1251">
      <c r="B1251" s="112"/>
    </row>
    <row r="1252">
      <c r="B1252" s="112"/>
    </row>
    <row r="1253">
      <c r="B1253" s="112"/>
    </row>
    <row r="1254">
      <c r="B1254" s="112"/>
    </row>
    <row r="1255">
      <c r="B1255" s="112"/>
    </row>
    <row r="1256">
      <c r="B1256" s="112"/>
    </row>
    <row r="1257">
      <c r="B1257" s="112"/>
    </row>
    <row r="1258">
      <c r="B1258" s="112"/>
    </row>
    <row r="1259">
      <c r="B1259" s="112"/>
    </row>
    <row r="1260">
      <c r="B1260" s="112"/>
    </row>
    <row r="1261">
      <c r="B1261" s="112"/>
    </row>
    <row r="1262">
      <c r="B1262" s="112"/>
    </row>
    <row r="1263">
      <c r="B1263" s="112"/>
    </row>
    <row r="1264">
      <c r="B1264" s="112"/>
    </row>
    <row r="1265">
      <c r="B1265" s="112"/>
    </row>
    <row r="1266">
      <c r="B1266" s="112"/>
    </row>
    <row r="1267">
      <c r="B1267" s="112"/>
    </row>
    <row r="1268">
      <c r="B1268" s="112"/>
    </row>
    <row r="1269">
      <c r="B1269" s="112"/>
    </row>
    <row r="1270">
      <c r="B1270" s="112"/>
    </row>
    <row r="1271">
      <c r="B1271" s="112"/>
    </row>
    <row r="1272">
      <c r="B1272" s="112"/>
    </row>
    <row r="1273">
      <c r="B1273" s="112"/>
    </row>
    <row r="1274">
      <c r="B1274" s="112"/>
    </row>
    <row r="1275">
      <c r="B1275" s="112"/>
    </row>
    <row r="1276">
      <c r="B1276" s="112"/>
    </row>
    <row r="1277">
      <c r="B1277" s="112"/>
    </row>
    <row r="1278">
      <c r="B1278" s="112"/>
    </row>
    <row r="1279">
      <c r="B1279" s="112"/>
    </row>
    <row r="1280">
      <c r="B1280" s="112"/>
    </row>
    <row r="1281">
      <c r="B1281" s="112"/>
    </row>
    <row r="1282">
      <c r="B1282" s="112"/>
    </row>
    <row r="1283">
      <c r="B1283" s="112"/>
    </row>
    <row r="1284">
      <c r="B1284" s="112"/>
    </row>
    <row r="1285">
      <c r="B1285" s="112"/>
    </row>
    <row r="1286">
      <c r="B1286" s="112"/>
    </row>
    <row r="1287">
      <c r="B1287" s="112"/>
    </row>
    <row r="1288">
      <c r="B1288" s="112"/>
    </row>
    <row r="1289">
      <c r="B1289" s="112"/>
    </row>
    <row r="1290">
      <c r="B1290" s="112"/>
    </row>
    <row r="1291">
      <c r="B1291" s="112"/>
    </row>
    <row r="1292">
      <c r="B1292" s="112"/>
    </row>
    <row r="1293">
      <c r="B1293" s="112"/>
    </row>
    <row r="1294">
      <c r="B1294" s="112"/>
    </row>
    <row r="1295">
      <c r="B1295" s="112"/>
    </row>
    <row r="1296">
      <c r="B1296" s="112"/>
    </row>
    <row r="1297">
      <c r="B1297" s="112"/>
    </row>
    <row r="1298">
      <c r="B1298" s="112"/>
    </row>
    <row r="1299">
      <c r="B1299" s="112"/>
    </row>
    <row r="1300">
      <c r="B1300" s="112"/>
    </row>
    <row r="1301">
      <c r="B1301" s="112"/>
    </row>
    <row r="1302">
      <c r="B1302" s="112"/>
    </row>
    <row r="1303">
      <c r="B1303" s="112"/>
    </row>
    <row r="1304">
      <c r="B1304" s="112"/>
    </row>
    <row r="1305">
      <c r="B1305" s="112"/>
    </row>
    <row r="1306">
      <c r="B1306" s="112"/>
    </row>
    <row r="1307">
      <c r="B1307" s="112"/>
    </row>
    <row r="1308">
      <c r="B1308" s="112"/>
    </row>
    <row r="1309">
      <c r="B1309" s="112"/>
    </row>
    <row r="1310">
      <c r="B1310" s="112"/>
    </row>
    <row r="1311">
      <c r="B1311" s="112"/>
    </row>
    <row r="1312">
      <c r="B1312" s="112"/>
    </row>
    <row r="1313">
      <c r="B1313" s="112"/>
    </row>
    <row r="1314">
      <c r="B1314" s="112"/>
    </row>
    <row r="1315">
      <c r="B1315" s="112"/>
    </row>
    <row r="1316">
      <c r="B1316" s="112"/>
    </row>
    <row r="1317">
      <c r="B1317" s="112"/>
    </row>
    <row r="1318">
      <c r="B1318" s="112"/>
    </row>
    <row r="1319">
      <c r="B1319" s="112"/>
    </row>
    <row r="1320">
      <c r="B1320" s="112"/>
    </row>
    <row r="1321">
      <c r="B1321" s="112"/>
    </row>
    <row r="1322">
      <c r="B1322" s="112"/>
    </row>
    <row r="1323">
      <c r="B1323" s="112"/>
    </row>
    <row r="1324">
      <c r="B1324" s="112"/>
    </row>
    <row r="1325">
      <c r="B1325" s="112"/>
    </row>
    <row r="1326">
      <c r="B1326" s="112"/>
    </row>
    <row r="1327">
      <c r="B1327" s="112"/>
    </row>
    <row r="1328">
      <c r="B1328" s="112"/>
    </row>
    <row r="1329">
      <c r="B1329" s="112"/>
    </row>
    <row r="1330">
      <c r="B1330" s="112"/>
    </row>
    <row r="1331">
      <c r="B1331" s="112"/>
    </row>
    <row r="1332">
      <c r="B1332" s="112"/>
    </row>
    <row r="1333">
      <c r="B1333" s="112"/>
    </row>
    <row r="1334">
      <c r="B1334" s="112"/>
    </row>
    <row r="1335">
      <c r="B1335" s="112"/>
    </row>
    <row r="1336">
      <c r="B1336" s="112"/>
    </row>
    <row r="1337">
      <c r="B1337" s="112"/>
    </row>
    <row r="1338">
      <c r="B1338" s="112"/>
    </row>
    <row r="1339">
      <c r="B1339" s="112"/>
    </row>
    <row r="1340">
      <c r="B1340" s="112"/>
    </row>
    <row r="1341">
      <c r="B1341" s="112"/>
    </row>
    <row r="1342">
      <c r="B1342" s="112"/>
    </row>
    <row r="1343">
      <c r="B1343" s="112"/>
    </row>
    <row r="1344">
      <c r="B1344" s="112"/>
    </row>
    <row r="1345">
      <c r="B1345" s="112"/>
    </row>
    <row r="1346">
      <c r="B1346" s="112"/>
    </row>
    <row r="1347">
      <c r="B1347" s="112"/>
    </row>
    <row r="1348">
      <c r="B1348" s="112"/>
    </row>
    <row r="1349">
      <c r="B1349" s="112"/>
    </row>
    <row r="1350">
      <c r="B1350" s="112"/>
    </row>
    <row r="1351">
      <c r="B1351" s="112"/>
    </row>
    <row r="1352">
      <c r="B1352" s="112"/>
    </row>
    <row r="1353">
      <c r="B1353" s="112"/>
    </row>
    <row r="1354">
      <c r="B1354" s="112"/>
    </row>
    <row r="1355">
      <c r="B1355" s="112"/>
    </row>
    <row r="1356">
      <c r="B1356" s="112"/>
    </row>
    <row r="1357">
      <c r="B1357" s="112"/>
    </row>
    <row r="1358">
      <c r="B1358" s="112"/>
    </row>
    <row r="1359">
      <c r="B1359" s="112"/>
    </row>
    <row r="1360">
      <c r="B1360" s="112"/>
    </row>
    <row r="1361">
      <c r="B1361" s="112"/>
    </row>
    <row r="1362">
      <c r="B1362" s="112"/>
    </row>
    <row r="1363">
      <c r="B1363" s="112"/>
    </row>
    <row r="1364">
      <c r="B1364" s="112"/>
    </row>
    <row r="1365">
      <c r="B1365" s="112"/>
    </row>
    <row r="1366">
      <c r="B1366" s="112"/>
    </row>
    <row r="1367">
      <c r="B1367" s="112"/>
    </row>
    <row r="1368">
      <c r="B1368" s="112"/>
    </row>
    <row r="1369">
      <c r="B1369" s="112"/>
    </row>
    <row r="1370">
      <c r="B1370" s="112"/>
    </row>
    <row r="1371">
      <c r="B1371" s="112"/>
    </row>
    <row r="1372">
      <c r="B1372" s="112"/>
    </row>
    <row r="1373">
      <c r="B1373" s="112"/>
    </row>
    <row r="1374">
      <c r="B1374" s="112"/>
    </row>
    <row r="1375">
      <c r="B1375" s="112"/>
    </row>
    <row r="1376">
      <c r="B1376" s="112"/>
    </row>
    <row r="1377">
      <c r="B1377" s="112"/>
    </row>
    <row r="1378">
      <c r="B1378" s="112"/>
    </row>
    <row r="1379">
      <c r="B1379" s="112"/>
    </row>
    <row r="1380">
      <c r="B1380" s="112"/>
    </row>
    <row r="1381">
      <c r="B1381" s="112"/>
    </row>
    <row r="1382">
      <c r="B1382" s="112"/>
    </row>
    <row r="1383">
      <c r="B1383" s="112"/>
    </row>
    <row r="1384">
      <c r="B1384" s="112"/>
    </row>
    <row r="1385">
      <c r="B1385" s="112"/>
    </row>
    <row r="1386">
      <c r="B1386" s="112"/>
    </row>
    <row r="1387">
      <c r="B1387" s="112"/>
    </row>
    <row r="1388">
      <c r="B1388" s="112"/>
    </row>
    <row r="1389">
      <c r="B1389" s="112"/>
    </row>
    <row r="1390">
      <c r="B1390" s="112"/>
    </row>
    <row r="1391">
      <c r="B1391" s="112"/>
    </row>
    <row r="1392">
      <c r="B1392" s="112"/>
    </row>
    <row r="1393">
      <c r="B1393" s="112"/>
    </row>
    <row r="1394">
      <c r="B1394" s="112"/>
    </row>
    <row r="1395">
      <c r="B1395" s="112"/>
    </row>
    <row r="1396">
      <c r="B1396" s="112"/>
    </row>
    <row r="1397">
      <c r="B1397" s="112"/>
    </row>
    <row r="1398">
      <c r="B1398" s="112"/>
    </row>
    <row r="1399">
      <c r="B1399" s="112"/>
    </row>
    <row r="1400">
      <c r="B1400" s="112"/>
    </row>
    <row r="1401">
      <c r="B1401" s="112"/>
    </row>
    <row r="1402">
      <c r="B1402" s="112"/>
    </row>
    <row r="1403">
      <c r="B1403" s="112"/>
    </row>
    <row r="1404">
      <c r="B1404" s="112"/>
    </row>
    <row r="1405">
      <c r="B1405" s="112"/>
    </row>
    <row r="1406">
      <c r="B1406" s="112"/>
    </row>
    <row r="1407">
      <c r="B1407" s="112"/>
    </row>
    <row r="1408">
      <c r="B1408" s="112"/>
    </row>
    <row r="1409">
      <c r="B1409" s="112"/>
    </row>
    <row r="1410">
      <c r="B1410" s="112"/>
    </row>
    <row r="1411">
      <c r="B1411" s="112"/>
    </row>
    <row r="1412">
      <c r="B1412" s="112"/>
    </row>
    <row r="1413">
      <c r="B1413" s="112"/>
    </row>
    <row r="1414">
      <c r="B1414" s="112"/>
    </row>
    <row r="1415">
      <c r="B1415" s="112"/>
    </row>
    <row r="1416">
      <c r="B1416" s="112"/>
    </row>
    <row r="1417">
      <c r="B1417" s="112"/>
    </row>
    <row r="1418">
      <c r="B1418" s="112"/>
    </row>
    <row r="1419">
      <c r="B1419" s="112"/>
    </row>
    <row r="1420">
      <c r="B1420" s="112"/>
    </row>
    <row r="1421">
      <c r="B1421" s="112"/>
    </row>
    <row r="1422">
      <c r="B1422" s="112"/>
    </row>
    <row r="1423">
      <c r="B1423" s="112"/>
    </row>
    <row r="1424">
      <c r="B1424" s="112"/>
    </row>
    <row r="1425">
      <c r="B1425" s="112"/>
    </row>
    <row r="1426">
      <c r="B1426" s="112"/>
    </row>
    <row r="1427">
      <c r="B1427" s="112"/>
    </row>
    <row r="1428">
      <c r="B1428" s="112"/>
    </row>
    <row r="1429">
      <c r="B1429" s="112"/>
    </row>
    <row r="1430">
      <c r="B1430" s="112"/>
    </row>
    <row r="1431">
      <c r="B1431" s="112"/>
    </row>
    <row r="1432">
      <c r="B1432" s="112"/>
    </row>
    <row r="1433">
      <c r="B1433" s="112"/>
    </row>
    <row r="1434">
      <c r="B1434" s="112"/>
    </row>
    <row r="1435">
      <c r="B1435" s="112"/>
    </row>
    <row r="1436">
      <c r="B1436" s="112"/>
    </row>
    <row r="1437">
      <c r="B1437" s="112"/>
    </row>
    <row r="1438">
      <c r="B1438" s="112"/>
    </row>
    <row r="1439">
      <c r="B1439" s="112"/>
    </row>
    <row r="1440">
      <c r="B1440" s="112"/>
    </row>
    <row r="1441">
      <c r="B1441" s="112"/>
    </row>
    <row r="1442">
      <c r="B1442" s="112"/>
    </row>
    <row r="1443">
      <c r="B1443" s="112"/>
    </row>
    <row r="1444">
      <c r="B1444" s="112"/>
    </row>
    <row r="1445">
      <c r="B1445" s="112"/>
    </row>
    <row r="1446">
      <c r="B1446" s="112"/>
    </row>
    <row r="1447">
      <c r="B1447" s="112"/>
    </row>
    <row r="1448">
      <c r="B1448" s="112"/>
    </row>
    <row r="1449">
      <c r="B1449" s="112"/>
    </row>
    <row r="1450">
      <c r="B1450" s="112"/>
    </row>
    <row r="1451">
      <c r="B1451" s="112"/>
    </row>
    <row r="1452">
      <c r="B1452" s="112"/>
    </row>
    <row r="1453">
      <c r="B1453" s="112"/>
    </row>
    <row r="1454">
      <c r="B1454" s="112"/>
    </row>
    <row r="1455">
      <c r="B1455" s="112"/>
    </row>
    <row r="1456">
      <c r="B1456" s="112"/>
    </row>
    <row r="1457">
      <c r="B1457" s="112"/>
    </row>
    <row r="1458">
      <c r="B1458" s="112"/>
    </row>
    <row r="1459">
      <c r="B1459" s="112"/>
    </row>
    <row r="1460">
      <c r="B1460" s="112"/>
    </row>
    <row r="1461">
      <c r="B1461" s="112"/>
    </row>
    <row r="1462">
      <c r="B1462" s="112"/>
    </row>
    <row r="1463">
      <c r="B1463" s="112"/>
    </row>
    <row r="1464">
      <c r="B1464" s="112"/>
    </row>
    <row r="1465">
      <c r="B1465" s="112"/>
    </row>
    <row r="1466">
      <c r="B1466" s="112"/>
    </row>
    <row r="1467">
      <c r="B1467" s="112"/>
    </row>
    <row r="1468">
      <c r="B1468" s="112"/>
    </row>
    <row r="1469">
      <c r="B1469" s="112"/>
    </row>
    <row r="1470">
      <c r="B1470" s="112"/>
    </row>
    <row r="1471">
      <c r="B1471" s="112"/>
    </row>
    <row r="1472">
      <c r="B1472" s="112"/>
    </row>
    <row r="1473">
      <c r="B1473" s="112"/>
    </row>
    <row r="1474">
      <c r="B1474" s="112"/>
    </row>
    <row r="1475">
      <c r="B1475" s="112"/>
    </row>
    <row r="1476">
      <c r="B1476" s="112"/>
    </row>
    <row r="1477">
      <c r="B1477" s="112"/>
    </row>
    <row r="1478">
      <c r="B1478" s="112"/>
    </row>
    <row r="1479">
      <c r="B1479" s="112"/>
    </row>
    <row r="1480">
      <c r="B1480" s="112"/>
    </row>
    <row r="1481">
      <c r="B1481" s="112"/>
    </row>
    <row r="1482">
      <c r="B1482" s="112"/>
    </row>
    <row r="1483">
      <c r="B1483" s="112"/>
    </row>
    <row r="1484">
      <c r="B1484" s="112"/>
    </row>
    <row r="1485">
      <c r="B1485" s="112"/>
    </row>
    <row r="1486">
      <c r="B1486" s="112"/>
    </row>
    <row r="1487">
      <c r="B1487" s="112"/>
    </row>
    <row r="1488">
      <c r="B1488" s="112"/>
    </row>
    <row r="1489">
      <c r="B1489" s="112"/>
    </row>
    <row r="1490">
      <c r="B1490" s="112"/>
    </row>
    <row r="1491">
      <c r="B1491" s="112"/>
    </row>
    <row r="1492">
      <c r="B1492" s="112"/>
    </row>
    <row r="1493">
      <c r="B1493" s="112"/>
    </row>
    <row r="1494">
      <c r="B1494" s="112"/>
    </row>
    <row r="1495">
      <c r="B1495" s="112"/>
    </row>
    <row r="1496">
      <c r="B1496" s="112"/>
    </row>
    <row r="1497">
      <c r="B1497" s="112"/>
    </row>
    <row r="1498">
      <c r="B1498" s="112"/>
    </row>
    <row r="1499">
      <c r="B1499" s="112"/>
    </row>
    <row r="1500">
      <c r="B1500" s="112"/>
    </row>
    <row r="1501">
      <c r="B1501" s="112"/>
    </row>
    <row r="1502">
      <c r="B1502" s="112"/>
    </row>
    <row r="1503">
      <c r="B1503" s="112"/>
    </row>
    <row r="1504">
      <c r="B1504" s="112"/>
    </row>
    <row r="1505">
      <c r="B1505" s="112"/>
    </row>
    <row r="1506">
      <c r="B1506" s="112"/>
    </row>
    <row r="1507">
      <c r="B1507" s="112"/>
    </row>
    <row r="1508">
      <c r="B1508" s="112"/>
    </row>
    <row r="1509">
      <c r="B1509" s="112"/>
    </row>
    <row r="1510">
      <c r="B1510" s="112"/>
    </row>
    <row r="1511">
      <c r="B1511" s="112"/>
    </row>
    <row r="1512">
      <c r="B1512" s="112"/>
    </row>
    <row r="1513">
      <c r="B1513" s="112"/>
    </row>
    <row r="1514">
      <c r="B1514" s="112"/>
    </row>
    <row r="1515">
      <c r="B1515" s="112"/>
    </row>
    <row r="1516">
      <c r="B1516" s="112"/>
    </row>
    <row r="1517">
      <c r="B1517" s="112"/>
    </row>
    <row r="1518">
      <c r="B1518" s="112"/>
    </row>
    <row r="1519">
      <c r="B1519" s="112"/>
    </row>
    <row r="1520">
      <c r="B1520" s="112"/>
    </row>
    <row r="1521">
      <c r="B1521" s="112"/>
    </row>
    <row r="1522">
      <c r="B1522" s="112"/>
    </row>
    <row r="1523">
      <c r="B1523" s="112"/>
    </row>
    <row r="1524">
      <c r="B1524" s="112"/>
    </row>
    <row r="1525">
      <c r="B1525" s="112"/>
    </row>
    <row r="1526">
      <c r="B1526" s="112"/>
    </row>
    <row r="1527">
      <c r="B1527" s="112"/>
    </row>
    <row r="1528">
      <c r="B1528" s="112"/>
    </row>
    <row r="1529">
      <c r="B1529" s="112"/>
    </row>
    <row r="1530">
      <c r="B1530" s="112"/>
    </row>
    <row r="1531">
      <c r="B1531" s="112"/>
    </row>
    <row r="1532">
      <c r="B1532" s="112"/>
    </row>
    <row r="1533">
      <c r="B1533" s="112"/>
    </row>
    <row r="1534">
      <c r="B1534" s="112"/>
    </row>
    <row r="1535">
      <c r="B1535" s="112"/>
    </row>
    <row r="1536">
      <c r="B1536" s="112"/>
    </row>
    <row r="1537">
      <c r="B1537" s="112"/>
    </row>
    <row r="1538">
      <c r="B1538" s="112"/>
    </row>
    <row r="1539">
      <c r="B1539" s="112"/>
    </row>
    <row r="1540">
      <c r="B1540" s="112"/>
    </row>
    <row r="1541">
      <c r="B1541" s="112"/>
    </row>
    <row r="1542">
      <c r="B1542" s="112"/>
    </row>
    <row r="1543">
      <c r="B1543" s="112"/>
    </row>
    <row r="1544">
      <c r="B1544" s="112"/>
    </row>
    <row r="1545">
      <c r="B1545" s="112"/>
    </row>
    <row r="1546">
      <c r="B1546" s="112"/>
    </row>
    <row r="1547">
      <c r="B1547" s="112"/>
    </row>
    <row r="1548">
      <c r="B1548" s="112"/>
    </row>
    <row r="1549">
      <c r="B1549" s="112"/>
    </row>
    <row r="1550">
      <c r="B1550" s="112"/>
    </row>
    <row r="1551">
      <c r="B1551" s="112"/>
    </row>
    <row r="1552">
      <c r="B1552" s="112"/>
    </row>
    <row r="1553">
      <c r="B1553" s="112"/>
    </row>
    <row r="1554">
      <c r="B1554" s="112"/>
    </row>
    <row r="1555">
      <c r="B1555" s="112"/>
    </row>
    <row r="1556">
      <c r="B1556" s="112"/>
    </row>
    <row r="1557">
      <c r="B1557" s="112"/>
    </row>
    <row r="1558">
      <c r="B1558" s="112"/>
    </row>
    <row r="1559">
      <c r="B1559" s="112"/>
    </row>
    <row r="1560">
      <c r="B1560" s="112"/>
    </row>
    <row r="1561">
      <c r="B1561" s="112"/>
    </row>
    <row r="1562">
      <c r="B1562" s="112"/>
    </row>
    <row r="1563">
      <c r="B1563" s="112"/>
    </row>
    <row r="1564">
      <c r="B1564" s="112"/>
    </row>
    <row r="1565">
      <c r="B1565" s="112"/>
    </row>
    <row r="1566">
      <c r="B1566" s="112"/>
    </row>
    <row r="1567">
      <c r="B1567" s="112"/>
    </row>
    <row r="1568">
      <c r="B1568" s="112"/>
    </row>
    <row r="1569">
      <c r="B1569" s="112"/>
    </row>
    <row r="1570">
      <c r="B1570" s="112"/>
    </row>
    <row r="1571">
      <c r="B1571" s="112"/>
    </row>
    <row r="1572">
      <c r="B1572" s="112"/>
    </row>
    <row r="1573">
      <c r="B1573" s="112"/>
    </row>
    <row r="1574">
      <c r="B1574" s="112"/>
    </row>
    <row r="1575">
      <c r="B1575" s="112"/>
    </row>
    <row r="1576">
      <c r="B1576" s="112"/>
    </row>
    <row r="1577">
      <c r="B1577" s="112"/>
    </row>
    <row r="1578">
      <c r="B1578" s="112"/>
    </row>
    <row r="1579">
      <c r="B1579" s="112"/>
    </row>
    <row r="1580">
      <c r="B1580" s="112"/>
    </row>
    <row r="1581">
      <c r="B1581" s="112"/>
    </row>
    <row r="1582">
      <c r="B1582" s="112"/>
    </row>
    <row r="1583">
      <c r="B1583" s="112"/>
    </row>
    <row r="1584">
      <c r="B1584" s="112"/>
    </row>
    <row r="1585">
      <c r="B1585" s="112"/>
    </row>
    <row r="1586">
      <c r="B1586" s="112"/>
    </row>
    <row r="1587">
      <c r="B1587" s="112"/>
    </row>
    <row r="1588">
      <c r="B1588" s="112"/>
    </row>
    <row r="1589">
      <c r="B1589" s="112"/>
    </row>
    <row r="1590">
      <c r="B1590" s="112"/>
    </row>
    <row r="1591">
      <c r="B1591" s="112"/>
    </row>
    <row r="1592">
      <c r="B1592" s="112"/>
    </row>
    <row r="1593">
      <c r="B1593" s="112"/>
    </row>
    <row r="1594">
      <c r="B1594" s="112"/>
    </row>
    <row r="1595">
      <c r="B1595" s="112"/>
    </row>
    <row r="1596">
      <c r="B1596" s="112"/>
    </row>
    <row r="1597">
      <c r="B1597" s="112"/>
    </row>
    <row r="1598">
      <c r="B1598" s="112"/>
    </row>
    <row r="1599">
      <c r="B1599" s="112"/>
    </row>
    <row r="1600">
      <c r="B1600" s="112"/>
    </row>
    <row r="1601">
      <c r="B1601" s="112"/>
    </row>
    <row r="1602">
      <c r="B1602" s="112"/>
    </row>
    <row r="1603">
      <c r="B1603" s="112"/>
    </row>
    <row r="1604">
      <c r="B1604" s="112"/>
    </row>
    <row r="1605">
      <c r="B1605" s="112"/>
    </row>
    <row r="1606">
      <c r="B1606" s="112"/>
    </row>
    <row r="1607">
      <c r="B1607" s="112"/>
    </row>
    <row r="1608">
      <c r="B1608" s="112"/>
    </row>
    <row r="1609">
      <c r="B1609" s="112"/>
    </row>
    <row r="1610">
      <c r="B1610" s="112"/>
    </row>
    <row r="1611">
      <c r="B1611" s="112"/>
    </row>
    <row r="1612">
      <c r="B1612" s="112"/>
    </row>
    <row r="1613">
      <c r="B1613" s="112"/>
    </row>
    <row r="1614">
      <c r="B1614" s="112"/>
    </row>
    <row r="1615">
      <c r="B1615" s="112"/>
    </row>
    <row r="1616">
      <c r="B1616" s="112"/>
    </row>
    <row r="1617">
      <c r="B1617" s="112"/>
    </row>
    <row r="1618">
      <c r="B1618" s="112"/>
    </row>
    <row r="1619">
      <c r="B1619" s="112"/>
    </row>
    <row r="1620">
      <c r="B1620" s="112"/>
    </row>
    <row r="1621">
      <c r="B1621" s="112"/>
    </row>
    <row r="1622">
      <c r="B1622" s="112"/>
    </row>
    <row r="1623">
      <c r="B1623" s="112"/>
    </row>
    <row r="1624">
      <c r="B1624" s="112"/>
    </row>
    <row r="1625">
      <c r="B1625" s="112"/>
    </row>
    <row r="1626">
      <c r="B1626" s="112"/>
    </row>
    <row r="1627">
      <c r="B1627" s="112"/>
    </row>
    <row r="1628">
      <c r="B1628" s="112"/>
    </row>
    <row r="1629">
      <c r="B1629" s="112"/>
    </row>
    <row r="1630">
      <c r="B1630" s="112"/>
    </row>
    <row r="1631">
      <c r="B1631" s="112"/>
    </row>
    <row r="1632">
      <c r="B1632" s="112"/>
    </row>
    <row r="1633">
      <c r="B1633" s="112"/>
    </row>
    <row r="1634">
      <c r="B1634" s="112"/>
    </row>
    <row r="1635">
      <c r="B1635" s="112"/>
    </row>
    <row r="1636">
      <c r="B1636" s="112"/>
    </row>
    <row r="1637">
      <c r="B1637" s="112"/>
    </row>
    <row r="1638">
      <c r="B1638" s="112"/>
    </row>
    <row r="1639">
      <c r="B1639" s="112"/>
    </row>
    <row r="1640">
      <c r="B1640" s="112"/>
    </row>
    <row r="1641">
      <c r="B1641" s="112"/>
    </row>
    <row r="1642">
      <c r="B1642" s="112"/>
    </row>
    <row r="1643">
      <c r="B1643" s="112"/>
    </row>
    <row r="1644">
      <c r="B1644" s="112"/>
    </row>
    <row r="1645">
      <c r="B1645" s="112"/>
    </row>
    <row r="1646">
      <c r="B1646" s="112"/>
    </row>
    <row r="1647">
      <c r="B1647" s="112"/>
    </row>
    <row r="1648">
      <c r="B1648" s="112"/>
    </row>
    <row r="1649">
      <c r="B1649" s="112"/>
    </row>
    <row r="1650">
      <c r="B1650" s="112"/>
    </row>
    <row r="1651">
      <c r="B1651" s="112"/>
    </row>
    <row r="1652">
      <c r="B1652" s="112"/>
    </row>
    <row r="1653">
      <c r="B1653" s="112"/>
    </row>
    <row r="1654">
      <c r="B1654" s="112"/>
    </row>
    <row r="1655">
      <c r="B1655" s="112"/>
    </row>
    <row r="1656">
      <c r="B1656" s="112"/>
    </row>
    <row r="1657">
      <c r="B1657" s="112"/>
    </row>
    <row r="1658">
      <c r="B1658" s="112"/>
    </row>
    <row r="1659">
      <c r="B1659" s="112"/>
    </row>
    <row r="1660">
      <c r="B1660" s="112"/>
    </row>
    <row r="1661">
      <c r="B1661" s="112"/>
    </row>
    <row r="1662">
      <c r="B1662" s="112"/>
    </row>
    <row r="1663">
      <c r="B1663" s="112"/>
    </row>
    <row r="1664">
      <c r="B1664" s="112"/>
    </row>
    <row r="1665">
      <c r="B1665" s="112"/>
    </row>
    <row r="1666">
      <c r="B1666" s="112"/>
    </row>
    <row r="1667">
      <c r="B1667" s="112"/>
    </row>
    <row r="1668">
      <c r="B1668" s="112"/>
    </row>
    <row r="1669">
      <c r="B1669" s="112"/>
    </row>
    <row r="1670">
      <c r="B1670" s="112"/>
    </row>
    <row r="1671">
      <c r="B1671" s="112"/>
    </row>
    <row r="1672">
      <c r="B1672" s="112"/>
    </row>
    <row r="1673">
      <c r="B1673" s="112"/>
    </row>
    <row r="1674">
      <c r="B1674" s="112"/>
    </row>
    <row r="1675">
      <c r="B1675" s="112"/>
    </row>
    <row r="1676">
      <c r="B1676" s="112"/>
    </row>
    <row r="1677">
      <c r="B1677" s="112"/>
    </row>
    <row r="1678">
      <c r="B1678" s="112"/>
    </row>
    <row r="1679">
      <c r="B1679" s="112"/>
    </row>
    <row r="1680">
      <c r="B1680" s="112"/>
    </row>
    <row r="1681">
      <c r="B1681" s="112"/>
    </row>
    <row r="1682">
      <c r="B1682" s="112"/>
    </row>
    <row r="1683">
      <c r="B1683" s="112"/>
    </row>
    <row r="1684">
      <c r="B1684" s="112"/>
    </row>
    <row r="1685">
      <c r="B1685" s="112"/>
    </row>
    <row r="1686">
      <c r="B1686" s="112"/>
    </row>
    <row r="1687">
      <c r="B1687" s="112"/>
    </row>
    <row r="1688">
      <c r="B1688" s="112"/>
    </row>
    <row r="1689">
      <c r="B1689" s="112"/>
    </row>
    <row r="1690">
      <c r="B1690" s="112"/>
    </row>
    <row r="1691">
      <c r="B1691" s="112"/>
    </row>
    <row r="1692">
      <c r="B1692" s="112"/>
    </row>
    <row r="1693">
      <c r="B1693" s="112"/>
    </row>
    <row r="1694">
      <c r="B1694" s="112"/>
    </row>
    <row r="1695">
      <c r="B1695" s="112"/>
    </row>
    <row r="1696">
      <c r="B1696" s="112"/>
    </row>
    <row r="1697">
      <c r="B1697" s="112"/>
    </row>
    <row r="1698">
      <c r="B1698" s="112"/>
    </row>
    <row r="1699">
      <c r="B1699" s="112"/>
    </row>
    <row r="1700">
      <c r="B1700" s="112"/>
    </row>
    <row r="1701">
      <c r="B1701" s="112"/>
    </row>
    <row r="1702">
      <c r="B1702" s="112"/>
    </row>
    <row r="1703">
      <c r="B1703" s="112"/>
    </row>
    <row r="1704">
      <c r="B1704" s="112"/>
    </row>
    <row r="1705">
      <c r="B1705" s="112"/>
    </row>
    <row r="1706">
      <c r="B1706" s="112"/>
    </row>
    <row r="1707">
      <c r="B1707" s="112"/>
    </row>
    <row r="1708">
      <c r="B1708" s="112"/>
    </row>
    <row r="1709">
      <c r="B1709" s="112"/>
    </row>
    <row r="1710">
      <c r="B1710" s="112"/>
    </row>
    <row r="1711">
      <c r="B1711" s="112"/>
    </row>
    <row r="1712">
      <c r="B1712" s="112"/>
    </row>
    <row r="1713">
      <c r="B1713" s="112"/>
    </row>
    <row r="1714">
      <c r="B1714" s="112"/>
    </row>
    <row r="1715">
      <c r="B1715" s="112"/>
    </row>
    <row r="1716">
      <c r="B1716" s="112"/>
    </row>
    <row r="1717">
      <c r="B1717" s="112"/>
    </row>
    <row r="1718">
      <c r="B1718" s="112"/>
    </row>
    <row r="1719">
      <c r="B1719" s="112"/>
    </row>
    <row r="1720">
      <c r="B1720" s="112"/>
    </row>
    <row r="1721">
      <c r="B1721" s="112"/>
    </row>
    <row r="1722">
      <c r="B1722" s="112"/>
    </row>
    <row r="1723">
      <c r="B1723" s="112"/>
    </row>
    <row r="1724">
      <c r="B1724" s="112"/>
    </row>
    <row r="1725">
      <c r="B1725" s="112"/>
    </row>
    <row r="1726">
      <c r="B1726" s="112"/>
    </row>
    <row r="1727">
      <c r="B1727" s="112"/>
    </row>
    <row r="1728">
      <c r="B1728" s="112"/>
    </row>
    <row r="1729">
      <c r="B1729" s="112"/>
    </row>
    <row r="1730">
      <c r="B1730" s="112"/>
    </row>
    <row r="1731">
      <c r="B1731" s="112"/>
    </row>
    <row r="1732">
      <c r="B1732" s="112"/>
    </row>
    <row r="1733">
      <c r="B1733" s="112"/>
    </row>
    <row r="1734">
      <c r="B1734" s="112"/>
    </row>
    <row r="1735">
      <c r="B1735" s="112"/>
    </row>
    <row r="1736">
      <c r="B1736" s="112"/>
    </row>
    <row r="1737">
      <c r="B1737" s="112"/>
    </row>
    <row r="1738">
      <c r="B1738" s="112"/>
    </row>
    <row r="1739">
      <c r="B1739" s="112"/>
    </row>
    <row r="1740">
      <c r="B1740" s="112"/>
    </row>
    <row r="1741">
      <c r="B1741" s="112"/>
    </row>
    <row r="1742">
      <c r="B1742" s="112"/>
    </row>
    <row r="1743">
      <c r="B1743" s="112"/>
    </row>
    <row r="1744">
      <c r="B1744" s="112"/>
    </row>
    <row r="1745">
      <c r="B1745" s="112"/>
    </row>
    <row r="1746">
      <c r="B1746" s="112"/>
    </row>
    <row r="1747">
      <c r="B1747" s="112"/>
    </row>
    <row r="1748">
      <c r="B1748" s="112"/>
    </row>
    <row r="1749">
      <c r="B1749" s="112"/>
    </row>
    <row r="1750">
      <c r="B1750" s="112"/>
    </row>
    <row r="1751">
      <c r="B1751" s="112"/>
    </row>
    <row r="1752">
      <c r="B1752" s="112"/>
    </row>
    <row r="1753">
      <c r="B1753" s="112"/>
    </row>
    <row r="1754">
      <c r="B1754" s="112"/>
    </row>
    <row r="1755">
      <c r="B1755" s="112"/>
    </row>
    <row r="1756">
      <c r="B1756" s="112"/>
    </row>
    <row r="1757">
      <c r="B1757" s="112"/>
    </row>
    <row r="1758">
      <c r="B1758" s="112"/>
    </row>
    <row r="1759">
      <c r="B1759" s="112"/>
    </row>
    <row r="1760">
      <c r="B1760" s="112"/>
    </row>
    <row r="1761">
      <c r="B1761" s="112"/>
    </row>
    <row r="1762">
      <c r="B1762" s="112"/>
    </row>
    <row r="1763">
      <c r="B1763" s="112"/>
    </row>
    <row r="1764">
      <c r="B1764" s="112"/>
    </row>
    <row r="1765">
      <c r="B1765" s="112"/>
    </row>
    <row r="1766">
      <c r="B1766" s="112"/>
    </row>
    <row r="1767">
      <c r="B1767" s="112"/>
    </row>
    <row r="1768">
      <c r="B1768" s="112"/>
    </row>
    <row r="1769">
      <c r="B1769" s="112"/>
    </row>
    <row r="1770">
      <c r="B1770" s="112"/>
    </row>
    <row r="1771">
      <c r="B1771" s="112"/>
    </row>
    <row r="1772">
      <c r="B1772" s="112"/>
    </row>
    <row r="1773">
      <c r="B1773" s="112"/>
    </row>
    <row r="1774">
      <c r="B1774" s="112"/>
    </row>
    <row r="1775">
      <c r="B1775" s="112"/>
    </row>
    <row r="1776">
      <c r="B1776" s="112"/>
    </row>
    <row r="1777">
      <c r="B1777" s="112"/>
    </row>
    <row r="1778">
      <c r="B1778" s="112"/>
    </row>
    <row r="1779">
      <c r="B1779" s="112"/>
    </row>
    <row r="1780">
      <c r="B1780" s="112"/>
    </row>
    <row r="1781">
      <c r="B1781" s="112"/>
    </row>
    <row r="1782">
      <c r="B1782" s="112"/>
    </row>
    <row r="1783">
      <c r="B1783" s="112"/>
    </row>
    <row r="1784">
      <c r="B1784" s="112"/>
    </row>
    <row r="1785">
      <c r="B1785" s="112"/>
    </row>
    <row r="1786">
      <c r="B1786" s="112"/>
    </row>
    <row r="1787">
      <c r="B1787" s="112"/>
    </row>
    <row r="1788">
      <c r="B1788" s="112"/>
    </row>
    <row r="1789">
      <c r="B1789" s="112"/>
    </row>
    <row r="1790">
      <c r="B1790" s="112"/>
    </row>
    <row r="1791">
      <c r="B1791" s="112"/>
    </row>
    <row r="1792">
      <c r="B1792" s="112"/>
    </row>
    <row r="1793">
      <c r="B1793" s="112"/>
    </row>
    <row r="1794">
      <c r="B1794" s="112"/>
    </row>
    <row r="1795">
      <c r="B1795" s="112"/>
    </row>
    <row r="1796">
      <c r="B1796" s="112"/>
    </row>
    <row r="1797">
      <c r="B1797" s="112"/>
    </row>
    <row r="1798">
      <c r="B1798" s="112"/>
    </row>
    <row r="1799">
      <c r="B1799" s="112"/>
    </row>
    <row r="1800">
      <c r="B1800" s="112"/>
    </row>
    <row r="1801">
      <c r="B1801" s="112"/>
    </row>
    <row r="1802">
      <c r="B1802" s="112"/>
    </row>
    <row r="1803">
      <c r="B1803" s="112"/>
    </row>
    <row r="1804">
      <c r="B1804" s="112"/>
    </row>
    <row r="1805">
      <c r="B1805" s="112"/>
    </row>
    <row r="1806">
      <c r="B1806" s="112"/>
    </row>
    <row r="1807">
      <c r="B1807" s="112"/>
    </row>
    <row r="1808">
      <c r="B1808" s="112"/>
    </row>
    <row r="1809">
      <c r="B1809" s="112"/>
    </row>
    <row r="1810">
      <c r="B1810" s="112"/>
    </row>
    <row r="1811">
      <c r="B1811" s="112"/>
    </row>
    <row r="1812">
      <c r="B1812" s="112"/>
    </row>
    <row r="1813">
      <c r="B1813" s="112"/>
    </row>
    <row r="1814">
      <c r="B1814" s="112"/>
    </row>
    <row r="1815">
      <c r="B1815" s="112"/>
    </row>
    <row r="1816">
      <c r="B1816" s="112"/>
    </row>
    <row r="1817">
      <c r="B1817" s="112"/>
    </row>
    <row r="1818">
      <c r="B1818" s="112"/>
    </row>
    <row r="1819">
      <c r="B1819" s="112"/>
    </row>
    <row r="1820">
      <c r="B1820" s="112"/>
    </row>
    <row r="1821">
      <c r="B1821" s="112"/>
    </row>
    <row r="1822">
      <c r="B1822" s="112"/>
    </row>
    <row r="1823">
      <c r="B1823" s="112"/>
    </row>
    <row r="1824">
      <c r="B1824" s="112"/>
    </row>
    <row r="1825">
      <c r="B1825" s="112"/>
    </row>
    <row r="1826">
      <c r="B1826" s="112"/>
    </row>
    <row r="1827">
      <c r="B1827" s="112"/>
    </row>
    <row r="1828">
      <c r="B1828" s="112"/>
    </row>
    <row r="1829">
      <c r="B1829" s="112"/>
    </row>
    <row r="1830">
      <c r="B1830" s="112"/>
    </row>
    <row r="1831">
      <c r="B1831" s="112"/>
    </row>
    <row r="1832">
      <c r="B1832" s="112"/>
    </row>
    <row r="1833">
      <c r="B1833" s="112"/>
    </row>
    <row r="1834">
      <c r="B1834" s="112"/>
    </row>
    <row r="1835">
      <c r="B1835" s="112"/>
    </row>
    <row r="1836">
      <c r="B1836" s="112"/>
    </row>
    <row r="1837">
      <c r="B1837" s="112"/>
    </row>
    <row r="1838">
      <c r="B1838" s="112"/>
    </row>
    <row r="1839">
      <c r="B1839" s="112"/>
    </row>
    <row r="1840">
      <c r="B1840" s="112"/>
    </row>
    <row r="1841">
      <c r="B1841" s="112"/>
    </row>
    <row r="1842">
      <c r="B1842" s="112"/>
    </row>
    <row r="1843">
      <c r="B1843" s="112"/>
    </row>
    <row r="1844">
      <c r="B1844" s="112"/>
    </row>
    <row r="1845">
      <c r="B1845" s="112"/>
    </row>
    <row r="1846">
      <c r="B1846" s="112"/>
    </row>
    <row r="1847">
      <c r="B1847" s="112"/>
    </row>
    <row r="1848">
      <c r="B1848" s="112"/>
    </row>
    <row r="1849">
      <c r="B1849" s="112"/>
    </row>
    <row r="1850">
      <c r="B1850" s="112"/>
    </row>
    <row r="1851">
      <c r="B1851" s="112"/>
    </row>
    <row r="1852">
      <c r="B1852" s="112"/>
    </row>
    <row r="1853">
      <c r="B1853" s="112"/>
    </row>
    <row r="1854">
      <c r="B1854" s="112"/>
    </row>
    <row r="1855">
      <c r="B1855" s="112"/>
    </row>
    <row r="1856">
      <c r="B1856" s="112"/>
    </row>
    <row r="1857">
      <c r="B1857" s="112"/>
    </row>
    <row r="1858">
      <c r="B1858" s="112"/>
    </row>
    <row r="1859">
      <c r="B1859" s="112"/>
    </row>
    <row r="1860">
      <c r="B1860" s="112"/>
    </row>
    <row r="1861">
      <c r="B1861" s="112"/>
    </row>
    <row r="1862">
      <c r="B1862" s="112"/>
    </row>
    <row r="1863">
      <c r="B1863" s="112"/>
    </row>
    <row r="1864">
      <c r="B1864" s="112"/>
    </row>
    <row r="1865">
      <c r="B1865" s="112"/>
    </row>
    <row r="1866">
      <c r="B1866" s="112"/>
    </row>
    <row r="1867">
      <c r="B1867" s="112"/>
    </row>
    <row r="1868">
      <c r="B1868" s="112"/>
    </row>
    <row r="1869">
      <c r="B1869" s="112"/>
    </row>
    <row r="1870">
      <c r="B1870" s="112"/>
    </row>
    <row r="1871">
      <c r="B1871" s="112"/>
    </row>
    <row r="1872">
      <c r="B1872" s="112"/>
    </row>
    <row r="1873">
      <c r="B1873" s="112"/>
    </row>
    <row r="1874">
      <c r="B1874" s="112"/>
    </row>
    <row r="1875">
      <c r="B1875" s="112"/>
    </row>
    <row r="1876">
      <c r="B1876" s="112"/>
    </row>
    <row r="1877">
      <c r="B1877" s="112"/>
    </row>
    <row r="1878">
      <c r="B1878" s="112"/>
    </row>
    <row r="1879">
      <c r="B1879" s="112"/>
    </row>
    <row r="1880">
      <c r="B1880" s="112"/>
    </row>
    <row r="1881">
      <c r="B1881" s="112"/>
    </row>
    <row r="1882">
      <c r="B1882" s="112"/>
    </row>
    <row r="1883">
      <c r="B1883" s="112"/>
    </row>
    <row r="1884">
      <c r="B1884" s="112"/>
    </row>
    <row r="1885">
      <c r="B1885" s="112"/>
    </row>
    <row r="1886">
      <c r="B1886" s="112"/>
    </row>
    <row r="1887">
      <c r="B1887" s="112"/>
    </row>
    <row r="1888">
      <c r="B1888" s="112"/>
    </row>
    <row r="1889">
      <c r="B1889" s="112"/>
    </row>
    <row r="1890">
      <c r="B1890" s="112"/>
    </row>
    <row r="1891">
      <c r="B1891" s="112"/>
    </row>
    <row r="1892">
      <c r="B1892" s="112"/>
    </row>
    <row r="1893">
      <c r="B1893" s="112"/>
    </row>
    <row r="1894">
      <c r="B1894" s="112"/>
    </row>
    <row r="1895">
      <c r="B1895" s="112"/>
    </row>
    <row r="1896">
      <c r="B1896" s="112"/>
    </row>
    <row r="1897">
      <c r="B1897" s="112"/>
    </row>
    <row r="1898">
      <c r="B1898" s="112"/>
    </row>
    <row r="1899">
      <c r="B1899" s="112"/>
    </row>
    <row r="1900">
      <c r="B1900" s="112"/>
    </row>
    <row r="1901">
      <c r="B1901" s="112"/>
    </row>
    <row r="1902">
      <c r="B1902" s="112"/>
    </row>
    <row r="1903">
      <c r="B1903" s="112"/>
    </row>
    <row r="1904">
      <c r="B1904" s="112"/>
    </row>
    <row r="1905">
      <c r="B1905" s="112"/>
    </row>
    <row r="1906">
      <c r="B1906" s="112"/>
    </row>
    <row r="1907">
      <c r="B1907" s="112"/>
    </row>
    <row r="1908">
      <c r="B1908" s="112"/>
    </row>
    <row r="1909">
      <c r="B1909" s="112"/>
    </row>
    <row r="1910">
      <c r="B1910" s="112"/>
    </row>
    <row r="1911">
      <c r="B1911" s="112"/>
    </row>
    <row r="1912">
      <c r="B1912" s="112"/>
    </row>
    <row r="1913">
      <c r="B1913" s="112"/>
    </row>
    <row r="1914">
      <c r="B1914" s="112"/>
    </row>
    <row r="1915">
      <c r="B1915" s="112"/>
    </row>
    <row r="1916">
      <c r="B1916" s="112"/>
    </row>
    <row r="1917">
      <c r="B1917" s="112"/>
    </row>
    <row r="1918">
      <c r="B1918" s="112"/>
    </row>
    <row r="1919">
      <c r="B1919" s="112"/>
    </row>
    <row r="1920">
      <c r="B1920" s="112"/>
    </row>
    <row r="1921">
      <c r="B1921" s="112"/>
    </row>
    <row r="1922">
      <c r="B1922" s="112"/>
    </row>
    <row r="1923">
      <c r="B1923" s="112"/>
    </row>
    <row r="1924">
      <c r="B1924" s="112"/>
    </row>
    <row r="1925">
      <c r="B1925" s="112"/>
    </row>
    <row r="1926">
      <c r="B1926" s="112"/>
    </row>
    <row r="1927">
      <c r="B1927" s="112"/>
    </row>
    <row r="1928">
      <c r="B1928" s="112"/>
    </row>
    <row r="1929">
      <c r="B1929" s="112"/>
    </row>
    <row r="1930">
      <c r="B1930" s="112"/>
    </row>
    <row r="1931">
      <c r="B1931" s="112"/>
    </row>
    <row r="1932">
      <c r="B1932" s="112"/>
    </row>
    <row r="1933">
      <c r="B1933" s="112"/>
    </row>
    <row r="1934">
      <c r="B1934" s="112"/>
    </row>
    <row r="1935">
      <c r="B1935" s="112"/>
    </row>
    <row r="1936">
      <c r="B1936" s="112"/>
    </row>
    <row r="1937">
      <c r="B1937" s="112"/>
    </row>
    <row r="1938">
      <c r="B1938" s="112"/>
    </row>
    <row r="1939">
      <c r="B1939" s="112"/>
    </row>
    <row r="1940">
      <c r="B1940" s="112"/>
    </row>
    <row r="1941">
      <c r="B1941" s="112"/>
    </row>
    <row r="1942">
      <c r="B1942" s="112"/>
    </row>
    <row r="1943">
      <c r="B1943" s="112"/>
    </row>
    <row r="1944">
      <c r="B1944" s="112"/>
    </row>
    <row r="1945">
      <c r="B1945" s="112"/>
    </row>
    <row r="1946">
      <c r="B1946" s="112"/>
    </row>
    <row r="1947">
      <c r="B1947" s="112"/>
    </row>
    <row r="1948">
      <c r="B1948" s="112"/>
    </row>
    <row r="1949">
      <c r="B1949" s="112"/>
    </row>
    <row r="1950">
      <c r="B1950" s="112"/>
    </row>
    <row r="1951">
      <c r="B1951" s="112"/>
    </row>
    <row r="1952">
      <c r="B1952" s="112"/>
    </row>
    <row r="1953">
      <c r="B1953" s="112"/>
    </row>
    <row r="1954">
      <c r="B1954" s="112"/>
    </row>
    <row r="1955">
      <c r="B1955" s="112"/>
    </row>
    <row r="1956">
      <c r="B1956" s="112"/>
    </row>
    <row r="1957">
      <c r="B1957" s="112"/>
    </row>
    <row r="1958">
      <c r="B1958" s="112"/>
    </row>
    <row r="1959">
      <c r="B1959" s="112"/>
    </row>
    <row r="1960">
      <c r="B1960" s="112"/>
    </row>
    <row r="1961">
      <c r="B1961" s="112"/>
    </row>
    <row r="1962">
      <c r="B1962" s="112"/>
    </row>
    <row r="1963">
      <c r="B1963" s="112"/>
    </row>
    <row r="1964">
      <c r="B1964" s="112"/>
    </row>
    <row r="1965">
      <c r="B1965" s="112"/>
    </row>
    <row r="1966">
      <c r="B1966" s="112"/>
    </row>
    <row r="1967">
      <c r="B1967" s="112"/>
    </row>
    <row r="1968">
      <c r="B1968" s="112"/>
    </row>
    <row r="1969">
      <c r="B1969" s="112"/>
    </row>
    <row r="1970">
      <c r="B1970" s="112"/>
    </row>
    <row r="1971">
      <c r="B1971" s="112"/>
    </row>
    <row r="1972">
      <c r="B1972" s="112"/>
    </row>
    <row r="1973">
      <c r="B1973" s="112"/>
    </row>
    <row r="1974">
      <c r="B1974" s="112"/>
    </row>
    <row r="1975">
      <c r="B1975" s="112"/>
    </row>
    <row r="1976">
      <c r="B1976" s="112"/>
    </row>
    <row r="1977">
      <c r="B1977" s="112"/>
    </row>
    <row r="1978">
      <c r="B1978" s="112"/>
    </row>
    <row r="1979">
      <c r="B1979" s="112"/>
    </row>
    <row r="1980">
      <c r="B1980" s="112"/>
    </row>
    <row r="1981">
      <c r="B1981" s="112"/>
    </row>
    <row r="1982">
      <c r="B1982" s="112"/>
    </row>
    <row r="1983">
      <c r="B1983" s="112"/>
    </row>
    <row r="1984">
      <c r="B1984" s="112"/>
    </row>
    <row r="1985">
      <c r="B1985" s="112"/>
    </row>
    <row r="1986">
      <c r="B1986" s="112"/>
    </row>
    <row r="1987">
      <c r="B1987" s="112"/>
    </row>
    <row r="1988">
      <c r="B1988" s="112"/>
    </row>
    <row r="1989">
      <c r="B1989" s="112"/>
    </row>
    <row r="1990">
      <c r="B1990" s="112"/>
    </row>
    <row r="1991">
      <c r="B1991" s="112"/>
    </row>
    <row r="1992">
      <c r="B1992" s="112"/>
    </row>
    <row r="1993">
      <c r="B1993" s="112"/>
    </row>
    <row r="1994">
      <c r="B1994" s="112"/>
    </row>
    <row r="1995">
      <c r="B1995" s="112"/>
    </row>
    <row r="1996">
      <c r="B1996" s="112"/>
    </row>
    <row r="1997">
      <c r="B1997" s="112"/>
    </row>
    <row r="1998">
      <c r="B1998" s="112"/>
    </row>
    <row r="1999">
      <c r="B1999" s="112"/>
    </row>
    <row r="2000">
      <c r="B2000" s="112"/>
    </row>
    <row r="2001">
      <c r="B2001" s="112"/>
    </row>
    <row r="2002">
      <c r="B2002" s="112"/>
    </row>
    <row r="2003">
      <c r="B2003" s="112"/>
    </row>
    <row r="2004">
      <c r="B2004" s="112"/>
    </row>
    <row r="2005">
      <c r="B2005" s="112"/>
    </row>
    <row r="2006">
      <c r="B2006" s="112"/>
    </row>
    <row r="2007">
      <c r="B2007" s="112"/>
    </row>
    <row r="2008">
      <c r="B2008" s="112"/>
    </row>
    <row r="2009">
      <c r="B2009" s="112"/>
    </row>
    <row r="2010">
      <c r="B2010" s="112"/>
    </row>
    <row r="2011">
      <c r="B2011" s="112"/>
    </row>
    <row r="2012">
      <c r="B2012" s="112"/>
    </row>
    <row r="2013">
      <c r="B2013" s="112"/>
    </row>
    <row r="2014">
      <c r="B2014" s="112"/>
    </row>
    <row r="2015">
      <c r="B2015" s="112"/>
    </row>
    <row r="2016">
      <c r="B2016" s="112"/>
    </row>
    <row r="2017">
      <c r="B2017" s="112"/>
    </row>
    <row r="2018">
      <c r="B2018" s="112"/>
    </row>
    <row r="2019">
      <c r="B2019" s="112"/>
    </row>
    <row r="2020">
      <c r="B2020" s="112"/>
    </row>
    <row r="2021">
      <c r="B2021" s="112"/>
    </row>
    <row r="2022">
      <c r="B2022" s="112"/>
    </row>
    <row r="2023">
      <c r="B2023" s="112"/>
    </row>
    <row r="2024">
      <c r="B2024" s="112"/>
    </row>
    <row r="2025">
      <c r="B2025" s="112"/>
    </row>
    <row r="2026">
      <c r="B2026" s="112"/>
    </row>
    <row r="2027">
      <c r="B2027" s="112"/>
    </row>
    <row r="2028">
      <c r="B2028" s="112"/>
    </row>
    <row r="2029">
      <c r="B2029" s="112"/>
    </row>
    <row r="2030">
      <c r="B2030" s="112"/>
    </row>
    <row r="2031">
      <c r="B2031" s="112"/>
    </row>
    <row r="2032">
      <c r="B2032" s="112"/>
    </row>
    <row r="2033">
      <c r="B2033" s="112"/>
    </row>
    <row r="2034">
      <c r="B2034" s="112"/>
    </row>
    <row r="2035">
      <c r="B2035" s="112"/>
    </row>
    <row r="2036">
      <c r="B2036" s="112"/>
    </row>
    <row r="2037">
      <c r="B2037" s="112"/>
    </row>
    <row r="2038">
      <c r="B2038" s="112"/>
    </row>
    <row r="2039">
      <c r="B2039" s="112"/>
    </row>
    <row r="2040">
      <c r="B2040" s="112"/>
    </row>
    <row r="2041">
      <c r="B2041" s="112"/>
    </row>
    <row r="2042">
      <c r="B2042" s="112"/>
    </row>
    <row r="2043">
      <c r="B2043" s="112"/>
    </row>
    <row r="2044">
      <c r="B2044" s="112"/>
    </row>
    <row r="2045">
      <c r="B2045" s="112"/>
    </row>
    <row r="2046">
      <c r="B2046" s="112"/>
    </row>
    <row r="2047">
      <c r="B2047" s="112"/>
    </row>
    <row r="2048">
      <c r="B2048" s="112"/>
    </row>
    <row r="2049">
      <c r="B2049" s="112"/>
    </row>
    <row r="2050">
      <c r="B2050" s="112"/>
    </row>
    <row r="2051">
      <c r="B2051" s="112"/>
    </row>
    <row r="2052">
      <c r="B2052" s="112"/>
    </row>
    <row r="2053">
      <c r="B2053" s="112"/>
    </row>
    <row r="2054">
      <c r="B2054" s="112"/>
    </row>
    <row r="2055">
      <c r="B2055" s="112"/>
    </row>
    <row r="2056">
      <c r="B2056" s="112"/>
    </row>
    <row r="2057">
      <c r="B2057" s="112"/>
    </row>
    <row r="2058">
      <c r="B2058" s="112"/>
    </row>
    <row r="2059">
      <c r="B2059" s="112"/>
    </row>
    <row r="2060">
      <c r="B2060" s="112"/>
    </row>
    <row r="2061">
      <c r="B2061" s="112"/>
    </row>
    <row r="2062">
      <c r="B2062" s="112"/>
    </row>
    <row r="2063">
      <c r="B2063" s="112"/>
    </row>
    <row r="2064">
      <c r="B2064" s="112"/>
    </row>
    <row r="2065">
      <c r="B2065" s="112"/>
    </row>
    <row r="2066">
      <c r="B2066" s="112"/>
    </row>
    <row r="2067">
      <c r="B2067" s="112"/>
    </row>
    <row r="2068">
      <c r="B2068" s="112"/>
    </row>
    <row r="2069">
      <c r="B2069" s="112"/>
    </row>
    <row r="2070">
      <c r="B2070" s="112"/>
    </row>
    <row r="2071">
      <c r="B2071" s="112"/>
    </row>
    <row r="2072">
      <c r="B2072" s="112"/>
    </row>
    <row r="2073">
      <c r="B2073" s="112"/>
    </row>
    <row r="2074">
      <c r="B2074" s="112"/>
    </row>
    <row r="2075">
      <c r="B2075" s="112"/>
    </row>
    <row r="2076">
      <c r="B2076" s="112"/>
    </row>
    <row r="2077">
      <c r="B2077" s="112"/>
    </row>
    <row r="2078">
      <c r="B2078" s="112"/>
    </row>
    <row r="2079">
      <c r="B2079" s="112"/>
    </row>
    <row r="2080">
      <c r="B2080" s="112"/>
    </row>
    <row r="2081">
      <c r="B2081" s="112"/>
    </row>
    <row r="2082">
      <c r="B2082" s="112"/>
    </row>
    <row r="2083">
      <c r="B2083" s="112"/>
    </row>
    <row r="2084">
      <c r="B2084" s="112"/>
    </row>
    <row r="2085">
      <c r="B2085" s="112"/>
    </row>
    <row r="2086">
      <c r="B2086" s="112"/>
    </row>
    <row r="2087">
      <c r="B2087" s="112"/>
    </row>
    <row r="2088">
      <c r="B2088" s="112"/>
    </row>
    <row r="2089">
      <c r="B2089" s="112"/>
    </row>
    <row r="2090">
      <c r="B2090" s="112"/>
    </row>
    <row r="2091">
      <c r="B2091" s="112"/>
    </row>
    <row r="2092">
      <c r="B2092" s="112"/>
    </row>
    <row r="2093">
      <c r="B2093" s="112"/>
    </row>
    <row r="2094">
      <c r="B2094" s="112"/>
    </row>
    <row r="2095">
      <c r="B2095" s="112"/>
    </row>
    <row r="2096">
      <c r="B2096" s="112"/>
    </row>
    <row r="2097">
      <c r="B2097" s="112"/>
    </row>
    <row r="2098">
      <c r="B2098" s="112"/>
    </row>
    <row r="2099">
      <c r="B2099" s="112"/>
    </row>
    <row r="2100">
      <c r="B2100" s="112"/>
    </row>
    <row r="2101">
      <c r="B2101" s="112"/>
    </row>
    <row r="2102">
      <c r="B2102" s="112"/>
    </row>
    <row r="2103">
      <c r="B2103" s="112"/>
    </row>
    <row r="2104">
      <c r="B2104" s="112"/>
    </row>
    <row r="2105">
      <c r="B2105" s="112"/>
    </row>
    <row r="2106">
      <c r="B2106" s="112"/>
    </row>
    <row r="2107">
      <c r="B2107" s="112"/>
    </row>
    <row r="2108">
      <c r="B2108" s="112"/>
    </row>
    <row r="2109">
      <c r="B2109" s="112"/>
    </row>
    <row r="2110">
      <c r="B2110" s="112"/>
    </row>
    <row r="2111">
      <c r="B2111" s="112"/>
    </row>
    <row r="2112">
      <c r="B2112" s="112"/>
    </row>
    <row r="2113">
      <c r="B2113" s="112"/>
    </row>
    <row r="2114">
      <c r="B2114" s="112"/>
    </row>
    <row r="2115">
      <c r="B2115" s="112"/>
    </row>
    <row r="2116">
      <c r="B2116" s="112"/>
    </row>
    <row r="2117">
      <c r="B2117" s="112"/>
    </row>
    <row r="2118">
      <c r="B2118" s="112"/>
    </row>
    <row r="2119">
      <c r="B2119" s="112"/>
    </row>
    <row r="2120">
      <c r="B2120" s="112"/>
    </row>
    <row r="2121">
      <c r="B2121" s="112"/>
    </row>
    <row r="2122">
      <c r="B2122" s="112"/>
    </row>
    <row r="2123">
      <c r="B2123" s="112"/>
    </row>
    <row r="2124">
      <c r="B2124" s="112"/>
    </row>
    <row r="2125">
      <c r="B2125" s="112"/>
    </row>
    <row r="2126">
      <c r="B2126" s="112"/>
    </row>
    <row r="2127">
      <c r="B2127" s="112"/>
    </row>
    <row r="2128">
      <c r="B2128" s="112"/>
    </row>
    <row r="2129">
      <c r="B2129" s="112"/>
    </row>
    <row r="2130">
      <c r="B2130" s="112"/>
    </row>
    <row r="2131">
      <c r="B2131" s="112"/>
    </row>
    <row r="2132">
      <c r="B2132" s="112"/>
    </row>
    <row r="2133">
      <c r="B2133" s="112"/>
    </row>
    <row r="2134">
      <c r="B2134" s="112"/>
    </row>
    <row r="2135">
      <c r="B2135" s="112"/>
    </row>
    <row r="2136">
      <c r="B2136" s="112"/>
    </row>
    <row r="2137">
      <c r="B2137" s="112"/>
    </row>
    <row r="2138">
      <c r="B2138" s="112"/>
    </row>
    <row r="2139">
      <c r="B2139" s="112"/>
    </row>
    <row r="2140">
      <c r="B2140" s="112"/>
    </row>
    <row r="2141">
      <c r="B2141" s="112"/>
    </row>
    <row r="2142">
      <c r="B2142" s="112"/>
    </row>
    <row r="2143">
      <c r="B2143" s="112"/>
    </row>
    <row r="2144">
      <c r="B2144" s="112"/>
    </row>
    <row r="2145">
      <c r="B2145" s="112"/>
    </row>
    <row r="2146">
      <c r="B2146" s="112"/>
    </row>
    <row r="2147">
      <c r="B2147" s="112"/>
    </row>
    <row r="2148">
      <c r="B2148" s="112"/>
    </row>
    <row r="2149">
      <c r="B2149" s="112"/>
    </row>
    <row r="2150">
      <c r="B2150" s="112"/>
    </row>
    <row r="2151">
      <c r="B2151" s="112"/>
    </row>
    <row r="2152">
      <c r="B2152" s="112"/>
    </row>
    <row r="2153">
      <c r="B2153" s="112"/>
    </row>
    <row r="2154">
      <c r="B2154" s="112"/>
    </row>
    <row r="2155">
      <c r="B2155" s="112"/>
    </row>
    <row r="2156">
      <c r="B2156" s="112"/>
    </row>
    <row r="2157">
      <c r="B2157" s="112"/>
    </row>
    <row r="2158">
      <c r="B2158" s="112"/>
    </row>
    <row r="2159">
      <c r="B2159" s="112"/>
    </row>
    <row r="2160">
      <c r="B2160" s="112"/>
    </row>
    <row r="2161">
      <c r="B2161" s="112"/>
    </row>
    <row r="2162">
      <c r="B2162" s="112"/>
    </row>
    <row r="2163">
      <c r="B2163" s="112"/>
    </row>
    <row r="2164">
      <c r="B2164" s="112"/>
    </row>
    <row r="2165">
      <c r="B2165" s="112"/>
    </row>
    <row r="2166">
      <c r="B2166" s="112"/>
    </row>
    <row r="2167">
      <c r="B2167" s="112"/>
    </row>
    <row r="2168">
      <c r="B2168" s="112"/>
    </row>
    <row r="2169">
      <c r="B2169" s="112"/>
    </row>
    <row r="2170">
      <c r="B2170" s="112"/>
    </row>
    <row r="2171">
      <c r="B2171" s="112"/>
    </row>
    <row r="2172">
      <c r="B2172" s="112"/>
    </row>
    <row r="2173">
      <c r="B2173" s="112"/>
    </row>
    <row r="2174">
      <c r="B2174" s="112"/>
    </row>
    <row r="2175">
      <c r="B2175" s="112"/>
    </row>
    <row r="2176">
      <c r="B2176" s="112"/>
    </row>
    <row r="2177">
      <c r="B2177" s="112"/>
    </row>
    <row r="2178">
      <c r="B2178" s="112"/>
    </row>
    <row r="2179">
      <c r="B2179" s="112"/>
    </row>
    <row r="2180">
      <c r="B2180" s="112"/>
    </row>
    <row r="2181">
      <c r="B2181" s="112"/>
    </row>
    <row r="2182">
      <c r="B2182" s="112"/>
    </row>
    <row r="2183">
      <c r="B2183" s="112"/>
    </row>
    <row r="2184">
      <c r="B2184" s="112"/>
    </row>
    <row r="2185">
      <c r="B2185" s="112"/>
    </row>
    <row r="2186">
      <c r="B2186" s="112"/>
    </row>
    <row r="2187">
      <c r="B2187" s="112"/>
    </row>
    <row r="2188">
      <c r="B2188" s="112"/>
    </row>
    <row r="2189">
      <c r="B2189" s="112"/>
    </row>
    <row r="2190">
      <c r="B2190" s="112"/>
    </row>
    <row r="2191">
      <c r="B2191" s="112"/>
    </row>
    <row r="2192">
      <c r="B2192" s="112"/>
    </row>
    <row r="2193">
      <c r="B2193" s="112"/>
    </row>
    <row r="2194">
      <c r="B2194" s="112"/>
    </row>
    <row r="2195">
      <c r="B2195" s="112"/>
    </row>
    <row r="2196">
      <c r="B2196" s="112"/>
    </row>
    <row r="2197">
      <c r="B2197" s="112"/>
    </row>
    <row r="2198">
      <c r="B2198" s="112"/>
    </row>
    <row r="2199">
      <c r="B2199" s="112"/>
    </row>
    <row r="2200">
      <c r="B2200" s="112"/>
    </row>
    <row r="2201">
      <c r="B2201" s="112"/>
    </row>
    <row r="2202">
      <c r="B2202" s="112"/>
    </row>
    <row r="2203">
      <c r="B2203" s="112"/>
    </row>
    <row r="2204">
      <c r="B2204" s="112"/>
    </row>
    <row r="2205">
      <c r="B2205" s="112"/>
    </row>
    <row r="2206">
      <c r="B2206" s="112"/>
    </row>
    <row r="2207">
      <c r="B2207" s="112"/>
    </row>
    <row r="2208">
      <c r="B2208" s="112"/>
    </row>
    <row r="2209">
      <c r="B2209" s="112"/>
    </row>
    <row r="2210">
      <c r="B2210" s="112"/>
    </row>
    <row r="2211">
      <c r="B2211" s="112"/>
    </row>
    <row r="2212">
      <c r="B2212" s="112"/>
    </row>
    <row r="2213">
      <c r="B2213" s="112"/>
    </row>
    <row r="2214">
      <c r="B2214" s="112"/>
    </row>
    <row r="2215">
      <c r="B2215" s="112"/>
    </row>
    <row r="2216">
      <c r="B2216" s="112"/>
    </row>
    <row r="2217">
      <c r="B2217" s="112"/>
    </row>
    <row r="2218">
      <c r="B2218" s="112"/>
    </row>
    <row r="2219">
      <c r="B2219" s="112"/>
    </row>
    <row r="2220">
      <c r="B2220" s="112"/>
    </row>
    <row r="2221">
      <c r="B2221" s="112"/>
    </row>
    <row r="2222">
      <c r="B2222" s="112"/>
    </row>
    <row r="2223">
      <c r="B2223" s="112"/>
    </row>
    <row r="2224">
      <c r="B2224" s="112"/>
    </row>
    <row r="2225">
      <c r="B2225" s="112"/>
    </row>
    <row r="2226">
      <c r="B2226" s="112"/>
    </row>
    <row r="2227">
      <c r="B2227" s="112"/>
    </row>
    <row r="2228">
      <c r="B2228" s="112"/>
    </row>
    <row r="2229">
      <c r="B2229" s="112"/>
    </row>
    <row r="2230">
      <c r="B2230" s="112"/>
    </row>
    <row r="2231">
      <c r="B2231" s="112"/>
    </row>
    <row r="2232">
      <c r="B2232" s="112"/>
    </row>
    <row r="2233">
      <c r="B2233" s="112"/>
    </row>
    <row r="2234">
      <c r="B2234" s="112"/>
    </row>
    <row r="2235">
      <c r="B2235" s="112"/>
    </row>
  </sheetData>
  <conditionalFormatting sqref="P1:Z7 S9:Z14 G14:L94 M14:R75 Y16:Z20 A33:F94">
    <cfRule type="expression" dxfId="5" priority="1">
      <formula>iserr(P1)</formula>
    </cfRule>
  </conditionalFormatting>
  <drawing r:id="rId6"/>
</worksheet>
</file>